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mpsharma\Desktop\jyoti things\"/>
    </mc:Choice>
  </mc:AlternateContent>
  <workbookProtection workbookAlgorithmName="SHA-512" workbookHashValue="CBeDqXV0IkgbwXi4JgZAhtyfYSbn1pXbBbku4317iUGX5JIKJxeDUBcWcKzvVuD8wXU5B7TOzlhIjtbvbbGUdA==" workbookSaltValue="ZGnHF2Tyub+pO1ftWX/K7g==" workbookSpinCount="100000" lockStructure="1"/>
  <bookViews>
    <workbookView xWindow="0" yWindow="0" windowWidth="15345" windowHeight="4050" tabRatio="599" firstSheet="7" activeTab="7"/>
  </bookViews>
  <sheets>
    <sheet name="Sheet1" sheetId="7" state="hidden" r:id="rId1"/>
    <sheet name="Sheet2" sheetId="8" state="hidden" r:id="rId2"/>
    <sheet name="Sheet3" sheetId="9" state="hidden" r:id="rId3"/>
    <sheet name="Sheet4" sheetId="11" state="hidden" r:id="rId4"/>
    <sheet name="Sheet5" sheetId="12" state="hidden" r:id="rId5"/>
    <sheet name="Sheet6" sheetId="14" state="hidden" r:id="rId6"/>
    <sheet name="Sheet7" sheetId="15" state="hidden" r:id="rId7"/>
    <sheet name="Dashboard" sheetId="13" r:id="rId8"/>
    <sheet name="Pivot_tbl" sheetId="5" r:id="rId9"/>
    <sheet name="Master_tbl" sheetId="6" r:id="rId10"/>
    <sheet name="Products" sheetId="1" r:id="rId11"/>
    <sheet name="Sales" sheetId="2" r:id="rId12"/>
    <sheet name="Comp_prices" sheetId="4" r:id="rId13"/>
    <sheet name="Reviews" sheetId="3" r:id="rId14"/>
  </sheets>
  <definedNames>
    <definedName name="comp_prices_tbl">Table1[]</definedName>
    <definedName name="Comp_tbl">Table1[]</definedName>
    <definedName name="Master_tbl">Table5[]</definedName>
    <definedName name="Slicer_category">#N/A</definedName>
    <definedName name="Slicer_sale_date">#N/A</definedName>
  </definedNames>
  <calcPr calcId="152511"/>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6" l="1"/>
  <c r="O3" i="6"/>
  <c r="R1002" i="6"/>
  <c r="R1003" i="6"/>
  <c r="AD15" i="5"/>
  <c r="AA15" i="5"/>
  <c r="AI15" i="5"/>
  <c r="AG15" i="5"/>
  <c r="G15"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J2" i="6" l="1"/>
  <c r="M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2" i="6"/>
  <c r="G2" i="6"/>
  <c r="G3" i="6"/>
  <c r="G4" i="6"/>
  <c r="G5" i="6"/>
  <c r="G6" i="6"/>
  <c r="G7" i="6"/>
  <c r="G8" i="6"/>
  <c r="G9" i="6"/>
  <c r="G10" i="6"/>
  <c r="G11" i="6"/>
  <c r="G12" i="6"/>
  <c r="G13" i="6"/>
  <c r="G14"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F1001" i="6" l="1"/>
  <c r="O1001" i="6" s="1"/>
  <c r="F997" i="6"/>
  <c r="O997" i="6" s="1"/>
  <c r="F993" i="6"/>
  <c r="O993" i="6" s="1"/>
  <c r="F989" i="6"/>
  <c r="O989" i="6" s="1"/>
  <c r="F985" i="6"/>
  <c r="O985" i="6" s="1"/>
  <c r="F981" i="6"/>
  <c r="O981" i="6" s="1"/>
  <c r="F977" i="6"/>
  <c r="O977" i="6" s="1"/>
  <c r="F973" i="6"/>
  <c r="O973" i="6" s="1"/>
  <c r="F969" i="6"/>
  <c r="O969" i="6" s="1"/>
  <c r="F965" i="6"/>
  <c r="O965" i="6" s="1"/>
  <c r="F961" i="6"/>
  <c r="O961" i="6" s="1"/>
  <c r="F957" i="6"/>
  <c r="O957" i="6" s="1"/>
  <c r="F953" i="6"/>
  <c r="O953" i="6" s="1"/>
  <c r="F949" i="6"/>
  <c r="O949" i="6" s="1"/>
  <c r="F945" i="6"/>
  <c r="O945" i="6" s="1"/>
  <c r="F941" i="6"/>
  <c r="O941" i="6" s="1"/>
  <c r="F937" i="6"/>
  <c r="O937" i="6" s="1"/>
  <c r="F933" i="6"/>
  <c r="O933" i="6" s="1"/>
  <c r="F929" i="6"/>
  <c r="O929" i="6" s="1"/>
  <c r="F925" i="6"/>
  <c r="O925" i="6" s="1"/>
  <c r="F921" i="6"/>
  <c r="O921" i="6" s="1"/>
  <c r="F917" i="6"/>
  <c r="O917" i="6" s="1"/>
  <c r="F913" i="6"/>
  <c r="O913" i="6" s="1"/>
  <c r="F909" i="6"/>
  <c r="O909" i="6" s="1"/>
  <c r="F905" i="6"/>
  <c r="O905" i="6" s="1"/>
  <c r="F901" i="6"/>
  <c r="O901" i="6" s="1"/>
  <c r="F897" i="6"/>
  <c r="O897" i="6" s="1"/>
  <c r="F893" i="6"/>
  <c r="O893" i="6" s="1"/>
  <c r="F889" i="6"/>
  <c r="O889" i="6" s="1"/>
  <c r="F885" i="6"/>
  <c r="O885" i="6" s="1"/>
  <c r="F881" i="6"/>
  <c r="O881" i="6" s="1"/>
  <c r="F877" i="6"/>
  <c r="O877" i="6" s="1"/>
  <c r="F873" i="6"/>
  <c r="O873" i="6" s="1"/>
  <c r="F869" i="6"/>
  <c r="O869" i="6" s="1"/>
  <c r="F865" i="6"/>
  <c r="O865" i="6" s="1"/>
  <c r="F861" i="6"/>
  <c r="O861" i="6" s="1"/>
  <c r="F857" i="6"/>
  <c r="O857" i="6" s="1"/>
  <c r="F853" i="6"/>
  <c r="O853" i="6" s="1"/>
  <c r="F849" i="6"/>
  <c r="O849" i="6" s="1"/>
  <c r="F845" i="6"/>
  <c r="O845" i="6" s="1"/>
  <c r="F841" i="6"/>
  <c r="O841" i="6" s="1"/>
  <c r="F837" i="6"/>
  <c r="O837" i="6" s="1"/>
  <c r="F833" i="6"/>
  <c r="O833" i="6" s="1"/>
  <c r="F829" i="6"/>
  <c r="O829" i="6" s="1"/>
  <c r="F825" i="6"/>
  <c r="O825" i="6" s="1"/>
  <c r="F821" i="6"/>
  <c r="O821" i="6" s="1"/>
  <c r="F817" i="6"/>
  <c r="O817" i="6" s="1"/>
  <c r="F813" i="6"/>
  <c r="O813" i="6" s="1"/>
  <c r="F809" i="6"/>
  <c r="O809" i="6" s="1"/>
  <c r="F805" i="6"/>
  <c r="O805" i="6" s="1"/>
  <c r="F801" i="6"/>
  <c r="O801" i="6" s="1"/>
  <c r="F797" i="6"/>
  <c r="O797" i="6" s="1"/>
  <c r="F793" i="6"/>
  <c r="O793" i="6" s="1"/>
  <c r="F789" i="6"/>
  <c r="O789" i="6" s="1"/>
  <c r="F785" i="6"/>
  <c r="O785" i="6" s="1"/>
  <c r="F781" i="6"/>
  <c r="O781" i="6" s="1"/>
  <c r="F777" i="6"/>
  <c r="O777" i="6" s="1"/>
  <c r="F773" i="6"/>
  <c r="O773" i="6" s="1"/>
  <c r="F769" i="6"/>
  <c r="O769" i="6" s="1"/>
  <c r="F765" i="6"/>
  <c r="O765" i="6" s="1"/>
  <c r="F761" i="6"/>
  <c r="O761" i="6" s="1"/>
  <c r="F757" i="6"/>
  <c r="O757" i="6" s="1"/>
  <c r="F753" i="6"/>
  <c r="O753" i="6" s="1"/>
  <c r="F749" i="6"/>
  <c r="O749" i="6" s="1"/>
  <c r="F745" i="6"/>
  <c r="O745" i="6" s="1"/>
  <c r="F741" i="6"/>
  <c r="O741" i="6" s="1"/>
  <c r="F737" i="6"/>
  <c r="O737" i="6" s="1"/>
  <c r="F733" i="6"/>
  <c r="O733" i="6" s="1"/>
  <c r="F729" i="6"/>
  <c r="O729" i="6" s="1"/>
  <c r="F725" i="6"/>
  <c r="O725" i="6" s="1"/>
  <c r="F721" i="6"/>
  <c r="O721" i="6" s="1"/>
  <c r="F717" i="6"/>
  <c r="O717" i="6" s="1"/>
  <c r="F713" i="6"/>
  <c r="O713" i="6" s="1"/>
  <c r="F709" i="6"/>
  <c r="O709" i="6" s="1"/>
  <c r="F705" i="6"/>
  <c r="O705" i="6" s="1"/>
  <c r="F701" i="6"/>
  <c r="O701" i="6" s="1"/>
  <c r="F697" i="6"/>
  <c r="O697" i="6" s="1"/>
  <c r="F693" i="6"/>
  <c r="O693" i="6" s="1"/>
  <c r="F689" i="6"/>
  <c r="O689" i="6" s="1"/>
  <c r="F685" i="6"/>
  <c r="O685" i="6" s="1"/>
  <c r="F681" i="6"/>
  <c r="O681" i="6" s="1"/>
  <c r="F677" i="6"/>
  <c r="O677" i="6" s="1"/>
  <c r="F673" i="6"/>
  <c r="O673" i="6" s="1"/>
  <c r="F669" i="6"/>
  <c r="O669" i="6" s="1"/>
  <c r="F665" i="6"/>
  <c r="O665" i="6" s="1"/>
  <c r="F661" i="6"/>
  <c r="O661" i="6" s="1"/>
  <c r="F657" i="6"/>
  <c r="O657" i="6" s="1"/>
  <c r="F653" i="6"/>
  <c r="O653" i="6" s="1"/>
  <c r="F649" i="6"/>
  <c r="O649" i="6" s="1"/>
  <c r="F645" i="6"/>
  <c r="O645" i="6" s="1"/>
  <c r="F641" i="6"/>
  <c r="O641" i="6" s="1"/>
  <c r="F637" i="6"/>
  <c r="O637" i="6" s="1"/>
  <c r="F633" i="6"/>
  <c r="O633" i="6" s="1"/>
  <c r="F629" i="6"/>
  <c r="O629" i="6" s="1"/>
  <c r="F625" i="6"/>
  <c r="O625" i="6" s="1"/>
  <c r="F621" i="6"/>
  <c r="O621" i="6" s="1"/>
  <c r="F617" i="6"/>
  <c r="O617" i="6" s="1"/>
  <c r="F613" i="6"/>
  <c r="O613" i="6" s="1"/>
  <c r="F609" i="6"/>
  <c r="O609" i="6" s="1"/>
  <c r="F605" i="6"/>
  <c r="O605" i="6" s="1"/>
  <c r="F601" i="6"/>
  <c r="O601" i="6" s="1"/>
  <c r="F597" i="6"/>
  <c r="O597" i="6" s="1"/>
  <c r="F593" i="6"/>
  <c r="O593" i="6" s="1"/>
  <c r="F589" i="6"/>
  <c r="O589" i="6" s="1"/>
  <c r="F585" i="6"/>
  <c r="O585" i="6" s="1"/>
  <c r="F581" i="6"/>
  <c r="O581" i="6" s="1"/>
  <c r="F577" i="6"/>
  <c r="O577" i="6" s="1"/>
  <c r="F573" i="6"/>
  <c r="O573" i="6" s="1"/>
  <c r="F569" i="6"/>
  <c r="O569" i="6" s="1"/>
  <c r="F565" i="6"/>
  <c r="O565" i="6" s="1"/>
  <c r="F561" i="6"/>
  <c r="O561" i="6" s="1"/>
  <c r="F557" i="6"/>
  <c r="O557" i="6" s="1"/>
  <c r="F553" i="6"/>
  <c r="O553" i="6" s="1"/>
  <c r="F549" i="6"/>
  <c r="O549" i="6" s="1"/>
  <c r="F545" i="6"/>
  <c r="O545" i="6" s="1"/>
  <c r="F541" i="6"/>
  <c r="O541" i="6" s="1"/>
  <c r="F537" i="6"/>
  <c r="O537" i="6" s="1"/>
  <c r="F533" i="6"/>
  <c r="O533" i="6" s="1"/>
  <c r="F529" i="6"/>
  <c r="O529" i="6" s="1"/>
  <c r="F525" i="6"/>
  <c r="O525" i="6" s="1"/>
  <c r="F521" i="6"/>
  <c r="O521" i="6" s="1"/>
  <c r="F517" i="6"/>
  <c r="O517" i="6" s="1"/>
  <c r="F513" i="6"/>
  <c r="O513" i="6" s="1"/>
  <c r="F509" i="6"/>
  <c r="O509" i="6" s="1"/>
  <c r="F505" i="6"/>
  <c r="O505" i="6" s="1"/>
  <c r="F501" i="6"/>
  <c r="O501" i="6" s="1"/>
  <c r="F497" i="6"/>
  <c r="O497" i="6" s="1"/>
  <c r="F493" i="6"/>
  <c r="O493" i="6" s="1"/>
  <c r="F489" i="6"/>
  <c r="O489" i="6" s="1"/>
  <c r="F485" i="6"/>
  <c r="O485" i="6" s="1"/>
  <c r="F481" i="6"/>
  <c r="O481" i="6" s="1"/>
  <c r="F477" i="6"/>
  <c r="O477" i="6" s="1"/>
  <c r="F473" i="6"/>
  <c r="O473" i="6" s="1"/>
  <c r="F469" i="6"/>
  <c r="O469" i="6" s="1"/>
  <c r="F465" i="6"/>
  <c r="O465" i="6" s="1"/>
  <c r="F461" i="6"/>
  <c r="O461" i="6" s="1"/>
  <c r="F457" i="6"/>
  <c r="O457" i="6" s="1"/>
  <c r="F453" i="6"/>
  <c r="O453" i="6" s="1"/>
  <c r="F449" i="6"/>
  <c r="O449" i="6" s="1"/>
  <c r="F445" i="6"/>
  <c r="O445" i="6" s="1"/>
  <c r="F441" i="6"/>
  <c r="O441" i="6" s="1"/>
  <c r="F437" i="6"/>
  <c r="O437" i="6" s="1"/>
  <c r="F433" i="6"/>
  <c r="O433" i="6" s="1"/>
  <c r="F429" i="6"/>
  <c r="O429" i="6" s="1"/>
  <c r="F425" i="6"/>
  <c r="O425" i="6" s="1"/>
  <c r="F421" i="6"/>
  <c r="O421" i="6" s="1"/>
  <c r="F417" i="6"/>
  <c r="O417" i="6" s="1"/>
  <c r="F413" i="6"/>
  <c r="O413" i="6" s="1"/>
  <c r="F409" i="6"/>
  <c r="O409" i="6" s="1"/>
  <c r="F405" i="6"/>
  <c r="O405" i="6" s="1"/>
  <c r="F401" i="6"/>
  <c r="O401" i="6" s="1"/>
  <c r="F397" i="6"/>
  <c r="O397" i="6" s="1"/>
  <c r="F393" i="6"/>
  <c r="O393" i="6" s="1"/>
  <c r="F389" i="6"/>
  <c r="O389" i="6" s="1"/>
  <c r="F385" i="6"/>
  <c r="O385" i="6" s="1"/>
  <c r="F381" i="6"/>
  <c r="O381" i="6" s="1"/>
  <c r="F377" i="6"/>
  <c r="O377" i="6" s="1"/>
  <c r="F373" i="6"/>
  <c r="O373" i="6" s="1"/>
  <c r="F369" i="6"/>
  <c r="O369" i="6" s="1"/>
  <c r="F365" i="6"/>
  <c r="O365" i="6" s="1"/>
  <c r="F361" i="6"/>
  <c r="O361" i="6" s="1"/>
  <c r="F357" i="6"/>
  <c r="O357" i="6" s="1"/>
  <c r="F353" i="6"/>
  <c r="O353" i="6" s="1"/>
  <c r="F349" i="6"/>
  <c r="O349" i="6" s="1"/>
  <c r="F345" i="6"/>
  <c r="O345" i="6" s="1"/>
  <c r="F341" i="6"/>
  <c r="O341" i="6" s="1"/>
  <c r="F337" i="6"/>
  <c r="O337" i="6" s="1"/>
  <c r="F333" i="6"/>
  <c r="O333" i="6" s="1"/>
  <c r="F329" i="6"/>
  <c r="O329" i="6" s="1"/>
  <c r="F325" i="6"/>
  <c r="O325" i="6" s="1"/>
  <c r="F321" i="6"/>
  <c r="O321" i="6" s="1"/>
  <c r="F317" i="6"/>
  <c r="O317" i="6" s="1"/>
  <c r="F313" i="6"/>
  <c r="O313" i="6" s="1"/>
  <c r="F309" i="6"/>
  <c r="O309" i="6" s="1"/>
  <c r="F305" i="6"/>
  <c r="O305" i="6" s="1"/>
  <c r="F301" i="6"/>
  <c r="O301" i="6" s="1"/>
  <c r="F297" i="6"/>
  <c r="O297" i="6" s="1"/>
  <c r="F293" i="6"/>
  <c r="O293" i="6" s="1"/>
  <c r="F289" i="6"/>
  <c r="O289" i="6" s="1"/>
  <c r="F285" i="6"/>
  <c r="O285" i="6" s="1"/>
  <c r="F281" i="6"/>
  <c r="O281" i="6" s="1"/>
  <c r="F277" i="6"/>
  <c r="O277" i="6" s="1"/>
  <c r="F273" i="6"/>
  <c r="O273" i="6" s="1"/>
  <c r="F269" i="6"/>
  <c r="O269" i="6" s="1"/>
  <c r="F265" i="6"/>
  <c r="O265" i="6" s="1"/>
  <c r="F261" i="6"/>
  <c r="O261" i="6" s="1"/>
  <c r="F257" i="6"/>
  <c r="O257" i="6" s="1"/>
  <c r="F253" i="6"/>
  <c r="O253" i="6" s="1"/>
  <c r="F249" i="6"/>
  <c r="O249" i="6" s="1"/>
  <c r="F245" i="6"/>
  <c r="O245" i="6" s="1"/>
  <c r="F241" i="6"/>
  <c r="O241" i="6" s="1"/>
  <c r="F237" i="6"/>
  <c r="O237" i="6" s="1"/>
  <c r="F233" i="6"/>
  <c r="O233" i="6" s="1"/>
  <c r="F229" i="6"/>
  <c r="O229" i="6" s="1"/>
  <c r="F225" i="6"/>
  <c r="O225" i="6" s="1"/>
  <c r="F221" i="6"/>
  <c r="O221" i="6" s="1"/>
  <c r="F217" i="6"/>
  <c r="O217" i="6" s="1"/>
  <c r="F213" i="6"/>
  <c r="O213" i="6" s="1"/>
  <c r="F209" i="6"/>
  <c r="O209" i="6" s="1"/>
  <c r="F205" i="6"/>
  <c r="O205" i="6" s="1"/>
  <c r="F201" i="6"/>
  <c r="O201" i="6" s="1"/>
  <c r="F197" i="6"/>
  <c r="O197" i="6" s="1"/>
  <c r="F193" i="6"/>
  <c r="O193" i="6" s="1"/>
  <c r="F189" i="6"/>
  <c r="O189" i="6" s="1"/>
  <c r="F185" i="6"/>
  <c r="O185" i="6" s="1"/>
  <c r="F181" i="6"/>
  <c r="O181" i="6" s="1"/>
  <c r="F177" i="6"/>
  <c r="O177" i="6" s="1"/>
  <c r="F173" i="6"/>
  <c r="O173" i="6" s="1"/>
  <c r="F169" i="6"/>
  <c r="O169" i="6" s="1"/>
  <c r="F165" i="6"/>
  <c r="O165" i="6" s="1"/>
  <c r="F161" i="6"/>
  <c r="O161" i="6" s="1"/>
  <c r="F157" i="6"/>
  <c r="O157" i="6" s="1"/>
  <c r="F153" i="6"/>
  <c r="O153" i="6" s="1"/>
  <c r="F149" i="6"/>
  <c r="O149" i="6" s="1"/>
  <c r="F145" i="6"/>
  <c r="O145" i="6" s="1"/>
  <c r="F141" i="6"/>
  <c r="O141" i="6" s="1"/>
  <c r="F137" i="6"/>
  <c r="O137" i="6" s="1"/>
  <c r="F133" i="6"/>
  <c r="O133" i="6" s="1"/>
  <c r="F129" i="6"/>
  <c r="O129" i="6" s="1"/>
  <c r="F125" i="6"/>
  <c r="O125" i="6" s="1"/>
  <c r="F121" i="6"/>
  <c r="O121" i="6" s="1"/>
  <c r="F117" i="6"/>
  <c r="O117" i="6" s="1"/>
  <c r="F113" i="6"/>
  <c r="O113" i="6" s="1"/>
  <c r="F109" i="6"/>
  <c r="O109" i="6" s="1"/>
  <c r="F105" i="6"/>
  <c r="O105" i="6" s="1"/>
  <c r="F101" i="6"/>
  <c r="O101" i="6" s="1"/>
  <c r="F97" i="6"/>
  <c r="O97" i="6" s="1"/>
  <c r="F93" i="6"/>
  <c r="O93" i="6" s="1"/>
  <c r="F89" i="6"/>
  <c r="O89" i="6" s="1"/>
  <c r="F85" i="6"/>
  <c r="O85" i="6" s="1"/>
  <c r="F81" i="6"/>
  <c r="O81" i="6" s="1"/>
  <c r="F77" i="6"/>
  <c r="O77" i="6" s="1"/>
  <c r="F73" i="6"/>
  <c r="O73" i="6" s="1"/>
  <c r="F69" i="6"/>
  <c r="O69" i="6" s="1"/>
  <c r="F65" i="6"/>
  <c r="O65" i="6" s="1"/>
  <c r="F61" i="6"/>
  <c r="O61" i="6" s="1"/>
  <c r="F57" i="6"/>
  <c r="O57" i="6" s="1"/>
  <c r="F53" i="6"/>
  <c r="O53" i="6" s="1"/>
  <c r="F49" i="6"/>
  <c r="O49" i="6" s="1"/>
  <c r="F45" i="6"/>
  <c r="O45" i="6" s="1"/>
  <c r="F41" i="6"/>
  <c r="O41" i="6" s="1"/>
  <c r="F37" i="6"/>
  <c r="O37" i="6" s="1"/>
  <c r="F33" i="6"/>
  <c r="O33" i="6" s="1"/>
  <c r="F29" i="6"/>
  <c r="O29" i="6" s="1"/>
  <c r="F25" i="6"/>
  <c r="O25" i="6" s="1"/>
  <c r="F21" i="6"/>
  <c r="O21" i="6" s="1"/>
  <c r="F17" i="6"/>
  <c r="O17" i="6" s="1"/>
  <c r="F13" i="6"/>
  <c r="O13" i="6" s="1"/>
  <c r="F9" i="6"/>
  <c r="O9" i="6" s="1"/>
  <c r="F5" i="6"/>
  <c r="O5" i="6" s="1"/>
  <c r="F999" i="6"/>
  <c r="O999" i="6" s="1"/>
  <c r="F995" i="6"/>
  <c r="O995" i="6" s="1"/>
  <c r="F991" i="6"/>
  <c r="O991" i="6" s="1"/>
  <c r="F987" i="6"/>
  <c r="O987" i="6" s="1"/>
  <c r="F983" i="6"/>
  <c r="O983" i="6" s="1"/>
  <c r="F979" i="6"/>
  <c r="O979" i="6" s="1"/>
  <c r="F975" i="6"/>
  <c r="O975" i="6" s="1"/>
  <c r="F971" i="6"/>
  <c r="O971" i="6" s="1"/>
  <c r="F967" i="6"/>
  <c r="O967" i="6" s="1"/>
  <c r="F963" i="6"/>
  <c r="O963" i="6" s="1"/>
  <c r="F959" i="6"/>
  <c r="O959" i="6" s="1"/>
  <c r="F955" i="6"/>
  <c r="O955" i="6" s="1"/>
  <c r="F951" i="6"/>
  <c r="O951" i="6" s="1"/>
  <c r="F947" i="6"/>
  <c r="O947" i="6" s="1"/>
  <c r="F943" i="6"/>
  <c r="O943" i="6" s="1"/>
  <c r="F939" i="6"/>
  <c r="O939" i="6" s="1"/>
  <c r="F935" i="6"/>
  <c r="O935" i="6" s="1"/>
  <c r="F931" i="6"/>
  <c r="O931" i="6" s="1"/>
  <c r="F927" i="6"/>
  <c r="O927" i="6" s="1"/>
  <c r="F923" i="6"/>
  <c r="O923" i="6" s="1"/>
  <c r="F919" i="6"/>
  <c r="O919" i="6" s="1"/>
  <c r="F915" i="6"/>
  <c r="O915" i="6" s="1"/>
  <c r="F911" i="6"/>
  <c r="O911" i="6" s="1"/>
  <c r="F907" i="6"/>
  <c r="O907" i="6" s="1"/>
  <c r="F903" i="6"/>
  <c r="O903" i="6" s="1"/>
  <c r="F899" i="6"/>
  <c r="O899" i="6" s="1"/>
  <c r="F895" i="6"/>
  <c r="O895" i="6" s="1"/>
  <c r="F891" i="6"/>
  <c r="O891" i="6" s="1"/>
  <c r="F887" i="6"/>
  <c r="O887" i="6" s="1"/>
  <c r="F883" i="6"/>
  <c r="O883" i="6" s="1"/>
  <c r="F879" i="6"/>
  <c r="O879" i="6" s="1"/>
  <c r="F875" i="6"/>
  <c r="O875" i="6" s="1"/>
  <c r="F871" i="6"/>
  <c r="O871" i="6" s="1"/>
  <c r="F867" i="6"/>
  <c r="O867" i="6" s="1"/>
  <c r="F863" i="6"/>
  <c r="O863" i="6" s="1"/>
  <c r="F859" i="6"/>
  <c r="O859" i="6" s="1"/>
  <c r="F855" i="6"/>
  <c r="O855" i="6" s="1"/>
  <c r="F851" i="6"/>
  <c r="O851" i="6" s="1"/>
  <c r="F847" i="6"/>
  <c r="O847" i="6" s="1"/>
  <c r="F843" i="6"/>
  <c r="O843" i="6" s="1"/>
  <c r="F839" i="6"/>
  <c r="O839" i="6" s="1"/>
  <c r="F835" i="6"/>
  <c r="O835" i="6" s="1"/>
  <c r="F831" i="6"/>
  <c r="O831" i="6" s="1"/>
  <c r="F827" i="6"/>
  <c r="O827" i="6" s="1"/>
  <c r="F823" i="6"/>
  <c r="O823" i="6" s="1"/>
  <c r="F819" i="6"/>
  <c r="O819" i="6" s="1"/>
  <c r="F815" i="6"/>
  <c r="O815" i="6" s="1"/>
  <c r="F811" i="6"/>
  <c r="O811" i="6" s="1"/>
  <c r="F807" i="6"/>
  <c r="O807" i="6" s="1"/>
  <c r="F803" i="6"/>
  <c r="O803" i="6" s="1"/>
  <c r="F799" i="6"/>
  <c r="O799" i="6" s="1"/>
  <c r="F795" i="6"/>
  <c r="O795" i="6" s="1"/>
  <c r="F791" i="6"/>
  <c r="O791" i="6" s="1"/>
  <c r="F787" i="6"/>
  <c r="O787" i="6" s="1"/>
  <c r="F783" i="6"/>
  <c r="O783" i="6" s="1"/>
  <c r="F779" i="6"/>
  <c r="O779" i="6" s="1"/>
  <c r="F775" i="6"/>
  <c r="O775" i="6" s="1"/>
  <c r="F771" i="6"/>
  <c r="O771" i="6" s="1"/>
  <c r="F767" i="6"/>
  <c r="O767" i="6" s="1"/>
  <c r="F763" i="6"/>
  <c r="O763" i="6" s="1"/>
  <c r="F759" i="6"/>
  <c r="O759" i="6" s="1"/>
  <c r="F755" i="6"/>
  <c r="O755" i="6" s="1"/>
  <c r="F751" i="6"/>
  <c r="O751" i="6" s="1"/>
  <c r="F747" i="6"/>
  <c r="O747" i="6" s="1"/>
  <c r="F743" i="6"/>
  <c r="O743" i="6" s="1"/>
  <c r="F739" i="6"/>
  <c r="O739" i="6" s="1"/>
  <c r="F735" i="6"/>
  <c r="O735" i="6" s="1"/>
  <c r="F731" i="6"/>
  <c r="O731" i="6" s="1"/>
  <c r="F727" i="6"/>
  <c r="O727" i="6" s="1"/>
  <c r="F723" i="6"/>
  <c r="O723" i="6" s="1"/>
  <c r="F719" i="6"/>
  <c r="O719" i="6" s="1"/>
  <c r="F715" i="6"/>
  <c r="O715" i="6" s="1"/>
  <c r="F711" i="6"/>
  <c r="O711" i="6" s="1"/>
  <c r="F707" i="6"/>
  <c r="O707" i="6" s="1"/>
  <c r="F703" i="6"/>
  <c r="O703" i="6" s="1"/>
  <c r="F699" i="6"/>
  <c r="O699" i="6" s="1"/>
  <c r="F695" i="6"/>
  <c r="O695" i="6" s="1"/>
  <c r="F691" i="6"/>
  <c r="O691" i="6" s="1"/>
  <c r="F687" i="6"/>
  <c r="O687" i="6" s="1"/>
  <c r="F683" i="6"/>
  <c r="O683" i="6" s="1"/>
  <c r="F679" i="6"/>
  <c r="O679" i="6" s="1"/>
  <c r="F675" i="6"/>
  <c r="O675" i="6" s="1"/>
  <c r="F671" i="6"/>
  <c r="O671" i="6" s="1"/>
  <c r="F667" i="6"/>
  <c r="O667" i="6" s="1"/>
  <c r="F663" i="6"/>
  <c r="O663" i="6" s="1"/>
  <c r="F659" i="6"/>
  <c r="O659" i="6" s="1"/>
  <c r="F655" i="6"/>
  <c r="O655" i="6" s="1"/>
  <c r="F651" i="6"/>
  <c r="O651" i="6" s="1"/>
  <c r="F647" i="6"/>
  <c r="O647" i="6" s="1"/>
  <c r="F643" i="6"/>
  <c r="O643" i="6" s="1"/>
  <c r="F639" i="6"/>
  <c r="O639" i="6" s="1"/>
  <c r="F635" i="6"/>
  <c r="O635" i="6" s="1"/>
  <c r="F631" i="6"/>
  <c r="O631" i="6" s="1"/>
  <c r="F627" i="6"/>
  <c r="O627" i="6" s="1"/>
  <c r="F623" i="6"/>
  <c r="O623" i="6" s="1"/>
  <c r="F619" i="6"/>
  <c r="O619" i="6" s="1"/>
  <c r="F615" i="6"/>
  <c r="O615" i="6" s="1"/>
  <c r="F611" i="6"/>
  <c r="O611" i="6" s="1"/>
  <c r="F607" i="6"/>
  <c r="O607" i="6" s="1"/>
  <c r="F603" i="6"/>
  <c r="O603" i="6" s="1"/>
  <c r="F599" i="6"/>
  <c r="O599" i="6" s="1"/>
  <c r="F595" i="6"/>
  <c r="O595" i="6" s="1"/>
  <c r="F591" i="6"/>
  <c r="O591" i="6" s="1"/>
  <c r="F587" i="6"/>
  <c r="O587" i="6" s="1"/>
  <c r="F583" i="6"/>
  <c r="O583" i="6" s="1"/>
  <c r="F579" i="6"/>
  <c r="O579" i="6" s="1"/>
  <c r="F575" i="6"/>
  <c r="O575" i="6" s="1"/>
  <c r="F571" i="6"/>
  <c r="O571" i="6" s="1"/>
  <c r="F567" i="6"/>
  <c r="O567" i="6" s="1"/>
  <c r="F563" i="6"/>
  <c r="O563" i="6" s="1"/>
  <c r="F559" i="6"/>
  <c r="O559" i="6" s="1"/>
  <c r="F555" i="6"/>
  <c r="O555" i="6" s="1"/>
  <c r="F551" i="6"/>
  <c r="O551" i="6" s="1"/>
  <c r="F547" i="6"/>
  <c r="O547" i="6" s="1"/>
  <c r="F543" i="6"/>
  <c r="O543" i="6" s="1"/>
  <c r="F539" i="6"/>
  <c r="O539" i="6" s="1"/>
  <c r="F535" i="6"/>
  <c r="O535" i="6" s="1"/>
  <c r="F531" i="6"/>
  <c r="O531" i="6" s="1"/>
  <c r="F527" i="6"/>
  <c r="O527" i="6" s="1"/>
  <c r="F523" i="6"/>
  <c r="O523" i="6" s="1"/>
  <c r="F519" i="6"/>
  <c r="O519" i="6" s="1"/>
  <c r="F515" i="6"/>
  <c r="O515" i="6" s="1"/>
  <c r="F511" i="6"/>
  <c r="O511" i="6" s="1"/>
  <c r="F507" i="6"/>
  <c r="O507" i="6" s="1"/>
  <c r="F503" i="6"/>
  <c r="O503" i="6" s="1"/>
  <c r="F499" i="6"/>
  <c r="O499" i="6" s="1"/>
  <c r="F495" i="6"/>
  <c r="O495" i="6" s="1"/>
  <c r="F491" i="6"/>
  <c r="O491" i="6" s="1"/>
  <c r="F487" i="6"/>
  <c r="O487" i="6" s="1"/>
  <c r="F483" i="6"/>
  <c r="O483" i="6" s="1"/>
  <c r="F479" i="6"/>
  <c r="O479" i="6" s="1"/>
  <c r="F475" i="6"/>
  <c r="O475" i="6" s="1"/>
  <c r="F471" i="6"/>
  <c r="O471" i="6" s="1"/>
  <c r="F467" i="6"/>
  <c r="O467" i="6" s="1"/>
  <c r="F463" i="6"/>
  <c r="O463" i="6" s="1"/>
  <c r="F459" i="6"/>
  <c r="O459" i="6" s="1"/>
  <c r="F455" i="6"/>
  <c r="O455" i="6" s="1"/>
  <c r="F451" i="6"/>
  <c r="O451" i="6" s="1"/>
  <c r="F447" i="6"/>
  <c r="O447" i="6" s="1"/>
  <c r="F443" i="6"/>
  <c r="O443" i="6" s="1"/>
  <c r="F439" i="6"/>
  <c r="O439" i="6" s="1"/>
  <c r="F435" i="6"/>
  <c r="O435" i="6" s="1"/>
  <c r="F431" i="6"/>
  <c r="O431" i="6" s="1"/>
  <c r="F427" i="6"/>
  <c r="O427" i="6" s="1"/>
  <c r="F423" i="6"/>
  <c r="O423" i="6" s="1"/>
  <c r="F419" i="6"/>
  <c r="O419" i="6" s="1"/>
  <c r="F415" i="6"/>
  <c r="O415" i="6" s="1"/>
  <c r="F411" i="6"/>
  <c r="O411" i="6" s="1"/>
  <c r="F407" i="6"/>
  <c r="O407" i="6" s="1"/>
  <c r="F403" i="6"/>
  <c r="O403" i="6" s="1"/>
  <c r="F399" i="6"/>
  <c r="O399" i="6" s="1"/>
  <c r="F395" i="6"/>
  <c r="O395" i="6" s="1"/>
  <c r="F391" i="6"/>
  <c r="O391" i="6" s="1"/>
  <c r="F387" i="6"/>
  <c r="O387" i="6" s="1"/>
  <c r="F383" i="6"/>
  <c r="O383" i="6" s="1"/>
  <c r="F379" i="6"/>
  <c r="O379" i="6" s="1"/>
  <c r="F375" i="6"/>
  <c r="O375" i="6" s="1"/>
  <c r="F371" i="6"/>
  <c r="O371" i="6" s="1"/>
  <c r="F367" i="6"/>
  <c r="O367" i="6" s="1"/>
  <c r="F363" i="6"/>
  <c r="O363" i="6" s="1"/>
  <c r="F359" i="6"/>
  <c r="O359" i="6" s="1"/>
  <c r="F355" i="6"/>
  <c r="O355" i="6" s="1"/>
  <c r="F351" i="6"/>
  <c r="O351" i="6" s="1"/>
  <c r="F347" i="6"/>
  <c r="O347" i="6" s="1"/>
  <c r="F343" i="6"/>
  <c r="O343" i="6" s="1"/>
  <c r="F339" i="6"/>
  <c r="O339" i="6" s="1"/>
  <c r="F335" i="6"/>
  <c r="O335" i="6" s="1"/>
  <c r="F331" i="6"/>
  <c r="O331" i="6" s="1"/>
  <c r="F327" i="6"/>
  <c r="O327" i="6" s="1"/>
  <c r="F323" i="6"/>
  <c r="O323" i="6" s="1"/>
  <c r="F319" i="6"/>
  <c r="O319" i="6" s="1"/>
  <c r="F315" i="6"/>
  <c r="O315" i="6" s="1"/>
  <c r="F311" i="6"/>
  <c r="O311" i="6" s="1"/>
  <c r="F307" i="6"/>
  <c r="O307" i="6" s="1"/>
  <c r="F303" i="6"/>
  <c r="O303" i="6" s="1"/>
  <c r="F299" i="6"/>
  <c r="O299" i="6" s="1"/>
  <c r="F295" i="6"/>
  <c r="O295" i="6" s="1"/>
  <c r="F291" i="6"/>
  <c r="O291" i="6" s="1"/>
  <c r="F287" i="6"/>
  <c r="O287" i="6" s="1"/>
  <c r="F283" i="6"/>
  <c r="O283" i="6" s="1"/>
  <c r="F279" i="6"/>
  <c r="O279" i="6" s="1"/>
  <c r="F275" i="6"/>
  <c r="O275" i="6" s="1"/>
  <c r="F271" i="6"/>
  <c r="O271" i="6" s="1"/>
  <c r="F267" i="6"/>
  <c r="O267" i="6" s="1"/>
  <c r="F263" i="6"/>
  <c r="O263" i="6" s="1"/>
  <c r="F259" i="6"/>
  <c r="O259" i="6" s="1"/>
  <c r="F255" i="6"/>
  <c r="O255" i="6" s="1"/>
  <c r="F251" i="6"/>
  <c r="O251" i="6" s="1"/>
  <c r="F247" i="6"/>
  <c r="O247" i="6" s="1"/>
  <c r="F243" i="6"/>
  <c r="O243" i="6" s="1"/>
  <c r="F239" i="6"/>
  <c r="O239" i="6" s="1"/>
  <c r="F235" i="6"/>
  <c r="O235" i="6" s="1"/>
  <c r="F231" i="6"/>
  <c r="O231" i="6" s="1"/>
  <c r="F227" i="6"/>
  <c r="O227" i="6" s="1"/>
  <c r="F223" i="6"/>
  <c r="O223" i="6" s="1"/>
  <c r="F219" i="6"/>
  <c r="O219" i="6" s="1"/>
  <c r="F215" i="6"/>
  <c r="O215" i="6" s="1"/>
  <c r="F211" i="6"/>
  <c r="O211" i="6" s="1"/>
  <c r="F207" i="6"/>
  <c r="O207" i="6" s="1"/>
  <c r="F203" i="6"/>
  <c r="O203" i="6" s="1"/>
  <c r="F199" i="6"/>
  <c r="O199" i="6" s="1"/>
  <c r="F195" i="6"/>
  <c r="O195" i="6" s="1"/>
  <c r="F191" i="6"/>
  <c r="O191" i="6" s="1"/>
  <c r="F187" i="6"/>
  <c r="O187" i="6" s="1"/>
  <c r="F183" i="6"/>
  <c r="O183" i="6" s="1"/>
  <c r="F179" i="6"/>
  <c r="O179" i="6" s="1"/>
  <c r="F175" i="6"/>
  <c r="O175" i="6" s="1"/>
  <c r="F171" i="6"/>
  <c r="O171" i="6" s="1"/>
  <c r="F167" i="6"/>
  <c r="O167" i="6" s="1"/>
  <c r="F163" i="6"/>
  <c r="O163" i="6" s="1"/>
  <c r="F159" i="6"/>
  <c r="O159" i="6" s="1"/>
  <c r="F155" i="6"/>
  <c r="O155" i="6" s="1"/>
  <c r="F151" i="6"/>
  <c r="O151" i="6" s="1"/>
  <c r="F147" i="6"/>
  <c r="O147" i="6" s="1"/>
  <c r="F143" i="6"/>
  <c r="O143" i="6" s="1"/>
  <c r="F139" i="6"/>
  <c r="O139" i="6" s="1"/>
  <c r="F135" i="6"/>
  <c r="O135" i="6" s="1"/>
  <c r="F131" i="6"/>
  <c r="O131" i="6" s="1"/>
  <c r="F127" i="6"/>
  <c r="O127" i="6" s="1"/>
  <c r="F123" i="6"/>
  <c r="O123" i="6" s="1"/>
  <c r="F119" i="6"/>
  <c r="O119" i="6" s="1"/>
  <c r="F115" i="6"/>
  <c r="O115" i="6" s="1"/>
  <c r="F111" i="6"/>
  <c r="O111" i="6" s="1"/>
  <c r="F107" i="6"/>
  <c r="O107" i="6" s="1"/>
  <c r="F103" i="6"/>
  <c r="O103" i="6" s="1"/>
  <c r="F99" i="6"/>
  <c r="O99" i="6" s="1"/>
  <c r="F95" i="6"/>
  <c r="O95" i="6" s="1"/>
  <c r="F91" i="6"/>
  <c r="O91" i="6" s="1"/>
  <c r="F87" i="6"/>
  <c r="O87" i="6" s="1"/>
  <c r="F83" i="6"/>
  <c r="O83" i="6" s="1"/>
  <c r="F79" i="6"/>
  <c r="O79" i="6" s="1"/>
  <c r="F75" i="6"/>
  <c r="O75" i="6" s="1"/>
  <c r="F71" i="6"/>
  <c r="O71" i="6" s="1"/>
  <c r="F67" i="6"/>
  <c r="O67" i="6" s="1"/>
  <c r="F63" i="6"/>
  <c r="O63" i="6" s="1"/>
  <c r="F59" i="6"/>
  <c r="O59" i="6" s="1"/>
  <c r="F55" i="6"/>
  <c r="O55" i="6" s="1"/>
  <c r="F51" i="6"/>
  <c r="O51" i="6" s="1"/>
  <c r="F47" i="6"/>
  <c r="O47" i="6" s="1"/>
  <c r="F43" i="6"/>
  <c r="O43" i="6" s="1"/>
  <c r="F39" i="6"/>
  <c r="O39" i="6" s="1"/>
  <c r="F35" i="6"/>
  <c r="O35" i="6" s="1"/>
  <c r="F31" i="6"/>
  <c r="O31" i="6" s="1"/>
  <c r="F27" i="6"/>
  <c r="O27" i="6" s="1"/>
  <c r="F23" i="6"/>
  <c r="O23" i="6" s="1"/>
  <c r="F19" i="6"/>
  <c r="O19" i="6" s="1"/>
  <c r="F15" i="6"/>
  <c r="O15" i="6" s="1"/>
  <c r="F11" i="6"/>
  <c r="O11" i="6" s="1"/>
  <c r="F7" i="6"/>
  <c r="O7" i="6" s="1"/>
  <c r="F3" i="6"/>
  <c r="F1000" i="6"/>
  <c r="O1000" i="6" s="1"/>
  <c r="F996" i="6"/>
  <c r="O996" i="6" s="1"/>
  <c r="F992" i="6"/>
  <c r="O992" i="6" s="1"/>
  <c r="F988" i="6"/>
  <c r="O988" i="6" s="1"/>
  <c r="F984" i="6"/>
  <c r="O984" i="6" s="1"/>
  <c r="F980" i="6"/>
  <c r="O980" i="6" s="1"/>
  <c r="F976" i="6"/>
  <c r="O976" i="6" s="1"/>
  <c r="F972" i="6"/>
  <c r="O972" i="6" s="1"/>
  <c r="F968" i="6"/>
  <c r="O968" i="6" s="1"/>
  <c r="F964" i="6"/>
  <c r="O964" i="6" s="1"/>
  <c r="F960" i="6"/>
  <c r="O960" i="6" s="1"/>
  <c r="F956" i="6"/>
  <c r="O956" i="6" s="1"/>
  <c r="F952" i="6"/>
  <c r="O952" i="6" s="1"/>
  <c r="F948" i="6"/>
  <c r="O948" i="6" s="1"/>
  <c r="F944" i="6"/>
  <c r="O944" i="6" s="1"/>
  <c r="F940" i="6"/>
  <c r="O940" i="6" s="1"/>
  <c r="F936" i="6"/>
  <c r="O936" i="6" s="1"/>
  <c r="F932" i="6"/>
  <c r="O932" i="6" s="1"/>
  <c r="F928" i="6"/>
  <c r="O928" i="6" s="1"/>
  <c r="F924" i="6"/>
  <c r="O924" i="6" s="1"/>
  <c r="F920" i="6"/>
  <c r="O920" i="6" s="1"/>
  <c r="F916" i="6"/>
  <c r="O916" i="6" s="1"/>
  <c r="F912" i="6"/>
  <c r="O912" i="6" s="1"/>
  <c r="F908" i="6"/>
  <c r="O908" i="6" s="1"/>
  <c r="F904" i="6"/>
  <c r="O904" i="6" s="1"/>
  <c r="F900" i="6"/>
  <c r="O900" i="6" s="1"/>
  <c r="F896" i="6"/>
  <c r="O896" i="6" s="1"/>
  <c r="F892" i="6"/>
  <c r="O892" i="6" s="1"/>
  <c r="F888" i="6"/>
  <c r="O888" i="6" s="1"/>
  <c r="F884" i="6"/>
  <c r="O884" i="6" s="1"/>
  <c r="F880" i="6"/>
  <c r="O880" i="6" s="1"/>
  <c r="F876" i="6"/>
  <c r="O876" i="6" s="1"/>
  <c r="F872" i="6"/>
  <c r="O872" i="6" s="1"/>
  <c r="F868" i="6"/>
  <c r="O868" i="6" s="1"/>
  <c r="F864" i="6"/>
  <c r="O864" i="6" s="1"/>
  <c r="F860" i="6"/>
  <c r="O860" i="6" s="1"/>
  <c r="F856" i="6"/>
  <c r="O856" i="6" s="1"/>
  <c r="F852" i="6"/>
  <c r="O852" i="6" s="1"/>
  <c r="F848" i="6"/>
  <c r="O848" i="6" s="1"/>
  <c r="F844" i="6"/>
  <c r="O844" i="6" s="1"/>
  <c r="F840" i="6"/>
  <c r="O840" i="6" s="1"/>
  <c r="F836" i="6"/>
  <c r="O836" i="6" s="1"/>
  <c r="F832" i="6"/>
  <c r="O832" i="6" s="1"/>
  <c r="F828" i="6"/>
  <c r="O828" i="6" s="1"/>
  <c r="F824" i="6"/>
  <c r="O824" i="6" s="1"/>
  <c r="F820" i="6"/>
  <c r="O820" i="6" s="1"/>
  <c r="F816" i="6"/>
  <c r="O816" i="6" s="1"/>
  <c r="F812" i="6"/>
  <c r="O812" i="6" s="1"/>
  <c r="F808" i="6"/>
  <c r="O808" i="6" s="1"/>
  <c r="F804" i="6"/>
  <c r="O804" i="6" s="1"/>
  <c r="F800" i="6"/>
  <c r="O800" i="6" s="1"/>
  <c r="F796" i="6"/>
  <c r="O796" i="6" s="1"/>
  <c r="F792" i="6"/>
  <c r="O792" i="6" s="1"/>
  <c r="F788" i="6"/>
  <c r="O788" i="6" s="1"/>
  <c r="F784" i="6"/>
  <c r="O784" i="6" s="1"/>
  <c r="F780" i="6"/>
  <c r="O780" i="6" s="1"/>
  <c r="F776" i="6"/>
  <c r="O776" i="6" s="1"/>
  <c r="F772" i="6"/>
  <c r="O772" i="6" s="1"/>
  <c r="F768" i="6"/>
  <c r="O768" i="6" s="1"/>
  <c r="F764" i="6"/>
  <c r="O764" i="6" s="1"/>
  <c r="F760" i="6"/>
  <c r="O760" i="6" s="1"/>
  <c r="F756" i="6"/>
  <c r="O756" i="6" s="1"/>
  <c r="F752" i="6"/>
  <c r="O752" i="6" s="1"/>
  <c r="F748" i="6"/>
  <c r="O748" i="6" s="1"/>
  <c r="F744" i="6"/>
  <c r="O744" i="6" s="1"/>
  <c r="F740" i="6"/>
  <c r="O740" i="6" s="1"/>
  <c r="F736" i="6"/>
  <c r="O736" i="6" s="1"/>
  <c r="F732" i="6"/>
  <c r="O732" i="6" s="1"/>
  <c r="F728" i="6"/>
  <c r="O728" i="6" s="1"/>
  <c r="F724" i="6"/>
  <c r="O724" i="6" s="1"/>
  <c r="F720" i="6"/>
  <c r="O720" i="6" s="1"/>
  <c r="F716" i="6"/>
  <c r="O716" i="6" s="1"/>
  <c r="F712" i="6"/>
  <c r="O712" i="6" s="1"/>
  <c r="F708" i="6"/>
  <c r="O708" i="6" s="1"/>
  <c r="F704" i="6"/>
  <c r="O704" i="6" s="1"/>
  <c r="F700" i="6"/>
  <c r="O700" i="6" s="1"/>
  <c r="F696" i="6"/>
  <c r="O696" i="6" s="1"/>
  <c r="F692" i="6"/>
  <c r="O692" i="6" s="1"/>
  <c r="F688" i="6"/>
  <c r="O688" i="6" s="1"/>
  <c r="F684" i="6"/>
  <c r="O684" i="6" s="1"/>
  <c r="F680" i="6"/>
  <c r="O680" i="6" s="1"/>
  <c r="F676" i="6"/>
  <c r="O676" i="6" s="1"/>
  <c r="F672" i="6"/>
  <c r="O672" i="6" s="1"/>
  <c r="F668" i="6"/>
  <c r="O668" i="6" s="1"/>
  <c r="F664" i="6"/>
  <c r="O664" i="6" s="1"/>
  <c r="F660" i="6"/>
  <c r="O660" i="6" s="1"/>
  <c r="F656" i="6"/>
  <c r="O656" i="6" s="1"/>
  <c r="F652" i="6"/>
  <c r="O652" i="6" s="1"/>
  <c r="F648" i="6"/>
  <c r="O648" i="6" s="1"/>
  <c r="F644" i="6"/>
  <c r="O644" i="6" s="1"/>
  <c r="F640" i="6"/>
  <c r="O640" i="6" s="1"/>
  <c r="F636" i="6"/>
  <c r="O636" i="6" s="1"/>
  <c r="F632" i="6"/>
  <c r="O632" i="6" s="1"/>
  <c r="F628" i="6"/>
  <c r="O628" i="6" s="1"/>
  <c r="F624" i="6"/>
  <c r="O624" i="6" s="1"/>
  <c r="F620" i="6"/>
  <c r="O620" i="6" s="1"/>
  <c r="F616" i="6"/>
  <c r="O616" i="6" s="1"/>
  <c r="F612" i="6"/>
  <c r="O612" i="6" s="1"/>
  <c r="F608" i="6"/>
  <c r="O608" i="6" s="1"/>
  <c r="F604" i="6"/>
  <c r="O604" i="6" s="1"/>
  <c r="F600" i="6"/>
  <c r="O600" i="6" s="1"/>
  <c r="F596" i="6"/>
  <c r="O596" i="6" s="1"/>
  <c r="F592" i="6"/>
  <c r="O592" i="6" s="1"/>
  <c r="F588" i="6"/>
  <c r="O588" i="6" s="1"/>
  <c r="F584" i="6"/>
  <c r="O584" i="6" s="1"/>
  <c r="F580" i="6"/>
  <c r="O580" i="6" s="1"/>
  <c r="F576" i="6"/>
  <c r="O576" i="6" s="1"/>
  <c r="F572" i="6"/>
  <c r="O572" i="6" s="1"/>
  <c r="F568" i="6"/>
  <c r="O568" i="6" s="1"/>
  <c r="F564" i="6"/>
  <c r="O564" i="6" s="1"/>
  <c r="F560" i="6"/>
  <c r="O560" i="6" s="1"/>
  <c r="F556" i="6"/>
  <c r="O556" i="6" s="1"/>
  <c r="F552" i="6"/>
  <c r="O552" i="6" s="1"/>
  <c r="F548" i="6"/>
  <c r="O548" i="6" s="1"/>
  <c r="F544" i="6"/>
  <c r="O544" i="6" s="1"/>
  <c r="F540" i="6"/>
  <c r="O540" i="6" s="1"/>
  <c r="F536" i="6"/>
  <c r="O536" i="6" s="1"/>
  <c r="F532" i="6"/>
  <c r="O532" i="6" s="1"/>
  <c r="F528" i="6"/>
  <c r="O528" i="6" s="1"/>
  <c r="F524" i="6"/>
  <c r="O524" i="6" s="1"/>
  <c r="F520" i="6"/>
  <c r="O520" i="6" s="1"/>
  <c r="F516" i="6"/>
  <c r="O516" i="6" s="1"/>
  <c r="F512" i="6"/>
  <c r="O512" i="6" s="1"/>
  <c r="F508" i="6"/>
  <c r="O508" i="6" s="1"/>
  <c r="F504" i="6"/>
  <c r="O504" i="6" s="1"/>
  <c r="F500" i="6"/>
  <c r="O500" i="6" s="1"/>
  <c r="F496" i="6"/>
  <c r="O496" i="6" s="1"/>
  <c r="F492" i="6"/>
  <c r="O492" i="6" s="1"/>
  <c r="F488" i="6"/>
  <c r="O488" i="6" s="1"/>
  <c r="F484" i="6"/>
  <c r="O484" i="6" s="1"/>
  <c r="F480" i="6"/>
  <c r="O480" i="6" s="1"/>
  <c r="F476" i="6"/>
  <c r="O476" i="6" s="1"/>
  <c r="F472" i="6"/>
  <c r="O472" i="6" s="1"/>
  <c r="F468" i="6"/>
  <c r="O468" i="6" s="1"/>
  <c r="F464" i="6"/>
  <c r="O464" i="6" s="1"/>
  <c r="F460" i="6"/>
  <c r="O460" i="6" s="1"/>
  <c r="F456" i="6"/>
  <c r="O456" i="6" s="1"/>
  <c r="F452" i="6"/>
  <c r="O452" i="6" s="1"/>
  <c r="F448" i="6"/>
  <c r="O448" i="6" s="1"/>
  <c r="F444" i="6"/>
  <c r="O444" i="6" s="1"/>
  <c r="F440" i="6"/>
  <c r="O440" i="6" s="1"/>
  <c r="F436" i="6"/>
  <c r="O436" i="6" s="1"/>
  <c r="F432" i="6"/>
  <c r="O432" i="6" s="1"/>
  <c r="F428" i="6"/>
  <c r="O428" i="6" s="1"/>
  <c r="F424" i="6"/>
  <c r="O424" i="6" s="1"/>
  <c r="F420" i="6"/>
  <c r="O420" i="6" s="1"/>
  <c r="F416" i="6"/>
  <c r="O416" i="6" s="1"/>
  <c r="F412" i="6"/>
  <c r="O412" i="6" s="1"/>
  <c r="F408" i="6"/>
  <c r="O408" i="6" s="1"/>
  <c r="F404" i="6"/>
  <c r="O404" i="6" s="1"/>
  <c r="F400" i="6"/>
  <c r="O400" i="6" s="1"/>
  <c r="F396" i="6"/>
  <c r="O396" i="6" s="1"/>
  <c r="F392" i="6"/>
  <c r="O392" i="6" s="1"/>
  <c r="F388" i="6"/>
  <c r="O388" i="6" s="1"/>
  <c r="F384" i="6"/>
  <c r="O384" i="6" s="1"/>
  <c r="F380" i="6"/>
  <c r="O380" i="6" s="1"/>
  <c r="F376" i="6"/>
  <c r="O376" i="6" s="1"/>
  <c r="F372" i="6"/>
  <c r="O372" i="6" s="1"/>
  <c r="F368" i="6"/>
  <c r="O368" i="6" s="1"/>
  <c r="F364" i="6"/>
  <c r="O364" i="6" s="1"/>
  <c r="F360" i="6"/>
  <c r="O360" i="6" s="1"/>
  <c r="F356" i="6"/>
  <c r="O356" i="6" s="1"/>
  <c r="F352" i="6"/>
  <c r="O352" i="6" s="1"/>
  <c r="F348" i="6"/>
  <c r="O348" i="6" s="1"/>
  <c r="F344" i="6"/>
  <c r="O344" i="6" s="1"/>
  <c r="F340" i="6"/>
  <c r="O340" i="6" s="1"/>
  <c r="F336" i="6"/>
  <c r="O336" i="6" s="1"/>
  <c r="F332" i="6"/>
  <c r="O332" i="6" s="1"/>
  <c r="F328" i="6"/>
  <c r="O328" i="6" s="1"/>
  <c r="F324" i="6"/>
  <c r="O324" i="6" s="1"/>
  <c r="F320" i="6"/>
  <c r="O320" i="6" s="1"/>
  <c r="F316" i="6"/>
  <c r="O316" i="6" s="1"/>
  <c r="F312" i="6"/>
  <c r="O312" i="6" s="1"/>
  <c r="F308" i="6"/>
  <c r="O308" i="6" s="1"/>
  <c r="F304" i="6"/>
  <c r="O304" i="6" s="1"/>
  <c r="F300" i="6"/>
  <c r="O300" i="6" s="1"/>
  <c r="F296" i="6"/>
  <c r="O296" i="6" s="1"/>
  <c r="F292" i="6"/>
  <c r="O292" i="6" s="1"/>
  <c r="F288" i="6"/>
  <c r="O288" i="6" s="1"/>
  <c r="F284" i="6"/>
  <c r="O284" i="6" s="1"/>
  <c r="F280" i="6"/>
  <c r="O280" i="6" s="1"/>
  <c r="F276" i="6"/>
  <c r="O276" i="6" s="1"/>
  <c r="F272" i="6"/>
  <c r="O272" i="6" s="1"/>
  <c r="F268" i="6"/>
  <c r="O268" i="6" s="1"/>
  <c r="F264" i="6"/>
  <c r="O264" i="6" s="1"/>
  <c r="F260" i="6"/>
  <c r="O260" i="6" s="1"/>
  <c r="F256" i="6"/>
  <c r="O256" i="6" s="1"/>
  <c r="F252" i="6"/>
  <c r="O252" i="6" s="1"/>
  <c r="F248" i="6"/>
  <c r="O248" i="6" s="1"/>
  <c r="F244" i="6"/>
  <c r="O244" i="6" s="1"/>
  <c r="F240" i="6"/>
  <c r="O240" i="6" s="1"/>
  <c r="F236" i="6"/>
  <c r="O236" i="6" s="1"/>
  <c r="F232" i="6"/>
  <c r="O232" i="6" s="1"/>
  <c r="F228" i="6"/>
  <c r="O228" i="6" s="1"/>
  <c r="F224" i="6"/>
  <c r="O224" i="6" s="1"/>
  <c r="F220" i="6"/>
  <c r="O220" i="6" s="1"/>
  <c r="F216" i="6"/>
  <c r="O216" i="6" s="1"/>
  <c r="F212" i="6"/>
  <c r="O212" i="6" s="1"/>
  <c r="F208" i="6"/>
  <c r="O208" i="6" s="1"/>
  <c r="F204" i="6"/>
  <c r="O204" i="6" s="1"/>
  <c r="F200" i="6"/>
  <c r="O200" i="6" s="1"/>
  <c r="F196" i="6"/>
  <c r="O196" i="6" s="1"/>
  <c r="F192" i="6"/>
  <c r="O192" i="6" s="1"/>
  <c r="F188" i="6"/>
  <c r="O188" i="6" s="1"/>
  <c r="F184" i="6"/>
  <c r="O184" i="6" s="1"/>
  <c r="F180" i="6"/>
  <c r="O180" i="6" s="1"/>
  <c r="F176" i="6"/>
  <c r="O176" i="6" s="1"/>
  <c r="F172" i="6"/>
  <c r="O172" i="6" s="1"/>
  <c r="F168" i="6"/>
  <c r="O168" i="6" s="1"/>
  <c r="F164" i="6"/>
  <c r="O164" i="6" s="1"/>
  <c r="F160" i="6"/>
  <c r="O160" i="6" s="1"/>
  <c r="F156" i="6"/>
  <c r="O156" i="6" s="1"/>
  <c r="F152" i="6"/>
  <c r="O152" i="6" s="1"/>
  <c r="F148" i="6"/>
  <c r="O148" i="6" s="1"/>
  <c r="F144" i="6"/>
  <c r="O144" i="6" s="1"/>
  <c r="F140" i="6"/>
  <c r="O140" i="6" s="1"/>
  <c r="F136" i="6"/>
  <c r="O136" i="6" s="1"/>
  <c r="F132" i="6"/>
  <c r="O132" i="6" s="1"/>
  <c r="F128" i="6"/>
  <c r="O128" i="6" s="1"/>
  <c r="F124" i="6"/>
  <c r="O124" i="6" s="1"/>
  <c r="F120" i="6"/>
  <c r="O120" i="6" s="1"/>
  <c r="F116" i="6"/>
  <c r="O116" i="6" s="1"/>
  <c r="F112" i="6"/>
  <c r="O112" i="6" s="1"/>
  <c r="F108" i="6"/>
  <c r="O108" i="6" s="1"/>
  <c r="F104" i="6"/>
  <c r="O104" i="6" s="1"/>
  <c r="F100" i="6"/>
  <c r="O100" i="6" s="1"/>
  <c r="F96" i="6"/>
  <c r="O96" i="6" s="1"/>
  <c r="F92" i="6"/>
  <c r="O92" i="6" s="1"/>
  <c r="F88" i="6"/>
  <c r="O88" i="6" s="1"/>
  <c r="F84" i="6"/>
  <c r="O84" i="6" s="1"/>
  <c r="F80" i="6"/>
  <c r="O80" i="6" s="1"/>
  <c r="F76" i="6"/>
  <c r="O76" i="6" s="1"/>
  <c r="F72" i="6"/>
  <c r="O72" i="6" s="1"/>
  <c r="F68" i="6"/>
  <c r="O68" i="6" s="1"/>
  <c r="F64" i="6"/>
  <c r="O64" i="6" s="1"/>
  <c r="F60" i="6"/>
  <c r="O60" i="6" s="1"/>
  <c r="F56" i="6"/>
  <c r="O56" i="6" s="1"/>
  <c r="F52" i="6"/>
  <c r="O52" i="6" s="1"/>
  <c r="F48" i="6"/>
  <c r="O48" i="6" s="1"/>
  <c r="F44" i="6"/>
  <c r="O44" i="6" s="1"/>
  <c r="F40" i="6"/>
  <c r="O40" i="6" s="1"/>
  <c r="F36" i="6"/>
  <c r="O36" i="6" s="1"/>
  <c r="F32" i="6"/>
  <c r="O32" i="6" s="1"/>
  <c r="F28" i="6"/>
  <c r="O28" i="6" s="1"/>
  <c r="F24" i="6"/>
  <c r="O24" i="6" s="1"/>
  <c r="F20" i="6"/>
  <c r="O20" i="6" s="1"/>
  <c r="F16" i="6"/>
  <c r="O16" i="6" s="1"/>
  <c r="F12" i="6"/>
  <c r="O12" i="6" s="1"/>
  <c r="F8" i="6"/>
  <c r="O8" i="6" s="1"/>
  <c r="F4" i="6"/>
  <c r="O4" i="6" s="1"/>
  <c r="F998" i="6"/>
  <c r="O998" i="6" s="1"/>
  <c r="F994" i="6"/>
  <c r="O994" i="6" s="1"/>
  <c r="F990" i="6"/>
  <c r="O990" i="6" s="1"/>
  <c r="F986" i="6"/>
  <c r="O986" i="6" s="1"/>
  <c r="F982" i="6"/>
  <c r="O982" i="6" s="1"/>
  <c r="F978" i="6"/>
  <c r="O978" i="6" s="1"/>
  <c r="F974" i="6"/>
  <c r="O974" i="6" s="1"/>
  <c r="F970" i="6"/>
  <c r="O970" i="6" s="1"/>
  <c r="F966" i="6"/>
  <c r="O966" i="6" s="1"/>
  <c r="F962" i="6"/>
  <c r="O962" i="6" s="1"/>
  <c r="F958" i="6"/>
  <c r="O958" i="6" s="1"/>
  <c r="F954" i="6"/>
  <c r="O954" i="6" s="1"/>
  <c r="F950" i="6"/>
  <c r="O950" i="6" s="1"/>
  <c r="F946" i="6"/>
  <c r="O946" i="6" s="1"/>
  <c r="F942" i="6"/>
  <c r="O942" i="6" s="1"/>
  <c r="F938" i="6"/>
  <c r="O938" i="6" s="1"/>
  <c r="F934" i="6"/>
  <c r="O934" i="6" s="1"/>
  <c r="F930" i="6"/>
  <c r="O930" i="6" s="1"/>
  <c r="F926" i="6"/>
  <c r="O926" i="6" s="1"/>
  <c r="F922" i="6"/>
  <c r="O922" i="6" s="1"/>
  <c r="F918" i="6"/>
  <c r="O918" i="6" s="1"/>
  <c r="F914" i="6"/>
  <c r="O914" i="6" s="1"/>
  <c r="F910" i="6"/>
  <c r="O910" i="6" s="1"/>
  <c r="F906" i="6"/>
  <c r="O906" i="6" s="1"/>
  <c r="F902" i="6"/>
  <c r="O902" i="6" s="1"/>
  <c r="F898" i="6"/>
  <c r="O898" i="6" s="1"/>
  <c r="F894" i="6"/>
  <c r="O894" i="6" s="1"/>
  <c r="F890" i="6"/>
  <c r="O890" i="6" s="1"/>
  <c r="F886" i="6"/>
  <c r="O886" i="6" s="1"/>
  <c r="F882" i="6"/>
  <c r="O882" i="6" s="1"/>
  <c r="F878" i="6"/>
  <c r="O878" i="6" s="1"/>
  <c r="F874" i="6"/>
  <c r="O874" i="6" s="1"/>
  <c r="F870" i="6"/>
  <c r="O870" i="6" s="1"/>
  <c r="F866" i="6"/>
  <c r="O866" i="6" s="1"/>
  <c r="F862" i="6"/>
  <c r="O862" i="6" s="1"/>
  <c r="F858" i="6"/>
  <c r="O858" i="6" s="1"/>
  <c r="F854" i="6"/>
  <c r="O854" i="6" s="1"/>
  <c r="F850" i="6"/>
  <c r="O850" i="6" s="1"/>
  <c r="F846" i="6"/>
  <c r="O846" i="6" s="1"/>
  <c r="F842" i="6"/>
  <c r="O842" i="6" s="1"/>
  <c r="F838" i="6"/>
  <c r="O838" i="6" s="1"/>
  <c r="F834" i="6"/>
  <c r="O834" i="6" s="1"/>
  <c r="F830" i="6"/>
  <c r="O830" i="6" s="1"/>
  <c r="F826" i="6"/>
  <c r="O826" i="6" s="1"/>
  <c r="F822" i="6"/>
  <c r="O822" i="6" s="1"/>
  <c r="F818" i="6"/>
  <c r="O818" i="6" s="1"/>
  <c r="F814" i="6"/>
  <c r="O814" i="6" s="1"/>
  <c r="F810" i="6"/>
  <c r="O810" i="6" s="1"/>
  <c r="F806" i="6"/>
  <c r="O806" i="6" s="1"/>
  <c r="F802" i="6"/>
  <c r="O802" i="6" s="1"/>
  <c r="F798" i="6"/>
  <c r="O798" i="6" s="1"/>
  <c r="F794" i="6"/>
  <c r="O794" i="6" s="1"/>
  <c r="F790" i="6"/>
  <c r="O790" i="6" s="1"/>
  <c r="F786" i="6"/>
  <c r="O786" i="6" s="1"/>
  <c r="F782" i="6"/>
  <c r="O782" i="6" s="1"/>
  <c r="F778" i="6"/>
  <c r="O778" i="6" s="1"/>
  <c r="F774" i="6"/>
  <c r="O774" i="6" s="1"/>
  <c r="F770" i="6"/>
  <c r="O770" i="6" s="1"/>
  <c r="F766" i="6"/>
  <c r="O766" i="6" s="1"/>
  <c r="F762" i="6"/>
  <c r="O762" i="6" s="1"/>
  <c r="F758" i="6"/>
  <c r="O758" i="6" s="1"/>
  <c r="F754" i="6"/>
  <c r="O754" i="6" s="1"/>
  <c r="F750" i="6"/>
  <c r="O750" i="6" s="1"/>
  <c r="F746" i="6"/>
  <c r="O746" i="6" s="1"/>
  <c r="F742" i="6"/>
  <c r="O742" i="6" s="1"/>
  <c r="F738" i="6"/>
  <c r="O738" i="6" s="1"/>
  <c r="F734" i="6"/>
  <c r="O734" i="6" s="1"/>
  <c r="F730" i="6"/>
  <c r="O730" i="6" s="1"/>
  <c r="F726" i="6"/>
  <c r="O726" i="6" s="1"/>
  <c r="F722" i="6"/>
  <c r="O722" i="6" s="1"/>
  <c r="F718" i="6"/>
  <c r="O718" i="6" s="1"/>
  <c r="F714" i="6"/>
  <c r="O714" i="6" s="1"/>
  <c r="F710" i="6"/>
  <c r="O710" i="6" s="1"/>
  <c r="F706" i="6"/>
  <c r="O706" i="6" s="1"/>
  <c r="F702" i="6"/>
  <c r="O702" i="6" s="1"/>
  <c r="F698" i="6"/>
  <c r="O698" i="6" s="1"/>
  <c r="F694" i="6"/>
  <c r="O694" i="6" s="1"/>
  <c r="F690" i="6"/>
  <c r="O690" i="6" s="1"/>
  <c r="F686" i="6"/>
  <c r="O686" i="6" s="1"/>
  <c r="F682" i="6"/>
  <c r="O682" i="6" s="1"/>
  <c r="F678" i="6"/>
  <c r="O678" i="6" s="1"/>
  <c r="F674" i="6"/>
  <c r="O674" i="6" s="1"/>
  <c r="F670" i="6"/>
  <c r="O670" i="6" s="1"/>
  <c r="F666" i="6"/>
  <c r="O666" i="6" s="1"/>
  <c r="F662" i="6"/>
  <c r="O662" i="6" s="1"/>
  <c r="F658" i="6"/>
  <c r="O658" i="6" s="1"/>
  <c r="F654" i="6"/>
  <c r="O654" i="6" s="1"/>
  <c r="F650" i="6"/>
  <c r="O650" i="6" s="1"/>
  <c r="F646" i="6"/>
  <c r="O646" i="6" s="1"/>
  <c r="F642" i="6"/>
  <c r="O642" i="6" s="1"/>
  <c r="F638" i="6"/>
  <c r="O638" i="6" s="1"/>
  <c r="F634" i="6"/>
  <c r="O634" i="6" s="1"/>
  <c r="F630" i="6"/>
  <c r="O630" i="6" s="1"/>
  <c r="F626" i="6"/>
  <c r="O626" i="6" s="1"/>
  <c r="F622" i="6"/>
  <c r="O622" i="6" s="1"/>
  <c r="F618" i="6"/>
  <c r="O618" i="6" s="1"/>
  <c r="F614" i="6"/>
  <c r="O614" i="6" s="1"/>
  <c r="F610" i="6"/>
  <c r="O610" i="6" s="1"/>
  <c r="F606" i="6"/>
  <c r="O606" i="6" s="1"/>
  <c r="F602" i="6"/>
  <c r="O602" i="6" s="1"/>
  <c r="F598" i="6"/>
  <c r="O598" i="6" s="1"/>
  <c r="F594" i="6"/>
  <c r="O594" i="6" s="1"/>
  <c r="F590" i="6"/>
  <c r="O590" i="6" s="1"/>
  <c r="F586" i="6"/>
  <c r="O586" i="6" s="1"/>
  <c r="F582" i="6"/>
  <c r="O582" i="6" s="1"/>
  <c r="F578" i="6"/>
  <c r="O578" i="6" s="1"/>
  <c r="F574" i="6"/>
  <c r="O574" i="6" s="1"/>
  <c r="F570" i="6"/>
  <c r="O570" i="6" s="1"/>
  <c r="F566" i="6"/>
  <c r="O566" i="6" s="1"/>
  <c r="F562" i="6"/>
  <c r="O562" i="6" s="1"/>
  <c r="F558" i="6"/>
  <c r="O558" i="6" s="1"/>
  <c r="F554" i="6"/>
  <c r="O554" i="6" s="1"/>
  <c r="F550" i="6"/>
  <c r="O550" i="6" s="1"/>
  <c r="F546" i="6"/>
  <c r="O546" i="6" s="1"/>
  <c r="F542" i="6"/>
  <c r="O542" i="6" s="1"/>
  <c r="F538" i="6"/>
  <c r="O538" i="6" s="1"/>
  <c r="F534" i="6"/>
  <c r="O534" i="6" s="1"/>
  <c r="F530" i="6"/>
  <c r="O530" i="6" s="1"/>
  <c r="F526" i="6"/>
  <c r="O526" i="6" s="1"/>
  <c r="F522" i="6"/>
  <c r="O522" i="6" s="1"/>
  <c r="F518" i="6"/>
  <c r="O518" i="6" s="1"/>
  <c r="F514" i="6"/>
  <c r="O514" i="6" s="1"/>
  <c r="F510" i="6"/>
  <c r="O510" i="6" s="1"/>
  <c r="F506" i="6"/>
  <c r="O506" i="6" s="1"/>
  <c r="F502" i="6"/>
  <c r="O502" i="6" s="1"/>
  <c r="F498" i="6"/>
  <c r="O498" i="6" s="1"/>
  <c r="F494" i="6"/>
  <c r="O494" i="6" s="1"/>
  <c r="F490" i="6"/>
  <c r="O490" i="6" s="1"/>
  <c r="F486" i="6"/>
  <c r="O486" i="6" s="1"/>
  <c r="F482" i="6"/>
  <c r="O482" i="6" s="1"/>
  <c r="F478" i="6"/>
  <c r="O478" i="6" s="1"/>
  <c r="F474" i="6"/>
  <c r="O474" i="6" s="1"/>
  <c r="F470" i="6"/>
  <c r="O470" i="6" s="1"/>
  <c r="F466" i="6"/>
  <c r="O466" i="6" s="1"/>
  <c r="F462" i="6"/>
  <c r="O462" i="6" s="1"/>
  <c r="F458" i="6"/>
  <c r="O458" i="6" s="1"/>
  <c r="F454" i="6"/>
  <c r="O454" i="6" s="1"/>
  <c r="F450" i="6"/>
  <c r="O450" i="6" s="1"/>
  <c r="F446" i="6"/>
  <c r="O446" i="6" s="1"/>
  <c r="F442" i="6"/>
  <c r="O442" i="6" s="1"/>
  <c r="F438" i="6"/>
  <c r="O438" i="6" s="1"/>
  <c r="F434" i="6"/>
  <c r="O434" i="6" s="1"/>
  <c r="F430" i="6"/>
  <c r="O430" i="6" s="1"/>
  <c r="F426" i="6"/>
  <c r="O426" i="6" s="1"/>
  <c r="F422" i="6"/>
  <c r="O422" i="6" s="1"/>
  <c r="F418" i="6"/>
  <c r="O418" i="6" s="1"/>
  <c r="F414" i="6"/>
  <c r="O414" i="6" s="1"/>
  <c r="F410" i="6"/>
  <c r="O410" i="6" s="1"/>
  <c r="F406" i="6"/>
  <c r="O406" i="6" s="1"/>
  <c r="F402" i="6"/>
  <c r="O402" i="6" s="1"/>
  <c r="F398" i="6"/>
  <c r="O398" i="6" s="1"/>
  <c r="F394" i="6"/>
  <c r="O394" i="6" s="1"/>
  <c r="F390" i="6"/>
  <c r="O390" i="6" s="1"/>
  <c r="F386" i="6"/>
  <c r="O386" i="6" s="1"/>
  <c r="F382" i="6"/>
  <c r="O382" i="6" s="1"/>
  <c r="F378" i="6"/>
  <c r="O378" i="6" s="1"/>
  <c r="F374" i="6"/>
  <c r="O374" i="6" s="1"/>
  <c r="F370" i="6"/>
  <c r="O370" i="6" s="1"/>
  <c r="F366" i="6"/>
  <c r="O366" i="6" s="1"/>
  <c r="F362" i="6"/>
  <c r="O362" i="6" s="1"/>
  <c r="F358" i="6"/>
  <c r="O358" i="6" s="1"/>
  <c r="F354" i="6"/>
  <c r="O354" i="6" s="1"/>
  <c r="F350" i="6"/>
  <c r="O350" i="6" s="1"/>
  <c r="F346" i="6"/>
  <c r="O346" i="6" s="1"/>
  <c r="F342" i="6"/>
  <c r="O342" i="6" s="1"/>
  <c r="F338" i="6"/>
  <c r="O338" i="6" s="1"/>
  <c r="F334" i="6"/>
  <c r="O334" i="6" s="1"/>
  <c r="F330" i="6"/>
  <c r="O330" i="6" s="1"/>
  <c r="F326" i="6"/>
  <c r="O326" i="6" s="1"/>
  <c r="F322" i="6"/>
  <c r="O322" i="6" s="1"/>
  <c r="F318" i="6"/>
  <c r="O318" i="6" s="1"/>
  <c r="F314" i="6"/>
  <c r="O314" i="6" s="1"/>
  <c r="F310" i="6"/>
  <c r="O310" i="6" s="1"/>
  <c r="F306" i="6"/>
  <c r="O306" i="6" s="1"/>
  <c r="F302" i="6"/>
  <c r="O302" i="6" s="1"/>
  <c r="F298" i="6"/>
  <c r="O298" i="6" s="1"/>
  <c r="F294" i="6"/>
  <c r="O294" i="6" s="1"/>
  <c r="F290" i="6"/>
  <c r="O290" i="6" s="1"/>
  <c r="F286" i="6"/>
  <c r="O286" i="6" s="1"/>
  <c r="F282" i="6"/>
  <c r="O282" i="6" s="1"/>
  <c r="F278" i="6"/>
  <c r="O278" i="6" s="1"/>
  <c r="F274" i="6"/>
  <c r="O274" i="6" s="1"/>
  <c r="F270" i="6"/>
  <c r="O270" i="6" s="1"/>
  <c r="F266" i="6"/>
  <c r="O266" i="6" s="1"/>
  <c r="F262" i="6"/>
  <c r="O262" i="6" s="1"/>
  <c r="F258" i="6"/>
  <c r="O258" i="6" s="1"/>
  <c r="F254" i="6"/>
  <c r="O254" i="6" s="1"/>
  <c r="F250" i="6"/>
  <c r="O250" i="6" s="1"/>
  <c r="F246" i="6"/>
  <c r="O246" i="6" s="1"/>
  <c r="F242" i="6"/>
  <c r="O242" i="6" s="1"/>
  <c r="F238" i="6"/>
  <c r="O238" i="6" s="1"/>
  <c r="F234" i="6"/>
  <c r="O234" i="6" s="1"/>
  <c r="F230" i="6"/>
  <c r="O230" i="6" s="1"/>
  <c r="F226" i="6"/>
  <c r="O226" i="6" s="1"/>
  <c r="F222" i="6"/>
  <c r="O222" i="6" s="1"/>
  <c r="F218" i="6"/>
  <c r="O218" i="6" s="1"/>
  <c r="F214" i="6"/>
  <c r="O214" i="6" s="1"/>
  <c r="F210" i="6"/>
  <c r="O210" i="6" s="1"/>
  <c r="F206" i="6"/>
  <c r="O206" i="6" s="1"/>
  <c r="F202" i="6"/>
  <c r="O202" i="6" s="1"/>
  <c r="F198" i="6"/>
  <c r="O198" i="6" s="1"/>
  <c r="F194" i="6"/>
  <c r="O194" i="6" s="1"/>
  <c r="F190" i="6"/>
  <c r="O190" i="6" s="1"/>
  <c r="F186" i="6"/>
  <c r="O186" i="6" s="1"/>
  <c r="F182" i="6"/>
  <c r="O182" i="6" s="1"/>
  <c r="F178" i="6"/>
  <c r="O178" i="6" s="1"/>
  <c r="F174" i="6"/>
  <c r="O174" i="6" s="1"/>
  <c r="F170" i="6"/>
  <c r="O170" i="6" s="1"/>
  <c r="F166" i="6"/>
  <c r="O166" i="6" s="1"/>
  <c r="F162" i="6"/>
  <c r="O162" i="6" s="1"/>
  <c r="F158" i="6"/>
  <c r="O158" i="6" s="1"/>
  <c r="F154" i="6"/>
  <c r="O154" i="6" s="1"/>
  <c r="F150" i="6"/>
  <c r="O150" i="6" s="1"/>
  <c r="F146" i="6"/>
  <c r="O146" i="6" s="1"/>
  <c r="F142" i="6"/>
  <c r="O142" i="6" s="1"/>
  <c r="F138" i="6"/>
  <c r="O138" i="6" s="1"/>
  <c r="F134" i="6"/>
  <c r="O134" i="6" s="1"/>
  <c r="F130" i="6"/>
  <c r="O130" i="6" s="1"/>
  <c r="F126" i="6"/>
  <c r="O126" i="6" s="1"/>
  <c r="F122" i="6"/>
  <c r="O122" i="6" s="1"/>
  <c r="F118" i="6"/>
  <c r="O118" i="6" s="1"/>
  <c r="F114" i="6"/>
  <c r="O114" i="6" s="1"/>
  <c r="F110" i="6"/>
  <c r="O110" i="6" s="1"/>
  <c r="F106" i="6"/>
  <c r="O106" i="6" s="1"/>
  <c r="F102" i="6"/>
  <c r="O102" i="6" s="1"/>
  <c r="F98" i="6"/>
  <c r="O98" i="6" s="1"/>
  <c r="F94" i="6"/>
  <c r="O94" i="6" s="1"/>
  <c r="F90" i="6"/>
  <c r="O90" i="6" s="1"/>
  <c r="F86" i="6"/>
  <c r="O86" i="6" s="1"/>
  <c r="F82" i="6"/>
  <c r="O82" i="6" s="1"/>
  <c r="F78" i="6"/>
  <c r="O78" i="6" s="1"/>
  <c r="F74" i="6"/>
  <c r="O74" i="6" s="1"/>
  <c r="F70" i="6"/>
  <c r="O70" i="6" s="1"/>
  <c r="F66" i="6"/>
  <c r="O66" i="6" s="1"/>
  <c r="F62" i="6"/>
  <c r="O62" i="6" s="1"/>
  <c r="F58" i="6"/>
  <c r="O58" i="6" s="1"/>
  <c r="F54" i="6"/>
  <c r="O54" i="6" s="1"/>
  <c r="F50" i="6"/>
  <c r="O50" i="6" s="1"/>
  <c r="F46" i="6"/>
  <c r="O46" i="6" s="1"/>
  <c r="F42" i="6"/>
  <c r="O42" i="6" s="1"/>
  <c r="F38" i="6"/>
  <c r="O38" i="6" s="1"/>
  <c r="F34" i="6"/>
  <c r="O34" i="6" s="1"/>
  <c r="F30" i="6"/>
  <c r="O30" i="6" s="1"/>
  <c r="F26" i="6"/>
  <c r="O26" i="6" s="1"/>
  <c r="F22" i="6"/>
  <c r="O22" i="6" s="1"/>
  <c r="F18" i="6"/>
  <c r="O18" i="6" s="1"/>
  <c r="F14" i="6"/>
  <c r="O14" i="6" s="1"/>
  <c r="F10" i="6"/>
  <c r="O10" i="6" s="1"/>
  <c r="F6" i="6"/>
  <c r="O6" i="6" s="1"/>
  <c r="F2" i="6"/>
  <c r="N14" i="6" l="1"/>
  <c r="N30" i="6"/>
  <c r="N46" i="6"/>
  <c r="R46" i="6" s="1"/>
  <c r="N62" i="6"/>
  <c r="N78" i="6"/>
  <c r="N94" i="6"/>
  <c r="N110" i="6"/>
  <c r="N126" i="6"/>
  <c r="N142" i="6"/>
  <c r="N158" i="6"/>
  <c r="N174" i="6"/>
  <c r="N190" i="6"/>
  <c r="N206" i="6"/>
  <c r="N222" i="6"/>
  <c r="N238" i="6"/>
  <c r="N254" i="6"/>
  <c r="N270" i="6"/>
  <c r="N302" i="6"/>
  <c r="N334" i="6"/>
  <c r="N366" i="6"/>
  <c r="R366" i="6" s="1"/>
  <c r="N398" i="6"/>
  <c r="R398" i="6" s="1"/>
  <c r="N430" i="6"/>
  <c r="N462" i="6"/>
  <c r="N478" i="6"/>
  <c r="N494" i="6"/>
  <c r="N526" i="6"/>
  <c r="N542" i="6"/>
  <c r="N558" i="6"/>
  <c r="N590" i="6"/>
  <c r="N606" i="6"/>
  <c r="N622" i="6"/>
  <c r="N638" i="6"/>
  <c r="N654" i="6"/>
  <c r="N670" i="6"/>
  <c r="N686" i="6"/>
  <c r="N702" i="6"/>
  <c r="R702" i="6" s="1"/>
  <c r="N718" i="6"/>
  <c r="N734" i="6"/>
  <c r="N750" i="6"/>
  <c r="N766" i="6"/>
  <c r="N798" i="6"/>
  <c r="N814" i="6"/>
  <c r="N846" i="6"/>
  <c r="N862" i="6"/>
  <c r="R862" i="6" s="1"/>
  <c r="N878" i="6"/>
  <c r="N894" i="6"/>
  <c r="N910" i="6"/>
  <c r="N926" i="6"/>
  <c r="N942" i="6"/>
  <c r="N974" i="6"/>
  <c r="N990" i="6"/>
  <c r="N376" i="6"/>
  <c r="R376" i="6" s="1"/>
  <c r="N408" i="6"/>
  <c r="N424" i="6"/>
  <c r="N488" i="6"/>
  <c r="N664" i="6"/>
  <c r="N680" i="6"/>
  <c r="R680" i="6" s="1"/>
  <c r="N728" i="6"/>
  <c r="N760" i="6"/>
  <c r="N824" i="6"/>
  <c r="N920" i="6"/>
  <c r="N15" i="6"/>
  <c r="N47" i="6"/>
  <c r="N63" i="6"/>
  <c r="N79" i="6"/>
  <c r="N95" i="6"/>
  <c r="N111" i="6"/>
  <c r="N127" i="6"/>
  <c r="N159" i="6"/>
  <c r="N175" i="6"/>
  <c r="N207" i="6"/>
  <c r="N223" i="6"/>
  <c r="R223" i="6" s="1"/>
  <c r="N255" i="6"/>
  <c r="N271" i="6"/>
  <c r="N303" i="6"/>
  <c r="N319" i="6"/>
  <c r="R319" i="6" s="1"/>
  <c r="N335" i="6"/>
  <c r="N351" i="6"/>
  <c r="N367" i="6"/>
  <c r="N383" i="6"/>
  <c r="N415" i="6"/>
  <c r="R415" i="6" s="1"/>
  <c r="N431" i="6"/>
  <c r="N463" i="6"/>
  <c r="N479" i="6"/>
  <c r="N511" i="6"/>
  <c r="N527" i="6"/>
  <c r="N559" i="6"/>
  <c r="N575" i="6"/>
  <c r="N591" i="6"/>
  <c r="N607" i="6"/>
  <c r="N623" i="6"/>
  <c r="N655" i="6"/>
  <c r="R655" i="6" s="1"/>
  <c r="N671" i="6"/>
  <c r="R671" i="6" s="1"/>
  <c r="N703" i="6"/>
  <c r="N719" i="6"/>
  <c r="N735" i="6"/>
  <c r="R735" i="6" s="1"/>
  <c r="N767" i="6"/>
  <c r="N783" i="6"/>
  <c r="N831" i="6"/>
  <c r="N879" i="6"/>
  <c r="N895" i="6"/>
  <c r="R895" i="6" s="1"/>
  <c r="N911" i="6"/>
  <c r="N927" i="6"/>
  <c r="N943" i="6"/>
  <c r="N959" i="6"/>
  <c r="R959" i="6" s="1"/>
  <c r="N975" i="6"/>
  <c r="N991" i="6"/>
  <c r="N9" i="6"/>
  <c r="N25" i="6"/>
  <c r="N41" i="6"/>
  <c r="N73" i="6"/>
  <c r="N89" i="6"/>
  <c r="N137" i="6"/>
  <c r="N153" i="6"/>
  <c r="N169" i="6"/>
  <c r="N185" i="6"/>
  <c r="N201" i="6"/>
  <c r="N217" i="6"/>
  <c r="N233" i="6"/>
  <c r="N249" i="6"/>
  <c r="R249" i="6" s="1"/>
  <c r="N265" i="6"/>
  <c r="N281" i="6"/>
  <c r="N297" i="6"/>
  <c r="N313" i="6"/>
  <c r="R313" i="6" s="1"/>
  <c r="N329" i="6"/>
  <c r="N345" i="6"/>
  <c r="N361" i="6"/>
  <c r="N377" i="6"/>
  <c r="N393" i="6"/>
  <c r="N409" i="6"/>
  <c r="N425" i="6"/>
  <c r="N441" i="6"/>
  <c r="R441" i="6" s="1"/>
  <c r="N457" i="6"/>
  <c r="R457" i="6" s="1"/>
  <c r="N505" i="6"/>
  <c r="N521" i="6"/>
  <c r="N537" i="6"/>
  <c r="N553" i="6"/>
  <c r="N569" i="6"/>
  <c r="N585" i="6"/>
  <c r="N617" i="6"/>
  <c r="N633" i="6"/>
  <c r="N649" i="6"/>
  <c r="N665" i="6"/>
  <c r="N681" i="6"/>
  <c r="R681" i="6" s="1"/>
  <c r="N697" i="6"/>
  <c r="N713" i="6"/>
  <c r="N729" i="6"/>
  <c r="N745" i="6"/>
  <c r="N761" i="6"/>
  <c r="N777" i="6"/>
  <c r="N793" i="6"/>
  <c r="N809" i="6"/>
  <c r="R809" i="6" s="1"/>
  <c r="N825" i="6"/>
  <c r="N841" i="6"/>
  <c r="N857" i="6"/>
  <c r="N873" i="6"/>
  <c r="R873" i="6" s="1"/>
  <c r="N889" i="6"/>
  <c r="N905" i="6"/>
  <c r="N969" i="6"/>
  <c r="N985" i="6"/>
  <c r="N1001" i="6"/>
  <c r="N18" i="6"/>
  <c r="N34" i="6"/>
  <c r="N50" i="6"/>
  <c r="N66" i="6"/>
  <c r="N82" i="6"/>
  <c r="N98" i="6"/>
  <c r="R98" i="6" s="1"/>
  <c r="N114" i="6"/>
  <c r="N130" i="6"/>
  <c r="N146" i="6"/>
  <c r="N162" i="6"/>
  <c r="R162" i="6" s="1"/>
  <c r="N178" i="6"/>
  <c r="N194" i="6"/>
  <c r="N210" i="6"/>
  <c r="N226" i="6"/>
  <c r="R226" i="6" s="1"/>
  <c r="N242" i="6"/>
  <c r="N258" i="6"/>
  <c r="N274" i="6"/>
  <c r="R274" i="6" s="1"/>
  <c r="N290" i="6"/>
  <c r="R290" i="6" s="1"/>
  <c r="N306" i="6"/>
  <c r="N322" i="6"/>
  <c r="N338" i="6"/>
  <c r="N354" i="6"/>
  <c r="N370" i="6"/>
  <c r="N386" i="6"/>
  <c r="N402" i="6"/>
  <c r="N418" i="6"/>
  <c r="R418" i="6" s="1"/>
  <c r="N434" i="6"/>
  <c r="R434" i="6" s="1"/>
  <c r="N450" i="6"/>
  <c r="N466" i="6"/>
  <c r="N482" i="6"/>
  <c r="R482" i="6" s="1"/>
  <c r="N498" i="6"/>
  <c r="R498" i="6" s="1"/>
  <c r="N514" i="6"/>
  <c r="N530" i="6"/>
  <c r="N546" i="6"/>
  <c r="N562" i="6"/>
  <c r="R562" i="6" s="1"/>
  <c r="N578" i="6"/>
  <c r="N594" i="6"/>
  <c r="N610" i="6"/>
  <c r="R610" i="6" s="1"/>
  <c r="N626" i="6"/>
  <c r="R626" i="6" s="1"/>
  <c r="N642" i="6"/>
  <c r="N658" i="6"/>
  <c r="N674" i="6"/>
  <c r="N690" i="6"/>
  <c r="R690" i="6" s="1"/>
  <c r="N706" i="6"/>
  <c r="N722" i="6"/>
  <c r="N738" i="6"/>
  <c r="R738" i="6" s="1"/>
  <c r="N754" i="6"/>
  <c r="R754" i="6" s="1"/>
  <c r="N770" i="6"/>
  <c r="N786" i="6"/>
  <c r="N818" i="6"/>
  <c r="N850" i="6"/>
  <c r="R850" i="6" s="1"/>
  <c r="N866" i="6"/>
  <c r="N882" i="6"/>
  <c r="N914" i="6"/>
  <c r="N946" i="6"/>
  <c r="R946" i="6" s="1"/>
  <c r="N962" i="6"/>
  <c r="N978" i="6"/>
  <c r="N12" i="6"/>
  <c r="N44" i="6"/>
  <c r="N76" i="6"/>
  <c r="N108" i="6"/>
  <c r="N140" i="6"/>
  <c r="N172" i="6"/>
  <c r="N204" i="6"/>
  <c r="N236" i="6"/>
  <c r="N268" i="6"/>
  <c r="N300" i="6"/>
  <c r="N332" i="6"/>
  <c r="N380" i="6"/>
  <c r="N796" i="6"/>
  <c r="R796" i="6" s="1"/>
  <c r="N828" i="6"/>
  <c r="N892" i="6"/>
  <c r="N924" i="6"/>
  <c r="R924" i="6" s="1"/>
  <c r="N956" i="6"/>
  <c r="R956" i="6" s="1"/>
  <c r="N205" i="6"/>
  <c r="N301" i="6"/>
  <c r="N6" i="6"/>
  <c r="N22" i="6"/>
  <c r="R22" i="6" s="1"/>
  <c r="N38" i="6"/>
  <c r="R38" i="6" s="1"/>
  <c r="N54" i="6"/>
  <c r="N70" i="6"/>
  <c r="N86" i="6"/>
  <c r="R86" i="6" s="1"/>
  <c r="N102" i="6"/>
  <c r="R102" i="6" s="1"/>
  <c r="N118" i="6"/>
  <c r="N134" i="6"/>
  <c r="N150" i="6"/>
  <c r="R150" i="6" s="1"/>
  <c r="N166" i="6"/>
  <c r="R166" i="6" s="1"/>
  <c r="N182" i="6"/>
  <c r="N198" i="6"/>
  <c r="N214" i="6"/>
  <c r="R214" i="6" s="1"/>
  <c r="N230" i="6"/>
  <c r="R230" i="6" s="1"/>
  <c r="N246" i="6"/>
  <c r="N262" i="6"/>
  <c r="N23" i="6"/>
  <c r="N87" i="6"/>
  <c r="N151" i="6"/>
  <c r="N215" i="6"/>
  <c r="N279" i="6"/>
  <c r="N343" i="6"/>
  <c r="N407" i="6"/>
  <c r="N471" i="6"/>
  <c r="N535" i="6"/>
  <c r="R535" i="6" s="1"/>
  <c r="N599" i="6"/>
  <c r="N631" i="6"/>
  <c r="N647" i="6"/>
  <c r="N791" i="6"/>
  <c r="N823" i="6"/>
  <c r="N839" i="6"/>
  <c r="N855" i="6"/>
  <c r="N887" i="6"/>
  <c r="N903" i="6"/>
  <c r="R903" i="6" s="1"/>
  <c r="N33" i="6"/>
  <c r="N97" i="6"/>
  <c r="N145" i="6"/>
  <c r="N177" i="6"/>
  <c r="N241" i="6"/>
  <c r="N257" i="6"/>
  <c r="N273" i="6"/>
  <c r="N289" i="6"/>
  <c r="N305" i="6"/>
  <c r="N321" i="6"/>
  <c r="N337" i="6"/>
  <c r="R337" i="6" s="1"/>
  <c r="N369" i="6"/>
  <c r="N385" i="6"/>
  <c r="N433" i="6"/>
  <c r="N529" i="6"/>
  <c r="R529" i="6" s="1"/>
  <c r="N561" i="6"/>
  <c r="N577" i="6"/>
  <c r="N593" i="6"/>
  <c r="N625" i="6"/>
  <c r="R625" i="6" s="1"/>
  <c r="N641" i="6"/>
  <c r="R641" i="6" s="1"/>
  <c r="N705" i="6"/>
  <c r="N721" i="6"/>
  <c r="N769" i="6"/>
  <c r="N865" i="6"/>
  <c r="N929" i="6"/>
  <c r="N945" i="6"/>
  <c r="N961" i="6"/>
  <c r="N10" i="6"/>
  <c r="N26" i="6"/>
  <c r="N42" i="6"/>
  <c r="N58" i="6"/>
  <c r="R58" i="6" s="1"/>
  <c r="N74" i="6"/>
  <c r="N90" i="6"/>
  <c r="N106" i="6"/>
  <c r="N122" i="6"/>
  <c r="N138" i="6"/>
  <c r="N154" i="6"/>
  <c r="N170" i="6"/>
  <c r="N186" i="6"/>
  <c r="R186" i="6" s="1"/>
  <c r="N202" i="6"/>
  <c r="N218" i="6"/>
  <c r="N234" i="6"/>
  <c r="N250" i="6"/>
  <c r="N266" i="6"/>
  <c r="N282" i="6"/>
  <c r="N298" i="6"/>
  <c r="N314" i="6"/>
  <c r="R314" i="6" s="1"/>
  <c r="N330" i="6"/>
  <c r="N346" i="6"/>
  <c r="N362" i="6"/>
  <c r="N378" i="6"/>
  <c r="N394" i="6"/>
  <c r="N410" i="6"/>
  <c r="N20" i="6"/>
  <c r="N52" i="6"/>
  <c r="N84" i="6"/>
  <c r="N116" i="6"/>
  <c r="N148" i="6"/>
  <c r="N180" i="6"/>
  <c r="R180" i="6" s="1"/>
  <c r="N212" i="6"/>
  <c r="N244" i="6"/>
  <c r="N276" i="6"/>
  <c r="N308" i="6"/>
  <c r="R308" i="6" s="1"/>
  <c r="N340" i="6"/>
  <c r="N356" i="6"/>
  <c r="N436" i="6"/>
  <c r="N468" i="6"/>
  <c r="N532" i="6"/>
  <c r="N564" i="6"/>
  <c r="N596" i="6"/>
  <c r="N692" i="6"/>
  <c r="N788" i="6"/>
  <c r="N804" i="6"/>
  <c r="N836" i="6"/>
  <c r="N884" i="6"/>
  <c r="R884" i="6" s="1"/>
  <c r="N900" i="6"/>
  <c r="R900" i="6" s="1"/>
  <c r="N916" i="6"/>
  <c r="N932" i="6"/>
  <c r="N948" i="6"/>
  <c r="N964" i="6"/>
  <c r="R964" i="6" s="1"/>
  <c r="N11" i="6"/>
  <c r="N27" i="6"/>
  <c r="N43" i="6"/>
  <c r="R43" i="6" s="1"/>
  <c r="N59" i="6"/>
  <c r="R59" i="6" s="1"/>
  <c r="N75" i="6"/>
  <c r="N91" i="6"/>
  <c r="N107" i="6"/>
  <c r="N123" i="6"/>
  <c r="R123" i="6" s="1"/>
  <c r="N139" i="6"/>
  <c r="N155" i="6"/>
  <c r="N171" i="6"/>
  <c r="R171" i="6" s="1"/>
  <c r="N187" i="6"/>
  <c r="R187" i="6" s="1"/>
  <c r="N203" i="6"/>
  <c r="N219" i="6"/>
  <c r="N235" i="6"/>
  <c r="N251" i="6"/>
  <c r="R251" i="6" s="1"/>
  <c r="N267" i="6"/>
  <c r="N283" i="6"/>
  <c r="N299" i="6"/>
  <c r="R299" i="6" s="1"/>
  <c r="N315" i="6"/>
  <c r="R315" i="6" s="1"/>
  <c r="N331" i="6"/>
  <c r="N347" i="6"/>
  <c r="N363" i="6"/>
  <c r="N379" i="6"/>
  <c r="R379" i="6" s="1"/>
  <c r="N395" i="6"/>
  <c r="N411" i="6"/>
  <c r="N427" i="6"/>
  <c r="R427" i="6" s="1"/>
  <c r="N443" i="6"/>
  <c r="R443" i="6" s="1"/>
  <c r="N459" i="6"/>
  <c r="N475" i="6"/>
  <c r="N491" i="6"/>
  <c r="N507" i="6"/>
  <c r="R507" i="6" s="1"/>
  <c r="N523" i="6"/>
  <c r="N539" i="6"/>
  <c r="N555" i="6"/>
  <c r="R555" i="6" s="1"/>
  <c r="N571" i="6"/>
  <c r="R571" i="6" s="1"/>
  <c r="N587" i="6"/>
  <c r="N603" i="6"/>
  <c r="N619" i="6"/>
  <c r="N635" i="6"/>
  <c r="R635" i="6" s="1"/>
  <c r="N651" i="6"/>
  <c r="N667" i="6"/>
  <c r="N683" i="6"/>
  <c r="R683" i="6" s="1"/>
  <c r="N699" i="6"/>
  <c r="R699" i="6" s="1"/>
  <c r="N715" i="6"/>
  <c r="N731" i="6"/>
  <c r="N747" i="6"/>
  <c r="N763" i="6"/>
  <c r="R763" i="6" s="1"/>
  <c r="N779" i="6"/>
  <c r="N795" i="6"/>
  <c r="N843" i="6"/>
  <c r="N859" i="6"/>
  <c r="N181" i="6"/>
  <c r="N229" i="6"/>
  <c r="N293" i="6"/>
  <c r="N325" i="6"/>
  <c r="R325" i="6" s="1"/>
  <c r="N357" i="6"/>
  <c r="N389" i="6"/>
  <c r="N437" i="6"/>
  <c r="N469" i="6"/>
  <c r="N485" i="6"/>
  <c r="N933" i="6"/>
  <c r="N949" i="6"/>
  <c r="P883" i="6"/>
  <c r="N883" i="6"/>
  <c r="P802" i="6"/>
  <c r="N802" i="6"/>
  <c r="P92" i="6"/>
  <c r="N92" i="6"/>
  <c r="P124" i="6"/>
  <c r="N124" i="6"/>
  <c r="P188" i="6"/>
  <c r="N188" i="6"/>
  <c r="P220" i="6"/>
  <c r="N220" i="6"/>
  <c r="P252" i="6"/>
  <c r="N252" i="6"/>
  <c r="P284" i="6"/>
  <c r="N284" i="6"/>
  <c r="P316" i="6"/>
  <c r="N316" i="6"/>
  <c r="P348" i="6"/>
  <c r="N348" i="6"/>
  <c r="P364" i="6"/>
  <c r="N364" i="6"/>
  <c r="P396" i="6"/>
  <c r="N396" i="6"/>
  <c r="P412" i="6"/>
  <c r="N412" i="6"/>
  <c r="P428" i="6"/>
  <c r="N428" i="6"/>
  <c r="P444" i="6"/>
  <c r="N444" i="6"/>
  <c r="P460" i="6"/>
  <c r="N460" i="6"/>
  <c r="P476" i="6"/>
  <c r="N476" i="6"/>
  <c r="P492" i="6"/>
  <c r="N492" i="6"/>
  <c r="P508" i="6"/>
  <c r="N508" i="6"/>
  <c r="P524" i="6"/>
  <c r="N524" i="6"/>
  <c r="P540" i="6"/>
  <c r="N540" i="6"/>
  <c r="P556" i="6"/>
  <c r="N556" i="6"/>
  <c r="P572" i="6"/>
  <c r="N572" i="6"/>
  <c r="P588" i="6"/>
  <c r="N588" i="6"/>
  <c r="P604" i="6"/>
  <c r="N604" i="6"/>
  <c r="P620" i="6"/>
  <c r="N620" i="6"/>
  <c r="P636" i="6"/>
  <c r="N636" i="6"/>
  <c r="P652" i="6"/>
  <c r="N652" i="6"/>
  <c r="P668" i="6"/>
  <c r="N668" i="6"/>
  <c r="P684" i="6"/>
  <c r="N684" i="6"/>
  <c r="P700" i="6"/>
  <c r="N700" i="6"/>
  <c r="P716" i="6"/>
  <c r="N716" i="6"/>
  <c r="P732" i="6"/>
  <c r="N732" i="6"/>
  <c r="P748" i="6"/>
  <c r="N748" i="6"/>
  <c r="P764" i="6"/>
  <c r="N764" i="6"/>
  <c r="P780" i="6"/>
  <c r="N780" i="6"/>
  <c r="P812" i="6"/>
  <c r="N812" i="6"/>
  <c r="P844" i="6"/>
  <c r="N844" i="6"/>
  <c r="R844" i="6" s="1"/>
  <c r="P860" i="6"/>
  <c r="N860" i="6"/>
  <c r="P876" i="6"/>
  <c r="N876" i="6"/>
  <c r="R876" i="6" s="1"/>
  <c r="P908" i="6"/>
  <c r="N908" i="6"/>
  <c r="P940" i="6"/>
  <c r="N940" i="6"/>
  <c r="P972" i="6"/>
  <c r="N972" i="6"/>
  <c r="P988" i="6"/>
  <c r="N988" i="6"/>
  <c r="P3" i="6"/>
  <c r="N3" i="6"/>
  <c r="P19" i="6"/>
  <c r="N19" i="6"/>
  <c r="P35" i="6"/>
  <c r="N35" i="6"/>
  <c r="P51" i="6"/>
  <c r="N51" i="6"/>
  <c r="P67" i="6"/>
  <c r="N67" i="6"/>
  <c r="P83" i="6"/>
  <c r="N83" i="6"/>
  <c r="P99" i="6"/>
  <c r="N99" i="6"/>
  <c r="P115" i="6"/>
  <c r="N115" i="6"/>
  <c r="P131" i="6"/>
  <c r="N131" i="6"/>
  <c r="P147" i="6"/>
  <c r="N147" i="6"/>
  <c r="P163" i="6"/>
  <c r="N163" i="6"/>
  <c r="P179" i="6"/>
  <c r="N179" i="6"/>
  <c r="R179" i="6" s="1"/>
  <c r="P195" i="6"/>
  <c r="N195" i="6"/>
  <c r="P211" i="6"/>
  <c r="N211" i="6"/>
  <c r="P227" i="6"/>
  <c r="N227" i="6"/>
  <c r="P243" i="6"/>
  <c r="N243" i="6"/>
  <c r="R243" i="6" s="1"/>
  <c r="P259" i="6"/>
  <c r="N259" i="6"/>
  <c r="P275" i="6"/>
  <c r="N275" i="6"/>
  <c r="P291" i="6"/>
  <c r="N291" i="6"/>
  <c r="P307" i="6"/>
  <c r="N307" i="6"/>
  <c r="P323" i="6"/>
  <c r="N323" i="6"/>
  <c r="P339" i="6"/>
  <c r="N339" i="6"/>
  <c r="P355" i="6"/>
  <c r="N355" i="6"/>
  <c r="P371" i="6"/>
  <c r="N371" i="6"/>
  <c r="P387" i="6"/>
  <c r="N387" i="6"/>
  <c r="P403" i="6"/>
  <c r="N403" i="6"/>
  <c r="P419" i="6"/>
  <c r="N419" i="6"/>
  <c r="P435" i="6"/>
  <c r="N435" i="6"/>
  <c r="R435" i="6" s="1"/>
  <c r="P451" i="6"/>
  <c r="N451" i="6"/>
  <c r="P467" i="6"/>
  <c r="N467" i="6"/>
  <c r="P483" i="6"/>
  <c r="N483" i="6"/>
  <c r="P499" i="6"/>
  <c r="N499" i="6"/>
  <c r="R499" i="6" s="1"/>
  <c r="P515" i="6"/>
  <c r="N515" i="6"/>
  <c r="P531" i="6"/>
  <c r="N531" i="6"/>
  <c r="P547" i="6"/>
  <c r="N547" i="6"/>
  <c r="P563" i="6"/>
  <c r="N563" i="6"/>
  <c r="P579" i="6"/>
  <c r="N579" i="6"/>
  <c r="P595" i="6"/>
  <c r="N595" i="6"/>
  <c r="P611" i="6"/>
  <c r="N611" i="6"/>
  <c r="P627" i="6"/>
  <c r="N627" i="6"/>
  <c r="P643" i="6"/>
  <c r="N643" i="6"/>
  <c r="P659" i="6"/>
  <c r="N659" i="6"/>
  <c r="P675" i="6"/>
  <c r="N675" i="6"/>
  <c r="P691" i="6"/>
  <c r="N691" i="6"/>
  <c r="R691" i="6" s="1"/>
  <c r="P707" i="6"/>
  <c r="N707" i="6"/>
  <c r="P723" i="6"/>
  <c r="N723" i="6"/>
  <c r="P739" i="6"/>
  <c r="N739" i="6"/>
  <c r="P755" i="6"/>
  <c r="N755" i="6"/>
  <c r="R755" i="6" s="1"/>
  <c r="P771" i="6"/>
  <c r="N771" i="6"/>
  <c r="P787" i="6"/>
  <c r="N787" i="6"/>
  <c r="P803" i="6"/>
  <c r="N803" i="6"/>
  <c r="P819" i="6"/>
  <c r="N819" i="6"/>
  <c r="P835" i="6"/>
  <c r="N835" i="6"/>
  <c r="P851" i="6"/>
  <c r="N851" i="6"/>
  <c r="P867" i="6"/>
  <c r="N867" i="6"/>
  <c r="P899" i="6"/>
  <c r="N899" i="6"/>
  <c r="R899" i="6" s="1"/>
  <c r="P2" i="6"/>
  <c r="N2" i="6"/>
  <c r="P834" i="6"/>
  <c r="N834" i="6"/>
  <c r="P898" i="6"/>
  <c r="N898" i="6"/>
  <c r="P930" i="6"/>
  <c r="N930" i="6"/>
  <c r="P994" i="6"/>
  <c r="N994" i="6"/>
  <c r="P28" i="6"/>
  <c r="N28" i="6"/>
  <c r="P60" i="6"/>
  <c r="N60" i="6"/>
  <c r="P156" i="6"/>
  <c r="N156" i="6"/>
  <c r="P426" i="6"/>
  <c r="N426" i="6"/>
  <c r="P442" i="6"/>
  <c r="N442" i="6"/>
  <c r="P458" i="6"/>
  <c r="N458" i="6"/>
  <c r="P474" i="6"/>
  <c r="N474" i="6"/>
  <c r="P490" i="6"/>
  <c r="N490" i="6"/>
  <c r="P506" i="6"/>
  <c r="N506" i="6"/>
  <c r="R506" i="6" s="1"/>
  <c r="P522" i="6"/>
  <c r="N522" i="6"/>
  <c r="P538" i="6"/>
  <c r="N538" i="6"/>
  <c r="P554" i="6"/>
  <c r="N554" i="6"/>
  <c r="P570" i="6"/>
  <c r="N570" i="6"/>
  <c r="R570" i="6" s="1"/>
  <c r="P586" i="6"/>
  <c r="N586" i="6"/>
  <c r="P602" i="6"/>
  <c r="N602" i="6"/>
  <c r="P618" i="6"/>
  <c r="N618" i="6"/>
  <c r="P634" i="6"/>
  <c r="N634" i="6"/>
  <c r="P650" i="6"/>
  <c r="N650" i="6"/>
  <c r="P666" i="6"/>
  <c r="N666" i="6"/>
  <c r="P682" i="6"/>
  <c r="N682" i="6"/>
  <c r="P698" i="6"/>
  <c r="N698" i="6"/>
  <c r="P714" i="6"/>
  <c r="N714" i="6"/>
  <c r="P730" i="6"/>
  <c r="N730" i="6"/>
  <c r="P746" i="6"/>
  <c r="N746" i="6"/>
  <c r="P762" i="6"/>
  <c r="N762" i="6"/>
  <c r="R762" i="6" s="1"/>
  <c r="P778" i="6"/>
  <c r="N778" i="6"/>
  <c r="P794" i="6"/>
  <c r="N794" i="6"/>
  <c r="P810" i="6"/>
  <c r="N810" i="6"/>
  <c r="P826" i="6"/>
  <c r="N826" i="6"/>
  <c r="R826" i="6" s="1"/>
  <c r="P842" i="6"/>
  <c r="N842" i="6"/>
  <c r="P858" i="6"/>
  <c r="N858" i="6"/>
  <c r="P874" i="6"/>
  <c r="N874" i="6"/>
  <c r="P890" i="6"/>
  <c r="N890" i="6"/>
  <c r="P906" i="6"/>
  <c r="N906" i="6"/>
  <c r="P922" i="6"/>
  <c r="N922" i="6"/>
  <c r="P938" i="6"/>
  <c r="N938" i="6"/>
  <c r="P954" i="6"/>
  <c r="N954" i="6"/>
  <c r="P970" i="6"/>
  <c r="N970" i="6"/>
  <c r="P986" i="6"/>
  <c r="N986" i="6"/>
  <c r="P4" i="6"/>
  <c r="N4" i="6"/>
  <c r="P36" i="6"/>
  <c r="N36" i="6"/>
  <c r="P68" i="6"/>
  <c r="N68" i="6"/>
  <c r="P100" i="6"/>
  <c r="N100" i="6"/>
  <c r="P132" i="6"/>
  <c r="N132" i="6"/>
  <c r="P164" i="6"/>
  <c r="N164" i="6"/>
  <c r="P196" i="6"/>
  <c r="N196" i="6"/>
  <c r="P228" i="6"/>
  <c r="N228" i="6"/>
  <c r="P260" i="6"/>
  <c r="N260" i="6"/>
  <c r="P292" i="6"/>
  <c r="N292" i="6"/>
  <c r="P324" i="6"/>
  <c r="N324" i="6"/>
  <c r="P372" i="6"/>
  <c r="N372" i="6"/>
  <c r="P388" i="6"/>
  <c r="N388" i="6"/>
  <c r="P404" i="6"/>
  <c r="N404" i="6"/>
  <c r="P420" i="6"/>
  <c r="N420" i="6"/>
  <c r="P452" i="6"/>
  <c r="N452" i="6"/>
  <c r="P484" i="6"/>
  <c r="N484" i="6"/>
  <c r="P500" i="6"/>
  <c r="N500" i="6"/>
  <c r="P516" i="6"/>
  <c r="N516" i="6"/>
  <c r="P548" i="6"/>
  <c r="N548" i="6"/>
  <c r="R548" i="6" s="1"/>
  <c r="P580" i="6"/>
  <c r="N580" i="6"/>
  <c r="P612" i="6"/>
  <c r="N612" i="6"/>
  <c r="R612" i="6" s="1"/>
  <c r="P628" i="6"/>
  <c r="N628" i="6"/>
  <c r="P644" i="6"/>
  <c r="N644" i="6"/>
  <c r="P660" i="6"/>
  <c r="N660" i="6"/>
  <c r="P676" i="6"/>
  <c r="N676" i="6"/>
  <c r="P708" i="6"/>
  <c r="N708" i="6"/>
  <c r="P724" i="6"/>
  <c r="N724" i="6"/>
  <c r="P740" i="6"/>
  <c r="N740" i="6"/>
  <c r="P756" i="6"/>
  <c r="N756" i="6"/>
  <c r="P772" i="6"/>
  <c r="N772" i="6"/>
  <c r="P820" i="6"/>
  <c r="N820" i="6"/>
  <c r="R820" i="6" s="1"/>
  <c r="P852" i="6"/>
  <c r="N852" i="6"/>
  <c r="P868" i="6"/>
  <c r="N868" i="6"/>
  <c r="P980" i="6"/>
  <c r="N980" i="6"/>
  <c r="P996" i="6"/>
  <c r="N996" i="6"/>
  <c r="P915" i="6"/>
  <c r="N915" i="6"/>
  <c r="P931" i="6"/>
  <c r="N931" i="6"/>
  <c r="R931" i="6" s="1"/>
  <c r="P947" i="6"/>
  <c r="N947" i="6"/>
  <c r="P963" i="6"/>
  <c r="N963" i="6"/>
  <c r="R963" i="6" s="1"/>
  <c r="P979" i="6"/>
  <c r="N979" i="6"/>
  <c r="P995" i="6"/>
  <c r="N995" i="6"/>
  <c r="R995" i="6" s="1"/>
  <c r="P13" i="6"/>
  <c r="N13" i="6"/>
  <c r="P29" i="6"/>
  <c r="N29" i="6"/>
  <c r="R29" i="6" s="1"/>
  <c r="P45" i="6"/>
  <c r="N45" i="6"/>
  <c r="P61" i="6"/>
  <c r="N61" i="6"/>
  <c r="R61" i="6" s="1"/>
  <c r="P77" i="6"/>
  <c r="N77" i="6"/>
  <c r="P93" i="6"/>
  <c r="N93" i="6"/>
  <c r="R93" i="6" s="1"/>
  <c r="P109" i="6"/>
  <c r="N109" i="6"/>
  <c r="P125" i="6"/>
  <c r="N125" i="6"/>
  <c r="R125" i="6" s="1"/>
  <c r="P141" i="6"/>
  <c r="N141" i="6"/>
  <c r="P157" i="6"/>
  <c r="N157" i="6"/>
  <c r="R157" i="6" s="1"/>
  <c r="P173" i="6"/>
  <c r="N173" i="6"/>
  <c r="P189" i="6"/>
  <c r="N189" i="6"/>
  <c r="R189" i="6" s="1"/>
  <c r="P221" i="6"/>
  <c r="N221" i="6"/>
  <c r="P237" i="6"/>
  <c r="N237" i="6"/>
  <c r="P253" i="6"/>
  <c r="N253" i="6"/>
  <c r="P269" i="6"/>
  <c r="N269" i="6"/>
  <c r="P285" i="6"/>
  <c r="N285" i="6"/>
  <c r="P317" i="6"/>
  <c r="N317" i="6"/>
  <c r="P333" i="6"/>
  <c r="N333" i="6"/>
  <c r="P349" i="6"/>
  <c r="N349" i="6"/>
  <c r="P365" i="6"/>
  <c r="N365" i="6"/>
  <c r="P381" i="6"/>
  <c r="N381" i="6"/>
  <c r="P397" i="6"/>
  <c r="N397" i="6"/>
  <c r="P413" i="6"/>
  <c r="N413" i="6"/>
  <c r="P429" i="6"/>
  <c r="N429" i="6"/>
  <c r="P445" i="6"/>
  <c r="N445" i="6"/>
  <c r="P461" i="6"/>
  <c r="N461" i="6"/>
  <c r="P477" i="6"/>
  <c r="N477" i="6"/>
  <c r="P493" i="6"/>
  <c r="N493" i="6"/>
  <c r="P509" i="6"/>
  <c r="N509" i="6"/>
  <c r="P525" i="6"/>
  <c r="N525" i="6"/>
  <c r="P541" i="6"/>
  <c r="N541" i="6"/>
  <c r="P557" i="6"/>
  <c r="N557" i="6"/>
  <c r="P573" i="6"/>
  <c r="N573" i="6"/>
  <c r="P589" i="6"/>
  <c r="N589" i="6"/>
  <c r="P605" i="6"/>
  <c r="N605" i="6"/>
  <c r="P621" i="6"/>
  <c r="N621" i="6"/>
  <c r="P637" i="6"/>
  <c r="N637" i="6"/>
  <c r="P653" i="6"/>
  <c r="N653" i="6"/>
  <c r="P669" i="6"/>
  <c r="N669" i="6"/>
  <c r="P685" i="6"/>
  <c r="N685" i="6"/>
  <c r="P701" i="6"/>
  <c r="N701" i="6"/>
  <c r="P717" i="6"/>
  <c r="N717" i="6"/>
  <c r="P733" i="6"/>
  <c r="N733" i="6"/>
  <c r="P749" i="6"/>
  <c r="N749" i="6"/>
  <c r="P765" i="6"/>
  <c r="N765" i="6"/>
  <c r="R765" i="6" s="1"/>
  <c r="P781" i="6"/>
  <c r="N781" i="6"/>
  <c r="P797" i="6"/>
  <c r="N797" i="6"/>
  <c r="P813" i="6"/>
  <c r="N813" i="6"/>
  <c r="P829" i="6"/>
  <c r="N829" i="6"/>
  <c r="P845" i="6"/>
  <c r="N845" i="6"/>
  <c r="P861" i="6"/>
  <c r="N861" i="6"/>
  <c r="P877" i="6"/>
  <c r="N877" i="6"/>
  <c r="P893" i="6"/>
  <c r="N893" i="6"/>
  <c r="P909" i="6"/>
  <c r="N909" i="6"/>
  <c r="P925" i="6"/>
  <c r="N925" i="6"/>
  <c r="P941" i="6"/>
  <c r="N941" i="6"/>
  <c r="P957" i="6"/>
  <c r="N957" i="6"/>
  <c r="P973" i="6"/>
  <c r="N973" i="6"/>
  <c r="P989" i="6"/>
  <c r="N989" i="6"/>
  <c r="P278" i="6"/>
  <c r="N278" i="6"/>
  <c r="P294" i="6"/>
  <c r="N294" i="6"/>
  <c r="P310" i="6"/>
  <c r="N310" i="6"/>
  <c r="P326" i="6"/>
  <c r="N326" i="6"/>
  <c r="P342" i="6"/>
  <c r="N342" i="6"/>
  <c r="P358" i="6"/>
  <c r="N358" i="6"/>
  <c r="R358" i="6" s="1"/>
  <c r="P374" i="6"/>
  <c r="N374" i="6"/>
  <c r="P390" i="6"/>
  <c r="N390" i="6"/>
  <c r="P406" i="6"/>
  <c r="N406" i="6"/>
  <c r="P422" i="6"/>
  <c r="N422" i="6"/>
  <c r="R422" i="6" s="1"/>
  <c r="P438" i="6"/>
  <c r="N438" i="6"/>
  <c r="P454" i="6"/>
  <c r="N454" i="6"/>
  <c r="P470" i="6"/>
  <c r="N470" i="6"/>
  <c r="P486" i="6"/>
  <c r="N486" i="6"/>
  <c r="P502" i="6"/>
  <c r="N502" i="6"/>
  <c r="P518" i="6"/>
  <c r="N518" i="6"/>
  <c r="P534" i="6"/>
  <c r="N534" i="6"/>
  <c r="P550" i="6"/>
  <c r="N550" i="6"/>
  <c r="P566" i="6"/>
  <c r="N566" i="6"/>
  <c r="P582" i="6"/>
  <c r="N582" i="6"/>
  <c r="P598" i="6"/>
  <c r="N598" i="6"/>
  <c r="P614" i="6"/>
  <c r="N614" i="6"/>
  <c r="R614" i="6" s="1"/>
  <c r="P630" i="6"/>
  <c r="N630" i="6"/>
  <c r="P646" i="6"/>
  <c r="N646" i="6"/>
  <c r="P662" i="6"/>
  <c r="N662" i="6"/>
  <c r="P678" i="6"/>
  <c r="N678" i="6"/>
  <c r="R678" i="6" s="1"/>
  <c r="P694" i="6"/>
  <c r="N694" i="6"/>
  <c r="P710" i="6"/>
  <c r="N710" i="6"/>
  <c r="P726" i="6"/>
  <c r="N726" i="6"/>
  <c r="P742" i="6"/>
  <c r="N742" i="6"/>
  <c r="P758" i="6"/>
  <c r="N758" i="6"/>
  <c r="P774" i="6"/>
  <c r="N774" i="6"/>
  <c r="R774" i="6" s="1"/>
  <c r="P790" i="6"/>
  <c r="N790" i="6"/>
  <c r="P806" i="6"/>
  <c r="N806" i="6"/>
  <c r="P822" i="6"/>
  <c r="N822" i="6"/>
  <c r="P838" i="6"/>
  <c r="N838" i="6"/>
  <c r="P854" i="6"/>
  <c r="N854" i="6"/>
  <c r="P870" i="6"/>
  <c r="N870" i="6"/>
  <c r="P886" i="6"/>
  <c r="N886" i="6"/>
  <c r="P902" i="6"/>
  <c r="N902" i="6"/>
  <c r="P918" i="6"/>
  <c r="N918" i="6"/>
  <c r="P934" i="6"/>
  <c r="N934" i="6"/>
  <c r="P950" i="6"/>
  <c r="N950" i="6"/>
  <c r="P966" i="6"/>
  <c r="N966" i="6"/>
  <c r="P982" i="6"/>
  <c r="N982" i="6"/>
  <c r="P998" i="6"/>
  <c r="N998" i="6"/>
  <c r="P16" i="6"/>
  <c r="N16" i="6"/>
  <c r="P32" i="6"/>
  <c r="N32" i="6"/>
  <c r="P48" i="6"/>
  <c r="N48" i="6"/>
  <c r="P64" i="6"/>
  <c r="N64" i="6"/>
  <c r="P80" i="6"/>
  <c r="N80" i="6"/>
  <c r="P96" i="6"/>
  <c r="N96" i="6"/>
  <c r="P112" i="6"/>
  <c r="N112" i="6"/>
  <c r="P128" i="6"/>
  <c r="N128" i="6"/>
  <c r="P144" i="6"/>
  <c r="N144" i="6"/>
  <c r="P160" i="6"/>
  <c r="N160" i="6"/>
  <c r="P176" i="6"/>
  <c r="N176" i="6"/>
  <c r="P192" i="6"/>
  <c r="N192" i="6"/>
  <c r="P208" i="6"/>
  <c r="N208" i="6"/>
  <c r="P224" i="6"/>
  <c r="N224" i="6"/>
  <c r="P240" i="6"/>
  <c r="N240" i="6"/>
  <c r="P256" i="6"/>
  <c r="N256" i="6"/>
  <c r="P272" i="6"/>
  <c r="N272" i="6"/>
  <c r="P288" i="6"/>
  <c r="N288" i="6"/>
  <c r="P304" i="6"/>
  <c r="N304" i="6"/>
  <c r="P320" i="6"/>
  <c r="N320" i="6"/>
  <c r="P336" i="6"/>
  <c r="N336" i="6"/>
  <c r="P352" i="6"/>
  <c r="N352" i="6"/>
  <c r="P368" i="6"/>
  <c r="N368" i="6"/>
  <c r="P384" i="6"/>
  <c r="N384" i="6"/>
  <c r="P400" i="6"/>
  <c r="N400" i="6"/>
  <c r="P416" i="6"/>
  <c r="N416" i="6"/>
  <c r="R416" i="6" s="1"/>
  <c r="P432" i="6"/>
  <c r="N432" i="6"/>
  <c r="P448" i="6"/>
  <c r="N448" i="6"/>
  <c r="R448" i="6" s="1"/>
  <c r="P464" i="6"/>
  <c r="N464" i="6"/>
  <c r="P480" i="6"/>
  <c r="N480" i="6"/>
  <c r="P496" i="6"/>
  <c r="N496" i="6"/>
  <c r="P512" i="6"/>
  <c r="N512" i="6"/>
  <c r="R512" i="6" s="1"/>
  <c r="P528" i="6"/>
  <c r="N528" i="6"/>
  <c r="P544" i="6"/>
  <c r="N544" i="6"/>
  <c r="R544" i="6" s="1"/>
  <c r="P560" i="6"/>
  <c r="N560" i="6"/>
  <c r="P576" i="6"/>
  <c r="N576" i="6"/>
  <c r="P592" i="6"/>
  <c r="N592" i="6"/>
  <c r="P608" i="6"/>
  <c r="N608" i="6"/>
  <c r="R608" i="6" s="1"/>
  <c r="P624" i="6"/>
  <c r="N624" i="6"/>
  <c r="P640" i="6"/>
  <c r="N640" i="6"/>
  <c r="P656" i="6"/>
  <c r="N656" i="6"/>
  <c r="P672" i="6"/>
  <c r="N672" i="6"/>
  <c r="P688" i="6"/>
  <c r="N688" i="6"/>
  <c r="P704" i="6"/>
  <c r="N704" i="6"/>
  <c r="P720" i="6"/>
  <c r="N720" i="6"/>
  <c r="P736" i="6"/>
  <c r="N736" i="6"/>
  <c r="R736" i="6" s="1"/>
  <c r="P752" i="6"/>
  <c r="N752" i="6"/>
  <c r="P768" i="6"/>
  <c r="N768" i="6"/>
  <c r="P784" i="6"/>
  <c r="N784" i="6"/>
  <c r="P800" i="6"/>
  <c r="N800" i="6"/>
  <c r="R800" i="6" s="1"/>
  <c r="P816" i="6"/>
  <c r="N816" i="6"/>
  <c r="P832" i="6"/>
  <c r="N832" i="6"/>
  <c r="P848" i="6"/>
  <c r="N848" i="6"/>
  <c r="P864" i="6"/>
  <c r="N864" i="6"/>
  <c r="P880" i="6"/>
  <c r="N880" i="6"/>
  <c r="P896" i="6"/>
  <c r="N896" i="6"/>
  <c r="P912" i="6"/>
  <c r="N912" i="6"/>
  <c r="P928" i="6"/>
  <c r="N928" i="6"/>
  <c r="P944" i="6"/>
  <c r="N944" i="6"/>
  <c r="P960" i="6"/>
  <c r="N960" i="6"/>
  <c r="P976" i="6"/>
  <c r="N976" i="6"/>
  <c r="P992" i="6"/>
  <c r="N992" i="6"/>
  <c r="R992" i="6" s="1"/>
  <c r="P7" i="6"/>
  <c r="N7" i="6"/>
  <c r="P39" i="6"/>
  <c r="N39" i="6"/>
  <c r="P55" i="6"/>
  <c r="N55" i="6"/>
  <c r="P71" i="6"/>
  <c r="N71" i="6"/>
  <c r="P103" i="6"/>
  <c r="N103" i="6"/>
  <c r="P119" i="6"/>
  <c r="N119" i="6"/>
  <c r="P135" i="6"/>
  <c r="N135" i="6"/>
  <c r="P167" i="6"/>
  <c r="N167" i="6"/>
  <c r="R167" i="6" s="1"/>
  <c r="P183" i="6"/>
  <c r="N183" i="6"/>
  <c r="P199" i="6"/>
  <c r="N199" i="6"/>
  <c r="P231" i="6"/>
  <c r="N231" i="6"/>
  <c r="P247" i="6"/>
  <c r="N247" i="6"/>
  <c r="P263" i="6"/>
  <c r="N263" i="6"/>
  <c r="P295" i="6"/>
  <c r="N295" i="6"/>
  <c r="P311" i="6"/>
  <c r="N311" i="6"/>
  <c r="P327" i="6"/>
  <c r="N327" i="6"/>
  <c r="P359" i="6"/>
  <c r="N359" i="6"/>
  <c r="P375" i="6"/>
  <c r="N375" i="6"/>
  <c r="P391" i="6"/>
  <c r="N391" i="6"/>
  <c r="P423" i="6"/>
  <c r="N423" i="6"/>
  <c r="R423" i="6" s="1"/>
  <c r="P439" i="6"/>
  <c r="N439" i="6"/>
  <c r="P455" i="6"/>
  <c r="N455" i="6"/>
  <c r="P487" i="6"/>
  <c r="N487" i="6"/>
  <c r="P503" i="6"/>
  <c r="N503" i="6"/>
  <c r="P519" i="6"/>
  <c r="N519" i="6"/>
  <c r="P551" i="6"/>
  <c r="N551" i="6"/>
  <c r="R551" i="6" s="1"/>
  <c r="P567" i="6"/>
  <c r="N567" i="6"/>
  <c r="P583" i="6"/>
  <c r="N583" i="6"/>
  <c r="P615" i="6"/>
  <c r="N615" i="6"/>
  <c r="P663" i="6"/>
  <c r="N663" i="6"/>
  <c r="R663" i="6" s="1"/>
  <c r="P679" i="6"/>
  <c r="N679" i="6"/>
  <c r="P695" i="6"/>
  <c r="N695" i="6"/>
  <c r="P711" i="6"/>
  <c r="N711" i="6"/>
  <c r="P727" i="6"/>
  <c r="N727" i="6"/>
  <c r="P743" i="6"/>
  <c r="N743" i="6"/>
  <c r="P759" i="6"/>
  <c r="N759" i="6"/>
  <c r="P775" i="6"/>
  <c r="N775" i="6"/>
  <c r="P807" i="6"/>
  <c r="N807" i="6"/>
  <c r="P871" i="6"/>
  <c r="N871" i="6"/>
  <c r="P919" i="6"/>
  <c r="N919" i="6"/>
  <c r="P935" i="6"/>
  <c r="N935" i="6"/>
  <c r="P951" i="6"/>
  <c r="N951" i="6"/>
  <c r="P967" i="6"/>
  <c r="N967" i="6"/>
  <c r="P983" i="6"/>
  <c r="N983" i="6"/>
  <c r="P999" i="6"/>
  <c r="N999" i="6"/>
  <c r="P17" i="6"/>
  <c r="N17" i="6"/>
  <c r="P49" i="6"/>
  <c r="N49" i="6"/>
  <c r="P65" i="6"/>
  <c r="N65" i="6"/>
  <c r="R65" i="6" s="1"/>
  <c r="P81" i="6"/>
  <c r="N81" i="6"/>
  <c r="P113" i="6"/>
  <c r="N113" i="6"/>
  <c r="P129" i="6"/>
  <c r="N129" i="6"/>
  <c r="P161" i="6"/>
  <c r="N161" i="6"/>
  <c r="P193" i="6"/>
  <c r="N193" i="6"/>
  <c r="P209" i="6"/>
  <c r="N209" i="6"/>
  <c r="P225" i="6"/>
  <c r="N225" i="6"/>
  <c r="P353" i="6"/>
  <c r="N353" i="6"/>
  <c r="P401" i="6"/>
  <c r="N401" i="6"/>
  <c r="P417" i="6"/>
  <c r="N417" i="6"/>
  <c r="R417" i="6" s="1"/>
  <c r="P449" i="6"/>
  <c r="N449" i="6"/>
  <c r="P465" i="6"/>
  <c r="N465" i="6"/>
  <c r="R465" i="6" s="1"/>
  <c r="P481" i="6"/>
  <c r="N481" i="6"/>
  <c r="P497" i="6"/>
  <c r="N497" i="6"/>
  <c r="P513" i="6"/>
  <c r="N513" i="6"/>
  <c r="P545" i="6"/>
  <c r="N545" i="6"/>
  <c r="P609" i="6"/>
  <c r="N609" i="6"/>
  <c r="P657" i="6"/>
  <c r="N657" i="6"/>
  <c r="P673" i="6"/>
  <c r="N673" i="6"/>
  <c r="P689" i="6"/>
  <c r="N689" i="6"/>
  <c r="R689" i="6" s="1"/>
  <c r="P737" i="6"/>
  <c r="N737" i="6"/>
  <c r="P753" i="6"/>
  <c r="N753" i="6"/>
  <c r="P785" i="6"/>
  <c r="N785" i="6"/>
  <c r="P801" i="6"/>
  <c r="N801" i="6"/>
  <c r="P817" i="6"/>
  <c r="N817" i="6"/>
  <c r="P833" i="6"/>
  <c r="N833" i="6"/>
  <c r="P849" i="6"/>
  <c r="N849" i="6"/>
  <c r="P881" i="6"/>
  <c r="N881" i="6"/>
  <c r="P897" i="6"/>
  <c r="N897" i="6"/>
  <c r="P913" i="6"/>
  <c r="N913" i="6"/>
  <c r="P977" i="6"/>
  <c r="N977" i="6"/>
  <c r="P993" i="6"/>
  <c r="N993" i="6"/>
  <c r="P811" i="6"/>
  <c r="N811" i="6"/>
  <c r="P827" i="6"/>
  <c r="N827" i="6"/>
  <c r="P875" i="6"/>
  <c r="N875" i="6"/>
  <c r="P891" i="6"/>
  <c r="N891" i="6"/>
  <c r="R891" i="6" s="1"/>
  <c r="P907" i="6"/>
  <c r="N907" i="6"/>
  <c r="P923" i="6"/>
  <c r="N923" i="6"/>
  <c r="R923" i="6" s="1"/>
  <c r="P939" i="6"/>
  <c r="N939" i="6"/>
  <c r="P955" i="6"/>
  <c r="N955" i="6"/>
  <c r="R955" i="6" s="1"/>
  <c r="P971" i="6"/>
  <c r="N971" i="6"/>
  <c r="P987" i="6"/>
  <c r="N987" i="6"/>
  <c r="R987" i="6" s="1"/>
  <c r="P5" i="6"/>
  <c r="N5" i="6"/>
  <c r="P21" i="6"/>
  <c r="N21" i="6"/>
  <c r="R21" i="6" s="1"/>
  <c r="P37" i="6"/>
  <c r="N37" i="6"/>
  <c r="P53" i="6"/>
  <c r="N53" i="6"/>
  <c r="R53" i="6" s="1"/>
  <c r="P69" i="6"/>
  <c r="N69" i="6"/>
  <c r="P85" i="6"/>
  <c r="N85" i="6"/>
  <c r="R85" i="6" s="1"/>
  <c r="P101" i="6"/>
  <c r="N101" i="6"/>
  <c r="P117" i="6"/>
  <c r="N117" i="6"/>
  <c r="R117" i="6" s="1"/>
  <c r="P133" i="6"/>
  <c r="N133" i="6"/>
  <c r="P149" i="6"/>
  <c r="N149" i="6"/>
  <c r="R149" i="6" s="1"/>
  <c r="P165" i="6"/>
  <c r="N165" i="6"/>
  <c r="P197" i="6"/>
  <c r="N197" i="6"/>
  <c r="R197" i="6" s="1"/>
  <c r="P213" i="6"/>
  <c r="N213" i="6"/>
  <c r="P245" i="6"/>
  <c r="N245" i="6"/>
  <c r="P261" i="6"/>
  <c r="N261" i="6"/>
  <c r="P277" i="6"/>
  <c r="N277" i="6"/>
  <c r="P309" i="6"/>
  <c r="N309" i="6"/>
  <c r="P341" i="6"/>
  <c r="N341" i="6"/>
  <c r="P373" i="6"/>
  <c r="N373" i="6"/>
  <c r="P405" i="6"/>
  <c r="N405" i="6"/>
  <c r="P421" i="6"/>
  <c r="N421" i="6"/>
  <c r="P453" i="6"/>
  <c r="N453" i="6"/>
  <c r="R453" i="6" s="1"/>
  <c r="P501" i="6"/>
  <c r="N501" i="6"/>
  <c r="P517" i="6"/>
  <c r="N517" i="6"/>
  <c r="P533" i="6"/>
  <c r="N533" i="6"/>
  <c r="P549" i="6"/>
  <c r="N549" i="6"/>
  <c r="P565" i="6"/>
  <c r="N565" i="6"/>
  <c r="P581" i="6"/>
  <c r="N581" i="6"/>
  <c r="P597" i="6"/>
  <c r="N597" i="6"/>
  <c r="P613" i="6"/>
  <c r="N613" i="6"/>
  <c r="P629" i="6"/>
  <c r="N629" i="6"/>
  <c r="P645" i="6"/>
  <c r="N645" i="6"/>
  <c r="P661" i="6"/>
  <c r="N661" i="6"/>
  <c r="P677" i="6"/>
  <c r="N677" i="6"/>
  <c r="P693" i="6"/>
  <c r="N693" i="6"/>
  <c r="P709" i="6"/>
  <c r="N709" i="6"/>
  <c r="P725" i="6"/>
  <c r="N725" i="6"/>
  <c r="P741" i="6"/>
  <c r="N741" i="6"/>
  <c r="P757" i="6"/>
  <c r="N757" i="6"/>
  <c r="P773" i="6"/>
  <c r="N773" i="6"/>
  <c r="P789" i="6"/>
  <c r="N789" i="6"/>
  <c r="P805" i="6"/>
  <c r="N805" i="6"/>
  <c r="P821" i="6"/>
  <c r="N821" i="6"/>
  <c r="P837" i="6"/>
  <c r="N837" i="6"/>
  <c r="P853" i="6"/>
  <c r="N853" i="6"/>
  <c r="P869" i="6"/>
  <c r="N869" i="6"/>
  <c r="R869" i="6" s="1"/>
  <c r="P885" i="6"/>
  <c r="N885" i="6"/>
  <c r="P901" i="6"/>
  <c r="N901" i="6"/>
  <c r="P917" i="6"/>
  <c r="N917" i="6"/>
  <c r="P965" i="6"/>
  <c r="N965" i="6"/>
  <c r="R965" i="6" s="1"/>
  <c r="P981" i="6"/>
  <c r="N981" i="6"/>
  <c r="P997" i="6"/>
  <c r="N997" i="6"/>
  <c r="R997" i="6" s="1"/>
  <c r="P286" i="6"/>
  <c r="N286" i="6"/>
  <c r="P318" i="6"/>
  <c r="N318" i="6"/>
  <c r="R318" i="6" s="1"/>
  <c r="P350" i="6"/>
  <c r="N350" i="6"/>
  <c r="P382" i="6"/>
  <c r="N382" i="6"/>
  <c r="R382" i="6" s="1"/>
  <c r="P414" i="6"/>
  <c r="N414" i="6"/>
  <c r="P446" i="6"/>
  <c r="N446" i="6"/>
  <c r="R446" i="6" s="1"/>
  <c r="P510" i="6"/>
  <c r="N510" i="6"/>
  <c r="P574" i="6"/>
  <c r="N574" i="6"/>
  <c r="P782" i="6"/>
  <c r="N782" i="6"/>
  <c r="P830" i="6"/>
  <c r="N830" i="6"/>
  <c r="P958" i="6"/>
  <c r="N958" i="6"/>
  <c r="P8" i="6"/>
  <c r="N8" i="6"/>
  <c r="P24" i="6"/>
  <c r="N24" i="6"/>
  <c r="P40" i="6"/>
  <c r="N40" i="6"/>
  <c r="P56" i="6"/>
  <c r="N56" i="6"/>
  <c r="P72" i="6"/>
  <c r="N72" i="6"/>
  <c r="P88" i="6"/>
  <c r="N88" i="6"/>
  <c r="P104" i="6"/>
  <c r="N104" i="6"/>
  <c r="P120" i="6"/>
  <c r="N120" i="6"/>
  <c r="P136" i="6"/>
  <c r="N136" i="6"/>
  <c r="P152" i="6"/>
  <c r="N152" i="6"/>
  <c r="P168" i="6"/>
  <c r="N168" i="6"/>
  <c r="P184" i="6"/>
  <c r="N184" i="6"/>
  <c r="P200" i="6"/>
  <c r="N200" i="6"/>
  <c r="P216" i="6"/>
  <c r="N216" i="6"/>
  <c r="P232" i="6"/>
  <c r="N232" i="6"/>
  <c r="P248" i="6"/>
  <c r="N248" i="6"/>
  <c r="P264" i="6"/>
  <c r="N264" i="6"/>
  <c r="P280" i="6"/>
  <c r="N280" i="6"/>
  <c r="P296" i="6"/>
  <c r="N296" i="6"/>
  <c r="P312" i="6"/>
  <c r="N312" i="6"/>
  <c r="P328" i="6"/>
  <c r="N328" i="6"/>
  <c r="P344" i="6"/>
  <c r="N344" i="6"/>
  <c r="P360" i="6"/>
  <c r="N360" i="6"/>
  <c r="P392" i="6"/>
  <c r="N392" i="6"/>
  <c r="P440" i="6"/>
  <c r="N440" i="6"/>
  <c r="R440" i="6" s="1"/>
  <c r="P456" i="6"/>
  <c r="N456" i="6"/>
  <c r="P472" i="6"/>
  <c r="N472" i="6"/>
  <c r="R472" i="6" s="1"/>
  <c r="P504" i="6"/>
  <c r="N504" i="6"/>
  <c r="P520" i="6"/>
  <c r="N520" i="6"/>
  <c r="P536" i="6"/>
  <c r="N536" i="6"/>
  <c r="P552" i="6"/>
  <c r="N552" i="6"/>
  <c r="P568" i="6"/>
  <c r="N568" i="6"/>
  <c r="P584" i="6"/>
  <c r="N584" i="6"/>
  <c r="P600" i="6"/>
  <c r="N600" i="6"/>
  <c r="P616" i="6"/>
  <c r="N616" i="6"/>
  <c r="P632" i="6"/>
  <c r="N632" i="6"/>
  <c r="P648" i="6"/>
  <c r="N648" i="6"/>
  <c r="P696" i="6"/>
  <c r="N696" i="6"/>
  <c r="P712" i="6"/>
  <c r="N712" i="6"/>
  <c r="P744" i="6"/>
  <c r="N744" i="6"/>
  <c r="P776" i="6"/>
  <c r="N776" i="6"/>
  <c r="P792" i="6"/>
  <c r="N792" i="6"/>
  <c r="P808" i="6"/>
  <c r="N808" i="6"/>
  <c r="P840" i="6"/>
  <c r="N840" i="6"/>
  <c r="P856" i="6"/>
  <c r="N856" i="6"/>
  <c r="R856" i="6" s="1"/>
  <c r="P872" i="6"/>
  <c r="N872" i="6"/>
  <c r="P888" i="6"/>
  <c r="N888" i="6"/>
  <c r="P904" i="6"/>
  <c r="N904" i="6"/>
  <c r="P936" i="6"/>
  <c r="N936" i="6"/>
  <c r="P952" i="6"/>
  <c r="N952" i="6"/>
  <c r="P968" i="6"/>
  <c r="N968" i="6"/>
  <c r="P984" i="6"/>
  <c r="N984" i="6"/>
  <c r="P1000" i="6"/>
  <c r="N1000" i="6"/>
  <c r="P31" i="6"/>
  <c r="N31" i="6"/>
  <c r="P143" i="6"/>
  <c r="N143" i="6"/>
  <c r="P191" i="6"/>
  <c r="N191" i="6"/>
  <c r="P239" i="6"/>
  <c r="N239" i="6"/>
  <c r="R239" i="6" s="1"/>
  <c r="P287" i="6"/>
  <c r="N287" i="6"/>
  <c r="P399" i="6"/>
  <c r="N399" i="6"/>
  <c r="R399" i="6" s="1"/>
  <c r="P447" i="6"/>
  <c r="N447" i="6"/>
  <c r="P495" i="6"/>
  <c r="N495" i="6"/>
  <c r="P543" i="6"/>
  <c r="N543" i="6"/>
  <c r="P639" i="6"/>
  <c r="N639" i="6"/>
  <c r="P687" i="6"/>
  <c r="N687" i="6"/>
  <c r="P751" i="6"/>
  <c r="N751" i="6"/>
  <c r="P799" i="6"/>
  <c r="N799" i="6"/>
  <c r="P815" i="6"/>
  <c r="N815" i="6"/>
  <c r="P847" i="6"/>
  <c r="N847" i="6"/>
  <c r="P863" i="6"/>
  <c r="N863" i="6"/>
  <c r="R863" i="6" s="1"/>
  <c r="P57" i="6"/>
  <c r="N57" i="6"/>
  <c r="P105" i="6"/>
  <c r="N105" i="6"/>
  <c r="R105" i="6" s="1"/>
  <c r="P121" i="6"/>
  <c r="N121" i="6"/>
  <c r="P473" i="6"/>
  <c r="N473" i="6"/>
  <c r="P489" i="6"/>
  <c r="N489" i="6"/>
  <c r="P601" i="6"/>
  <c r="N601" i="6"/>
  <c r="P921" i="6"/>
  <c r="N921" i="6"/>
  <c r="P937" i="6"/>
  <c r="N937" i="6"/>
  <c r="P953" i="6"/>
  <c r="N953" i="6"/>
  <c r="R30" i="6"/>
  <c r="P30" i="6"/>
  <c r="R62" i="6"/>
  <c r="P62" i="6"/>
  <c r="R94" i="6"/>
  <c r="P94" i="6"/>
  <c r="R126" i="6"/>
  <c r="P126" i="6"/>
  <c r="R158" i="6"/>
  <c r="P158" i="6"/>
  <c r="R174" i="6"/>
  <c r="P174" i="6"/>
  <c r="R222" i="6"/>
  <c r="P222" i="6"/>
  <c r="R254" i="6"/>
  <c r="P254" i="6"/>
  <c r="Q302" i="6"/>
  <c r="P302" i="6"/>
  <c r="Q334" i="6"/>
  <c r="P334" i="6"/>
  <c r="Q398" i="6"/>
  <c r="P398" i="6"/>
  <c r="Q462" i="6"/>
  <c r="P462" i="6"/>
  <c r="Q542" i="6"/>
  <c r="P542" i="6"/>
  <c r="Q558" i="6"/>
  <c r="P558" i="6"/>
  <c r="Q590" i="6"/>
  <c r="P590" i="6"/>
  <c r="Q622" i="6"/>
  <c r="P622" i="6"/>
  <c r="Q654" i="6"/>
  <c r="P654" i="6"/>
  <c r="Q686" i="6"/>
  <c r="P686" i="6"/>
  <c r="Q718" i="6"/>
  <c r="P718" i="6"/>
  <c r="Q862" i="6"/>
  <c r="P862" i="6"/>
  <c r="Q894" i="6"/>
  <c r="P894" i="6"/>
  <c r="Q926" i="6"/>
  <c r="P926" i="6"/>
  <c r="Q942" i="6"/>
  <c r="P942" i="6"/>
  <c r="Q974" i="6"/>
  <c r="P974" i="6"/>
  <c r="Q990" i="6"/>
  <c r="P990" i="6"/>
  <c r="Q424" i="6"/>
  <c r="P424" i="6"/>
  <c r="Q488" i="6"/>
  <c r="P488" i="6"/>
  <c r="Q680" i="6"/>
  <c r="P680" i="6"/>
  <c r="Q728" i="6"/>
  <c r="P728" i="6"/>
  <c r="Q824" i="6"/>
  <c r="P824" i="6"/>
  <c r="P87" i="6"/>
  <c r="P215" i="6"/>
  <c r="P343" i="6"/>
  <c r="P471" i="6"/>
  <c r="P535" i="6"/>
  <c r="P839" i="6"/>
  <c r="P855" i="6"/>
  <c r="P97" i="6"/>
  <c r="P177" i="6"/>
  <c r="Q257" i="6"/>
  <c r="P257" i="6"/>
  <c r="Q289" i="6"/>
  <c r="P289" i="6"/>
  <c r="Q321" i="6"/>
  <c r="P321" i="6"/>
  <c r="P337" i="6"/>
  <c r="P369" i="6"/>
  <c r="P529" i="6"/>
  <c r="Q561" i="6"/>
  <c r="P561" i="6"/>
  <c r="Q641" i="6"/>
  <c r="P641" i="6"/>
  <c r="Q705" i="6"/>
  <c r="P705" i="6"/>
  <c r="Q769" i="6"/>
  <c r="P769" i="6"/>
  <c r="R50" i="6"/>
  <c r="P50" i="6"/>
  <c r="R66" i="6"/>
  <c r="P66" i="6"/>
  <c r="R82" i="6"/>
  <c r="P82" i="6"/>
  <c r="P114" i="6"/>
  <c r="R146" i="6"/>
  <c r="P146" i="6"/>
  <c r="P178" i="6"/>
  <c r="R210" i="6"/>
  <c r="P210" i="6"/>
  <c r="P242" i="6"/>
  <c r="P274" i="6"/>
  <c r="P306" i="6"/>
  <c r="R354" i="6"/>
  <c r="P354" i="6"/>
  <c r="P370" i="6"/>
  <c r="R402" i="6"/>
  <c r="P402" i="6"/>
  <c r="Q434" i="6"/>
  <c r="P434" i="6"/>
  <c r="Q466" i="6"/>
  <c r="P466" i="6"/>
  <c r="Q498" i="6"/>
  <c r="P498" i="6"/>
  <c r="Q546" i="6"/>
  <c r="P546" i="6"/>
  <c r="Q578" i="6"/>
  <c r="P578" i="6"/>
  <c r="Q610" i="6"/>
  <c r="P610" i="6"/>
  <c r="Q642" i="6"/>
  <c r="P642" i="6"/>
  <c r="Q674" i="6"/>
  <c r="P674" i="6"/>
  <c r="Q706" i="6"/>
  <c r="P706" i="6"/>
  <c r="Q738" i="6"/>
  <c r="P738" i="6"/>
  <c r="Q770" i="6"/>
  <c r="P770" i="6"/>
  <c r="Q786" i="6"/>
  <c r="P786" i="6"/>
  <c r="Q866" i="6"/>
  <c r="P866" i="6"/>
  <c r="Q882" i="6"/>
  <c r="P882" i="6"/>
  <c r="Q44" i="6"/>
  <c r="P44" i="6"/>
  <c r="Q108" i="6"/>
  <c r="P108" i="6"/>
  <c r="Q140" i="6"/>
  <c r="P140" i="6"/>
  <c r="Q204" i="6"/>
  <c r="P204" i="6"/>
  <c r="Q268" i="6"/>
  <c r="P268" i="6"/>
  <c r="Q380" i="6"/>
  <c r="P380" i="6"/>
  <c r="Q828" i="6"/>
  <c r="P828" i="6"/>
  <c r="Q892" i="6"/>
  <c r="P892" i="6"/>
  <c r="Q11" i="6"/>
  <c r="P11" i="6"/>
  <c r="Q43" i="6"/>
  <c r="P43" i="6"/>
  <c r="Q75" i="6"/>
  <c r="P75" i="6"/>
  <c r="Q107" i="6"/>
  <c r="P107" i="6"/>
  <c r="Q139" i="6"/>
  <c r="P139" i="6"/>
  <c r="Q171" i="6"/>
  <c r="P171" i="6"/>
  <c r="Q203" i="6"/>
  <c r="P203" i="6"/>
  <c r="Q235" i="6"/>
  <c r="P235" i="6"/>
  <c r="Q267" i="6"/>
  <c r="P267" i="6"/>
  <c r="Q315" i="6"/>
  <c r="P315" i="6"/>
  <c r="Q347" i="6"/>
  <c r="P347" i="6"/>
  <c r="Q379" i="6"/>
  <c r="P379" i="6"/>
  <c r="Q411" i="6"/>
  <c r="P411" i="6"/>
  <c r="Q443" i="6"/>
  <c r="P443" i="6"/>
  <c r="Q475" i="6"/>
  <c r="P475" i="6"/>
  <c r="Q507" i="6"/>
  <c r="P507" i="6"/>
  <c r="Q555" i="6"/>
  <c r="P555" i="6"/>
  <c r="Q587" i="6"/>
  <c r="P587" i="6"/>
  <c r="Q619" i="6"/>
  <c r="P619" i="6"/>
  <c r="Q651" i="6"/>
  <c r="P651" i="6"/>
  <c r="Q683" i="6"/>
  <c r="P683" i="6"/>
  <c r="Q715" i="6"/>
  <c r="P715" i="6"/>
  <c r="Q747" i="6"/>
  <c r="P747" i="6"/>
  <c r="Q779" i="6"/>
  <c r="P779" i="6"/>
  <c r="Q843" i="6"/>
  <c r="P843" i="6"/>
  <c r="Q859" i="6"/>
  <c r="P859" i="6"/>
  <c r="Q181" i="6"/>
  <c r="P181" i="6"/>
  <c r="Q229" i="6"/>
  <c r="P229" i="6"/>
  <c r="Q325" i="6"/>
  <c r="P325" i="6"/>
  <c r="Q437" i="6"/>
  <c r="P437" i="6"/>
  <c r="P10" i="6"/>
  <c r="R26" i="6"/>
  <c r="P26" i="6"/>
  <c r="P42" i="6"/>
  <c r="P58" i="6"/>
  <c r="P74" i="6"/>
  <c r="R90" i="6"/>
  <c r="P90" i="6"/>
  <c r="P106" i="6"/>
  <c r="R122" i="6"/>
  <c r="P122" i="6"/>
  <c r="P138" i="6"/>
  <c r="R154" i="6"/>
  <c r="P154" i="6"/>
  <c r="P170" i="6"/>
  <c r="P186" i="6"/>
  <c r="P202" i="6"/>
  <c r="R218" i="6"/>
  <c r="P218" i="6"/>
  <c r="P234" i="6"/>
  <c r="R250" i="6"/>
  <c r="P250" i="6"/>
  <c r="P266" i="6"/>
  <c r="R282" i="6"/>
  <c r="P282" i="6"/>
  <c r="P298" i="6"/>
  <c r="P314" i="6"/>
  <c r="P330" i="6"/>
  <c r="R346" i="6"/>
  <c r="P346" i="6"/>
  <c r="P362" i="6"/>
  <c r="R378" i="6"/>
  <c r="P378" i="6"/>
  <c r="P394" i="6"/>
  <c r="R410" i="6"/>
  <c r="P410" i="6"/>
  <c r="Q20" i="6"/>
  <c r="P20" i="6"/>
  <c r="Q52" i="6"/>
  <c r="P52" i="6"/>
  <c r="Q84" i="6"/>
  <c r="P84" i="6"/>
  <c r="Q116" i="6"/>
  <c r="P116" i="6"/>
  <c r="Q148" i="6"/>
  <c r="P148" i="6"/>
  <c r="Q180" i="6"/>
  <c r="P180" i="6"/>
  <c r="Q212" i="6"/>
  <c r="P212" i="6"/>
  <c r="Q244" i="6"/>
  <c r="P244" i="6"/>
  <c r="Q276" i="6"/>
  <c r="P276" i="6"/>
  <c r="Q308" i="6"/>
  <c r="P308" i="6"/>
  <c r="Q340" i="6"/>
  <c r="P340" i="6"/>
  <c r="Q356" i="6"/>
  <c r="P356" i="6"/>
  <c r="Q436" i="6"/>
  <c r="P436" i="6"/>
  <c r="Q468" i="6"/>
  <c r="P468" i="6"/>
  <c r="Q532" i="6"/>
  <c r="P532" i="6"/>
  <c r="Q564" i="6"/>
  <c r="P564" i="6"/>
  <c r="Q596" i="6"/>
  <c r="P596" i="6"/>
  <c r="Q692" i="6"/>
  <c r="P692" i="6"/>
  <c r="Q788" i="6"/>
  <c r="P788" i="6"/>
  <c r="Q804" i="6"/>
  <c r="P804" i="6"/>
  <c r="Q836" i="6"/>
  <c r="P836" i="6"/>
  <c r="Q884" i="6"/>
  <c r="P884" i="6"/>
  <c r="Q900" i="6"/>
  <c r="P900" i="6"/>
  <c r="Q916" i="6"/>
  <c r="P916" i="6"/>
  <c r="Q932" i="6"/>
  <c r="P932" i="6"/>
  <c r="Q948" i="6"/>
  <c r="P948" i="6"/>
  <c r="Q964" i="6"/>
  <c r="P964" i="6"/>
  <c r="P205" i="6"/>
  <c r="P301" i="6"/>
  <c r="P14" i="6"/>
  <c r="P46" i="6"/>
  <c r="P78" i="6"/>
  <c r="R110" i="6"/>
  <c r="P110" i="6"/>
  <c r="P142" i="6"/>
  <c r="R190" i="6"/>
  <c r="P190" i="6"/>
  <c r="P206" i="6"/>
  <c r="R238" i="6"/>
  <c r="P238" i="6"/>
  <c r="Q366" i="6"/>
  <c r="P366" i="6"/>
  <c r="Q430" i="6"/>
  <c r="P430" i="6"/>
  <c r="Q478" i="6"/>
  <c r="P478" i="6"/>
  <c r="Q494" i="6"/>
  <c r="P494" i="6"/>
  <c r="Q526" i="6"/>
  <c r="P526" i="6"/>
  <c r="Q606" i="6"/>
  <c r="P606" i="6"/>
  <c r="Q638" i="6"/>
  <c r="P638" i="6"/>
  <c r="Q670" i="6"/>
  <c r="P670" i="6"/>
  <c r="Q702" i="6"/>
  <c r="P702" i="6"/>
  <c r="Q734" i="6"/>
  <c r="P734" i="6"/>
  <c r="Q750" i="6"/>
  <c r="P750" i="6"/>
  <c r="Q766" i="6"/>
  <c r="P766" i="6"/>
  <c r="Q798" i="6"/>
  <c r="P798" i="6"/>
  <c r="Q814" i="6"/>
  <c r="P814" i="6"/>
  <c r="Q846" i="6"/>
  <c r="P846" i="6"/>
  <c r="Q878" i="6"/>
  <c r="P878" i="6"/>
  <c r="Q910" i="6"/>
  <c r="P910" i="6"/>
  <c r="Q376" i="6"/>
  <c r="P376" i="6"/>
  <c r="Q408" i="6"/>
  <c r="P408" i="6"/>
  <c r="Q664" i="6"/>
  <c r="P664" i="6"/>
  <c r="Q760" i="6"/>
  <c r="P760" i="6"/>
  <c r="Q920" i="6"/>
  <c r="P920" i="6"/>
  <c r="P23" i="6"/>
  <c r="P151" i="6"/>
  <c r="P279" i="6"/>
  <c r="P407" i="6"/>
  <c r="P599" i="6"/>
  <c r="P631" i="6"/>
  <c r="P647" i="6"/>
  <c r="P791" i="6"/>
  <c r="P823" i="6"/>
  <c r="P887" i="6"/>
  <c r="P903" i="6"/>
  <c r="P33" i="6"/>
  <c r="P145" i="6"/>
  <c r="Q241" i="6"/>
  <c r="P241" i="6"/>
  <c r="Q273" i="6"/>
  <c r="P273" i="6"/>
  <c r="Q305" i="6"/>
  <c r="P305" i="6"/>
  <c r="P385" i="6"/>
  <c r="P433" i="6"/>
  <c r="Q577" i="6"/>
  <c r="P577" i="6"/>
  <c r="P593" i="6"/>
  <c r="Q625" i="6"/>
  <c r="P625" i="6"/>
  <c r="P721" i="6"/>
  <c r="P865" i="6"/>
  <c r="P929" i="6"/>
  <c r="P945" i="6"/>
  <c r="P961" i="6"/>
  <c r="P18" i="6"/>
  <c r="R34" i="6"/>
  <c r="P34" i="6"/>
  <c r="P98" i="6"/>
  <c r="R130" i="6"/>
  <c r="P130" i="6"/>
  <c r="P162" i="6"/>
  <c r="R194" i="6"/>
  <c r="P194" i="6"/>
  <c r="P226" i="6"/>
  <c r="R258" i="6"/>
  <c r="P258" i="6"/>
  <c r="P290" i="6"/>
  <c r="R322" i="6"/>
  <c r="P322" i="6"/>
  <c r="P338" i="6"/>
  <c r="R386" i="6"/>
  <c r="P386" i="6"/>
  <c r="P418" i="6"/>
  <c r="Q450" i="6"/>
  <c r="P450" i="6"/>
  <c r="Q482" i="6"/>
  <c r="P482" i="6"/>
  <c r="Q514" i="6"/>
  <c r="P514" i="6"/>
  <c r="Q530" i="6"/>
  <c r="P530" i="6"/>
  <c r="Q562" i="6"/>
  <c r="P562" i="6"/>
  <c r="Q594" i="6"/>
  <c r="P594" i="6"/>
  <c r="Q626" i="6"/>
  <c r="P626" i="6"/>
  <c r="Q658" i="6"/>
  <c r="P658" i="6"/>
  <c r="Q690" i="6"/>
  <c r="P690" i="6"/>
  <c r="Q722" i="6"/>
  <c r="P722" i="6"/>
  <c r="Q754" i="6"/>
  <c r="P754" i="6"/>
  <c r="Q818" i="6"/>
  <c r="P818" i="6"/>
  <c r="Q850" i="6"/>
  <c r="P850" i="6"/>
  <c r="Q914" i="6"/>
  <c r="P914" i="6"/>
  <c r="Q946" i="6"/>
  <c r="P946" i="6"/>
  <c r="Q962" i="6"/>
  <c r="P962" i="6"/>
  <c r="Q978" i="6"/>
  <c r="P978" i="6"/>
  <c r="Q12" i="6"/>
  <c r="P12" i="6"/>
  <c r="Q76" i="6"/>
  <c r="P76" i="6"/>
  <c r="Q172" i="6"/>
  <c r="P172" i="6"/>
  <c r="Q236" i="6"/>
  <c r="P236" i="6"/>
  <c r="Q300" i="6"/>
  <c r="P300" i="6"/>
  <c r="Q332" i="6"/>
  <c r="P332" i="6"/>
  <c r="Q796" i="6"/>
  <c r="P796" i="6"/>
  <c r="Q924" i="6"/>
  <c r="P924" i="6"/>
  <c r="Q956" i="6"/>
  <c r="P956" i="6"/>
  <c r="Q27" i="6"/>
  <c r="P27" i="6"/>
  <c r="Q59" i="6"/>
  <c r="P59" i="6"/>
  <c r="Q91" i="6"/>
  <c r="P91" i="6"/>
  <c r="Q123" i="6"/>
  <c r="P123" i="6"/>
  <c r="Q155" i="6"/>
  <c r="P155" i="6"/>
  <c r="Q187" i="6"/>
  <c r="P187" i="6"/>
  <c r="Q219" i="6"/>
  <c r="P219" i="6"/>
  <c r="Q251" i="6"/>
  <c r="P251" i="6"/>
  <c r="Q283" i="6"/>
  <c r="P283" i="6"/>
  <c r="Q299" i="6"/>
  <c r="P299" i="6"/>
  <c r="Q331" i="6"/>
  <c r="P331" i="6"/>
  <c r="Q363" i="6"/>
  <c r="P363" i="6"/>
  <c r="Q395" i="6"/>
  <c r="P395" i="6"/>
  <c r="Q427" i="6"/>
  <c r="P427" i="6"/>
  <c r="Q459" i="6"/>
  <c r="P459" i="6"/>
  <c r="Q491" i="6"/>
  <c r="P491" i="6"/>
  <c r="Q523" i="6"/>
  <c r="P523" i="6"/>
  <c r="Q539" i="6"/>
  <c r="P539" i="6"/>
  <c r="Q571" i="6"/>
  <c r="P571" i="6"/>
  <c r="Q603" i="6"/>
  <c r="P603" i="6"/>
  <c r="Q635" i="6"/>
  <c r="P635" i="6"/>
  <c r="Q667" i="6"/>
  <c r="P667" i="6"/>
  <c r="Q699" i="6"/>
  <c r="P699" i="6"/>
  <c r="Q731" i="6"/>
  <c r="P731" i="6"/>
  <c r="Q763" i="6"/>
  <c r="P763" i="6"/>
  <c r="Q795" i="6"/>
  <c r="P795" i="6"/>
  <c r="Q293" i="6"/>
  <c r="P293" i="6"/>
  <c r="Q357" i="6"/>
  <c r="P357" i="6"/>
  <c r="Q389" i="6"/>
  <c r="P389" i="6"/>
  <c r="Q469" i="6"/>
  <c r="P469" i="6"/>
  <c r="P485" i="6"/>
  <c r="P933" i="6"/>
  <c r="Q949" i="6"/>
  <c r="P949" i="6"/>
  <c r="R6" i="6"/>
  <c r="P6" i="6"/>
  <c r="P22" i="6"/>
  <c r="P38" i="6"/>
  <c r="R54" i="6"/>
  <c r="P54" i="6"/>
  <c r="R70" i="6"/>
  <c r="P70" i="6"/>
  <c r="P86" i="6"/>
  <c r="P102" i="6"/>
  <c r="R118" i="6"/>
  <c r="P118" i="6"/>
  <c r="R134" i="6"/>
  <c r="P134" i="6"/>
  <c r="P150" i="6"/>
  <c r="P166" i="6"/>
  <c r="R182" i="6"/>
  <c r="P182" i="6"/>
  <c r="R198" i="6"/>
  <c r="P198" i="6"/>
  <c r="P214" i="6"/>
  <c r="P230" i="6"/>
  <c r="R246" i="6"/>
  <c r="P246" i="6"/>
  <c r="R262" i="6"/>
  <c r="P262" i="6"/>
  <c r="Q15" i="6"/>
  <c r="P15" i="6"/>
  <c r="Q47" i="6"/>
  <c r="P47" i="6"/>
  <c r="Q63" i="6"/>
  <c r="P63" i="6"/>
  <c r="Q79" i="6"/>
  <c r="P79" i="6"/>
  <c r="Q95" i="6"/>
  <c r="P95" i="6"/>
  <c r="Q111" i="6"/>
  <c r="P111" i="6"/>
  <c r="Q127" i="6"/>
  <c r="P127" i="6"/>
  <c r="Q159" i="6"/>
  <c r="P159" i="6"/>
  <c r="Q175" i="6"/>
  <c r="P175" i="6"/>
  <c r="Q207" i="6"/>
  <c r="P207" i="6"/>
  <c r="Q223" i="6"/>
  <c r="P223" i="6"/>
  <c r="Q255" i="6"/>
  <c r="P255" i="6"/>
  <c r="Q271" i="6"/>
  <c r="P271" i="6"/>
  <c r="Q303" i="6"/>
  <c r="P303" i="6"/>
  <c r="Q319" i="6"/>
  <c r="P319" i="6"/>
  <c r="Q335" i="6"/>
  <c r="P335" i="6"/>
  <c r="Q351" i="6"/>
  <c r="P351" i="6"/>
  <c r="Q367" i="6"/>
  <c r="P367" i="6"/>
  <c r="Q383" i="6"/>
  <c r="P383" i="6"/>
  <c r="Q415" i="6"/>
  <c r="P415" i="6"/>
  <c r="Q431" i="6"/>
  <c r="P431" i="6"/>
  <c r="Q463" i="6"/>
  <c r="P463" i="6"/>
  <c r="Q479" i="6"/>
  <c r="P479" i="6"/>
  <c r="Q511" i="6"/>
  <c r="P511" i="6"/>
  <c r="Q527" i="6"/>
  <c r="P527" i="6"/>
  <c r="Q559" i="6"/>
  <c r="P559" i="6"/>
  <c r="Q575" i="6"/>
  <c r="P575" i="6"/>
  <c r="Q591" i="6"/>
  <c r="P591" i="6"/>
  <c r="Q607" i="6"/>
  <c r="P607" i="6"/>
  <c r="Q623" i="6"/>
  <c r="P623" i="6"/>
  <c r="Q655" i="6"/>
  <c r="P655" i="6"/>
  <c r="Q671" i="6"/>
  <c r="P671" i="6"/>
  <c r="Q703" i="6"/>
  <c r="P703" i="6"/>
  <c r="Q719" i="6"/>
  <c r="P719" i="6"/>
  <c r="Q735" i="6"/>
  <c r="P735" i="6"/>
  <c r="Q767" i="6"/>
  <c r="P767" i="6"/>
  <c r="Q783" i="6"/>
  <c r="P783" i="6"/>
  <c r="P831" i="6"/>
  <c r="P879" i="6"/>
  <c r="P895" i="6"/>
  <c r="P911" i="6"/>
  <c r="P927" i="6"/>
  <c r="P943" i="6"/>
  <c r="P959" i="6"/>
  <c r="P975" i="6"/>
  <c r="P991" i="6"/>
  <c r="Q9" i="6"/>
  <c r="P9" i="6"/>
  <c r="P25" i="6"/>
  <c r="Q41" i="6"/>
  <c r="P41" i="6"/>
  <c r="P73" i="6"/>
  <c r="P89" i="6"/>
  <c r="P137" i="6"/>
  <c r="P153" i="6"/>
  <c r="P169" i="6"/>
  <c r="P185" i="6"/>
  <c r="P201" i="6"/>
  <c r="P217" i="6"/>
  <c r="P233" i="6"/>
  <c r="P249" i="6"/>
  <c r="Q265" i="6"/>
  <c r="P265" i="6"/>
  <c r="P281" i="6"/>
  <c r="P297" i="6"/>
  <c r="P313" i="6"/>
  <c r="P329" i="6"/>
  <c r="P345" i="6"/>
  <c r="P361" i="6"/>
  <c r="Q377" i="6"/>
  <c r="P377" i="6"/>
  <c r="P393" i="6"/>
  <c r="Q409" i="6"/>
  <c r="P409" i="6"/>
  <c r="P425" i="6"/>
  <c r="P441" i="6"/>
  <c r="Q457" i="6"/>
  <c r="P457" i="6"/>
  <c r="Q505" i="6"/>
  <c r="P505" i="6"/>
  <c r="P521" i="6"/>
  <c r="P537" i="6"/>
  <c r="P553" i="6"/>
  <c r="P569" i="6"/>
  <c r="P585" i="6"/>
  <c r="P617" i="6"/>
  <c r="P633" i="6"/>
  <c r="P649" i="6"/>
  <c r="P665" i="6"/>
  <c r="P681" i="6"/>
  <c r="P697" i="6"/>
  <c r="P713" i="6"/>
  <c r="P729" i="6"/>
  <c r="P745" i="6"/>
  <c r="P761" i="6"/>
  <c r="P777" i="6"/>
  <c r="P793" i="6"/>
  <c r="P809" i="6"/>
  <c r="P825" i="6"/>
  <c r="P841" i="6"/>
  <c r="Q857" i="6"/>
  <c r="P857" i="6"/>
  <c r="P873" i="6"/>
  <c r="Q889" i="6"/>
  <c r="P889" i="6"/>
  <c r="P905" i="6"/>
  <c r="P969" i="6"/>
  <c r="P985" i="6"/>
  <c r="P1001" i="6"/>
  <c r="Q250" i="6"/>
  <c r="Q122" i="6"/>
  <c r="Q73" i="6"/>
  <c r="Q66" i="6"/>
  <c r="Q154" i="6"/>
  <c r="Q322" i="6"/>
  <c r="Q26" i="6"/>
  <c r="Q194" i="6"/>
  <c r="Q98" i="6"/>
  <c r="Q226" i="6"/>
  <c r="Q354" i="6"/>
  <c r="Q34" i="6"/>
  <c r="Q106" i="6"/>
  <c r="Q162" i="6"/>
  <c r="Q234" i="6"/>
  <c r="Q290" i="6"/>
  <c r="Q418" i="6"/>
  <c r="Q74" i="6"/>
  <c r="Q130" i="6"/>
  <c r="Q202" i="6"/>
  <c r="Q258" i="6"/>
  <c r="Q386" i="6"/>
  <c r="Q31" i="6"/>
  <c r="Q143" i="6"/>
  <c r="Q191" i="6"/>
  <c r="Q239" i="6"/>
  <c r="Q399" i="6"/>
  <c r="Q447" i="6"/>
  <c r="Q495" i="6"/>
  <c r="Q543" i="6"/>
  <c r="Q639" i="6"/>
  <c r="Q687" i="6"/>
  <c r="Q751" i="6"/>
  <c r="Q473" i="6"/>
  <c r="Q42" i="6"/>
  <c r="Q90" i="6"/>
  <c r="Q170" i="6"/>
  <c r="Q218" i="6"/>
  <c r="Q185" i="6"/>
  <c r="Q537" i="6"/>
  <c r="Q10" i="6"/>
  <c r="Q58" i="6"/>
  <c r="Q138" i="6"/>
  <c r="Q186" i="6"/>
  <c r="Q266" i="6"/>
  <c r="Q441" i="6"/>
  <c r="Q18" i="6"/>
  <c r="Q50" i="6"/>
  <c r="Q82" i="6"/>
  <c r="Q114" i="6"/>
  <c r="Q146" i="6"/>
  <c r="Q178" i="6"/>
  <c r="Q210" i="6"/>
  <c r="Q242" i="6"/>
  <c r="Q274" i="6"/>
  <c r="Q306" i="6"/>
  <c r="Q338" i="6"/>
  <c r="Q370" i="6"/>
  <c r="Q402" i="6"/>
  <c r="R278" i="6"/>
  <c r="R294" i="6"/>
  <c r="R310" i="6"/>
  <c r="R342" i="6"/>
  <c r="R374" i="6"/>
  <c r="R406" i="6"/>
  <c r="R438" i="6"/>
  <c r="R470" i="6"/>
  <c r="R486" i="6"/>
  <c r="R502" i="6"/>
  <c r="R534" i="6"/>
  <c r="R550" i="6"/>
  <c r="R566" i="6"/>
  <c r="R598" i="6"/>
  <c r="R630" i="6"/>
  <c r="R662" i="6"/>
  <c r="R694" i="6"/>
  <c r="Q710" i="6"/>
  <c r="R726" i="6"/>
  <c r="R758" i="6"/>
  <c r="R790" i="6"/>
  <c r="Q806" i="6"/>
  <c r="R822" i="6"/>
  <c r="Q822" i="6"/>
  <c r="R854" i="6"/>
  <c r="R870" i="6"/>
  <c r="Q870" i="6"/>
  <c r="R886" i="6"/>
  <c r="R918" i="6"/>
  <c r="R934" i="6"/>
  <c r="R950" i="6"/>
  <c r="R982" i="6"/>
  <c r="R998" i="6"/>
  <c r="Q998" i="6"/>
  <c r="R16" i="6"/>
  <c r="Q16" i="6"/>
  <c r="R32" i="6"/>
  <c r="Q32" i="6"/>
  <c r="R48" i="6"/>
  <c r="Q48" i="6"/>
  <c r="R64" i="6"/>
  <c r="Q64" i="6"/>
  <c r="R80" i="6"/>
  <c r="Q80" i="6"/>
  <c r="R96" i="6"/>
  <c r="Q96" i="6"/>
  <c r="R112" i="6"/>
  <c r="Q112" i="6"/>
  <c r="R128" i="6"/>
  <c r="Q128" i="6"/>
  <c r="R144" i="6"/>
  <c r="Q144" i="6"/>
  <c r="R160" i="6"/>
  <c r="Q160" i="6"/>
  <c r="R176" i="6"/>
  <c r="Q176" i="6"/>
  <c r="R192" i="6"/>
  <c r="Q192" i="6"/>
  <c r="R208" i="6"/>
  <c r="Q208" i="6"/>
  <c r="R224" i="6"/>
  <c r="Q224" i="6"/>
  <c r="R240" i="6"/>
  <c r="Q240" i="6"/>
  <c r="R256" i="6"/>
  <c r="Q256" i="6"/>
  <c r="R272" i="6"/>
  <c r="Q272" i="6"/>
  <c r="R288" i="6"/>
  <c r="Q288" i="6"/>
  <c r="R304" i="6"/>
  <c r="Q304" i="6"/>
  <c r="R320" i="6"/>
  <c r="Q320" i="6"/>
  <c r="R336" i="6"/>
  <c r="Q336" i="6"/>
  <c r="R352" i="6"/>
  <c r="Q352" i="6"/>
  <c r="R368" i="6"/>
  <c r="Q368" i="6"/>
  <c r="R384" i="6"/>
  <c r="R400" i="6"/>
  <c r="Q400" i="6"/>
  <c r="Q416" i="6"/>
  <c r="R432" i="6"/>
  <c r="Q432" i="6"/>
  <c r="R464" i="6"/>
  <c r="R496" i="6"/>
  <c r="Q496" i="6"/>
  <c r="Q512" i="6"/>
  <c r="R528" i="6"/>
  <c r="R560" i="6"/>
  <c r="R592" i="6"/>
  <c r="Q592" i="6"/>
  <c r="R624" i="6"/>
  <c r="Q640" i="6"/>
  <c r="R656" i="6"/>
  <c r="Q672" i="6"/>
  <c r="R688" i="6"/>
  <c r="Q688" i="6"/>
  <c r="R720" i="6"/>
  <c r="R752" i="6"/>
  <c r="R784" i="6"/>
  <c r="Q784" i="6"/>
  <c r="Q800" i="6"/>
  <c r="R816" i="6"/>
  <c r="R832" i="6"/>
  <c r="Q832" i="6"/>
  <c r="R848" i="6"/>
  <c r="R880" i="6"/>
  <c r="Q880" i="6"/>
  <c r="Q896" i="6"/>
  <c r="R912" i="6"/>
  <c r="Q912" i="6"/>
  <c r="Q928" i="6"/>
  <c r="R944" i="6"/>
  <c r="Q944" i="6"/>
  <c r="Q960" i="6"/>
  <c r="R976" i="6"/>
  <c r="R3" i="6"/>
  <c r="R35" i="6"/>
  <c r="R51" i="6"/>
  <c r="R67" i="6"/>
  <c r="R99" i="6"/>
  <c r="R115" i="6"/>
  <c r="R131" i="6"/>
  <c r="R163" i="6"/>
  <c r="R195" i="6"/>
  <c r="R227" i="6"/>
  <c r="R259" i="6"/>
  <c r="R291" i="6"/>
  <c r="R307" i="6"/>
  <c r="R323" i="6"/>
  <c r="R355" i="6"/>
  <c r="R371" i="6"/>
  <c r="R387" i="6"/>
  <c r="R419" i="6"/>
  <c r="R451" i="6"/>
  <c r="R483" i="6"/>
  <c r="R515" i="6"/>
  <c r="R547" i="6"/>
  <c r="R563" i="6"/>
  <c r="R579" i="6"/>
  <c r="R611" i="6"/>
  <c r="R627" i="6"/>
  <c r="R643" i="6"/>
  <c r="R675" i="6"/>
  <c r="R707" i="6"/>
  <c r="R739" i="6"/>
  <c r="R771" i="6"/>
  <c r="R803" i="6"/>
  <c r="Q803" i="6"/>
  <c r="Q819" i="6"/>
  <c r="R835" i="6"/>
  <c r="Q835" i="6"/>
  <c r="Q851" i="6"/>
  <c r="R867" i="6"/>
  <c r="Q867" i="6"/>
  <c r="R883" i="6"/>
  <c r="Q883" i="6"/>
  <c r="Q899" i="6"/>
  <c r="R915" i="6"/>
  <c r="Q915" i="6"/>
  <c r="Q931" i="6"/>
  <c r="R947" i="6"/>
  <c r="Q947" i="6"/>
  <c r="Q963" i="6"/>
  <c r="R979" i="6"/>
  <c r="Q979" i="6"/>
  <c r="Q995" i="6"/>
  <c r="R13" i="6"/>
  <c r="Q13" i="6"/>
  <c r="Q29" i="6"/>
  <c r="R45" i="6"/>
  <c r="Q45" i="6"/>
  <c r="Q61" i="6"/>
  <c r="R77" i="6"/>
  <c r="Q77" i="6"/>
  <c r="Q93" i="6"/>
  <c r="R109" i="6"/>
  <c r="Q109" i="6"/>
  <c r="Q125" i="6"/>
  <c r="R141" i="6"/>
  <c r="Q141" i="6"/>
  <c r="Q157" i="6"/>
  <c r="R173" i="6"/>
  <c r="Q173" i="6"/>
  <c r="Q189" i="6"/>
  <c r="R221" i="6"/>
  <c r="R237" i="6"/>
  <c r="R253" i="6"/>
  <c r="Q253" i="6"/>
  <c r="R285" i="6"/>
  <c r="Q285" i="6"/>
  <c r="Q317" i="6"/>
  <c r="R333" i="6"/>
  <c r="R365" i="6"/>
  <c r="R381" i="6"/>
  <c r="Q381" i="6"/>
  <c r="R397" i="6"/>
  <c r="R429" i="6"/>
  <c r="R445" i="6"/>
  <c r="Q445" i="6"/>
  <c r="R461" i="6"/>
  <c r="Q461" i="6"/>
  <c r="R477" i="6"/>
  <c r="Q477" i="6"/>
  <c r="R493" i="6"/>
  <c r="Q493" i="6"/>
  <c r="R509" i="6"/>
  <c r="Q509" i="6"/>
  <c r="R525" i="6"/>
  <c r="Q525" i="6"/>
  <c r="R541" i="6"/>
  <c r="Q541" i="6"/>
  <c r="R557" i="6"/>
  <c r="Q557" i="6"/>
  <c r="R573" i="6"/>
  <c r="Q573" i="6"/>
  <c r="R589" i="6"/>
  <c r="R605" i="6"/>
  <c r="Q605" i="6"/>
  <c r="R621" i="6"/>
  <c r="Q621" i="6"/>
  <c r="R637" i="6"/>
  <c r="Q637" i="6"/>
  <c r="R653" i="6"/>
  <c r="Q669" i="6"/>
  <c r="R685" i="6"/>
  <c r="Q701" i="6"/>
  <c r="R717" i="6"/>
  <c r="Q717" i="6"/>
  <c r="Q733" i="6"/>
  <c r="R749" i="6"/>
  <c r="Q765" i="6"/>
  <c r="R781" i="6"/>
  <c r="R797" i="6"/>
  <c r="R813" i="6"/>
  <c r="Q813" i="6"/>
  <c r="R845" i="6"/>
  <c r="Q845" i="6"/>
  <c r="Q861" i="6"/>
  <c r="R877" i="6"/>
  <c r="Q877" i="6"/>
  <c r="Q893" i="6"/>
  <c r="R909" i="6"/>
  <c r="Q909" i="6"/>
  <c r="Q925" i="6"/>
  <c r="R941" i="6"/>
  <c r="Q941" i="6"/>
  <c r="Q957" i="6"/>
  <c r="R973" i="6"/>
  <c r="Q973" i="6"/>
  <c r="Q6" i="6"/>
  <c r="Q14" i="6"/>
  <c r="Q22" i="6"/>
  <c r="Q30" i="6"/>
  <c r="Q38" i="6"/>
  <c r="Q46" i="6"/>
  <c r="Q54" i="6"/>
  <c r="Q62" i="6"/>
  <c r="Q70" i="6"/>
  <c r="Q78" i="6"/>
  <c r="Q86" i="6"/>
  <c r="Q94" i="6"/>
  <c r="Q102" i="6"/>
  <c r="Q110" i="6"/>
  <c r="Q118" i="6"/>
  <c r="Q126" i="6"/>
  <c r="Q134" i="6"/>
  <c r="Q142" i="6"/>
  <c r="Q150" i="6"/>
  <c r="Q158" i="6"/>
  <c r="Q166" i="6"/>
  <c r="Q174" i="6"/>
  <c r="Q182" i="6"/>
  <c r="Q190" i="6"/>
  <c r="Q198" i="6"/>
  <c r="Q206" i="6"/>
  <c r="Q214" i="6"/>
  <c r="Q222" i="6"/>
  <c r="Q230" i="6"/>
  <c r="Q238" i="6"/>
  <c r="Q246" i="6"/>
  <c r="Q254" i="6"/>
  <c r="Q262" i="6"/>
  <c r="Q278" i="6"/>
  <c r="Q310" i="6"/>
  <c r="Q342" i="6"/>
  <c r="Q374" i="6"/>
  <c r="Q406" i="6"/>
  <c r="Q848" i="6"/>
  <c r="Q976" i="6"/>
  <c r="Q221" i="6"/>
  <c r="Q349" i="6"/>
  <c r="Q301" i="6"/>
  <c r="Q829" i="6"/>
  <c r="Q749" i="6"/>
  <c r="R426" i="6"/>
  <c r="R442" i="6"/>
  <c r="R458" i="6"/>
  <c r="R490" i="6"/>
  <c r="R522" i="6"/>
  <c r="R554" i="6"/>
  <c r="R586" i="6"/>
  <c r="R618" i="6"/>
  <c r="R634" i="6"/>
  <c r="R650" i="6"/>
  <c r="R682" i="6"/>
  <c r="R698" i="6"/>
  <c r="R714" i="6"/>
  <c r="R746" i="6"/>
  <c r="R778" i="6"/>
  <c r="R810" i="6"/>
  <c r="R842" i="6"/>
  <c r="R874" i="6"/>
  <c r="R890" i="6"/>
  <c r="R906" i="6"/>
  <c r="R938" i="6"/>
  <c r="R954" i="6"/>
  <c r="R970" i="6"/>
  <c r="R4" i="6"/>
  <c r="Q4" i="6"/>
  <c r="Q36" i="6"/>
  <c r="R52" i="6"/>
  <c r="R68" i="6"/>
  <c r="Q68" i="6"/>
  <c r="R100" i="6"/>
  <c r="Q100" i="6"/>
  <c r="R116" i="6"/>
  <c r="R132" i="6"/>
  <c r="Q132" i="6"/>
  <c r="Q164" i="6"/>
  <c r="R196" i="6"/>
  <c r="Q196" i="6"/>
  <c r="R228" i="6"/>
  <c r="Q228" i="6"/>
  <c r="R244" i="6"/>
  <c r="R260" i="6"/>
  <c r="Q260" i="6"/>
  <c r="Q292" i="6"/>
  <c r="R324" i="6"/>
  <c r="Q324" i="6"/>
  <c r="R356" i="6"/>
  <c r="Q372" i="6"/>
  <c r="R388" i="6"/>
  <c r="Q388" i="6"/>
  <c r="Q404" i="6"/>
  <c r="R420" i="6"/>
  <c r="Q420" i="6"/>
  <c r="R468" i="6"/>
  <c r="R484" i="6"/>
  <c r="Q484" i="6"/>
  <c r="Q500" i="6"/>
  <c r="R516" i="6"/>
  <c r="Q516" i="6"/>
  <c r="R564" i="6"/>
  <c r="R580" i="6"/>
  <c r="R628" i="6"/>
  <c r="Q628" i="6"/>
  <c r="R660" i="6"/>
  <c r="Q660" i="6"/>
  <c r="Q676" i="6"/>
  <c r="R692" i="6"/>
  <c r="R708" i="6"/>
  <c r="Q708" i="6"/>
  <c r="Q724" i="6"/>
  <c r="R740" i="6"/>
  <c r="Q740" i="6"/>
  <c r="Q756" i="6"/>
  <c r="R772" i="6"/>
  <c r="Q772" i="6"/>
  <c r="R804" i="6"/>
  <c r="Q820" i="6"/>
  <c r="R852" i="6"/>
  <c r="Q852" i="6"/>
  <c r="Q868" i="6"/>
  <c r="R948" i="6"/>
  <c r="R980" i="6"/>
  <c r="Q980" i="6"/>
  <c r="R996" i="6"/>
  <c r="Q996" i="6"/>
  <c r="R7" i="6"/>
  <c r="R23" i="6"/>
  <c r="R39" i="6"/>
  <c r="R55" i="6"/>
  <c r="R103" i="6"/>
  <c r="R119" i="6"/>
  <c r="R135" i="6"/>
  <c r="R151" i="6"/>
  <c r="R183" i="6"/>
  <c r="R231" i="6"/>
  <c r="Q231" i="6"/>
  <c r="R263" i="6"/>
  <c r="R279" i="6"/>
  <c r="R295" i="6"/>
  <c r="R311" i="6"/>
  <c r="R359" i="6"/>
  <c r="R391" i="6"/>
  <c r="R407" i="6"/>
  <c r="R439" i="6"/>
  <c r="R487" i="6"/>
  <c r="R519" i="6"/>
  <c r="R567" i="6"/>
  <c r="R615" i="6"/>
  <c r="R679" i="6"/>
  <c r="R711" i="6"/>
  <c r="R727" i="6"/>
  <c r="R743" i="6"/>
  <c r="R775" i="6"/>
  <c r="R791" i="6"/>
  <c r="R807" i="6"/>
  <c r="Q807" i="6"/>
  <c r="Q823" i="6"/>
  <c r="R839" i="6"/>
  <c r="Q839" i="6"/>
  <c r="Q855" i="6"/>
  <c r="R871" i="6"/>
  <c r="Q871" i="6"/>
  <c r="R887" i="6"/>
  <c r="Q887" i="6"/>
  <c r="Q903" i="6"/>
  <c r="Q919" i="6"/>
  <c r="R935" i="6"/>
  <c r="Q935" i="6"/>
  <c r="Q951" i="6"/>
  <c r="R967" i="6"/>
  <c r="Q967" i="6"/>
  <c r="Q983" i="6"/>
  <c r="R999" i="6"/>
  <c r="Q999" i="6"/>
  <c r="Q17" i="6"/>
  <c r="R33" i="6"/>
  <c r="Q33" i="6"/>
  <c r="R49" i="6"/>
  <c r="Q49" i="6"/>
  <c r="Q65" i="6"/>
  <c r="R81" i="6"/>
  <c r="Q81" i="6"/>
  <c r="R97" i="6"/>
  <c r="Q97" i="6"/>
  <c r="Q113" i="6"/>
  <c r="R129" i="6"/>
  <c r="Q145" i="6"/>
  <c r="R161" i="6"/>
  <c r="R177" i="6"/>
  <c r="Q177" i="6"/>
  <c r="R193" i="6"/>
  <c r="R209" i="6"/>
  <c r="R225" i="6"/>
  <c r="Q225" i="6"/>
  <c r="R241" i="6"/>
  <c r="R273" i="6"/>
  <c r="R305" i="6"/>
  <c r="Q353" i="6"/>
  <c r="R385" i="6"/>
  <c r="Q385" i="6"/>
  <c r="R401" i="6"/>
  <c r="Q417" i="6"/>
  <c r="Q433" i="6"/>
  <c r="R449" i="6"/>
  <c r="R481" i="6"/>
  <c r="R513" i="6"/>
  <c r="R577" i="6"/>
  <c r="R593" i="6"/>
  <c r="Q593" i="6"/>
  <c r="R609" i="6"/>
  <c r="Q657" i="6"/>
  <c r="R673" i="6"/>
  <c r="Q689" i="6"/>
  <c r="R705" i="6"/>
  <c r="Q721" i="6"/>
  <c r="R737" i="6"/>
  <c r="Q753" i="6"/>
  <c r="R769" i="6"/>
  <c r="R785" i="6"/>
  <c r="Q785" i="6"/>
  <c r="R801" i="6"/>
  <c r="Q801" i="6"/>
  <c r="R817" i="6"/>
  <c r="Q817" i="6"/>
  <c r="R833" i="6"/>
  <c r="Q833" i="6"/>
  <c r="R849" i="6"/>
  <c r="Q849" i="6"/>
  <c r="Q865" i="6"/>
  <c r="Q881" i="6"/>
  <c r="R897" i="6"/>
  <c r="Q897" i="6"/>
  <c r="Q913" i="6"/>
  <c r="R929" i="6"/>
  <c r="Q929" i="6"/>
  <c r="Q945" i="6"/>
  <c r="R961" i="6"/>
  <c r="Q961" i="6"/>
  <c r="R977" i="6"/>
  <c r="Q993" i="6"/>
  <c r="Q282" i="6"/>
  <c r="Q314" i="6"/>
  <c r="Q346" i="6"/>
  <c r="Q378" i="6"/>
  <c r="Q410" i="6"/>
  <c r="Q448" i="6"/>
  <c r="Q480" i="6"/>
  <c r="Q544" i="6"/>
  <c r="Q576" i="6"/>
  <c r="Q608" i="6"/>
  <c r="Q704" i="6"/>
  <c r="Q736" i="6"/>
  <c r="Q768" i="6"/>
  <c r="Q193" i="6"/>
  <c r="Q413" i="6"/>
  <c r="Q449" i="6"/>
  <c r="Q481" i="6"/>
  <c r="Q513" i="6"/>
  <c r="Q545" i="6"/>
  <c r="Q548" i="6"/>
  <c r="Q612" i="6"/>
  <c r="Q129" i="6"/>
  <c r="Q209" i="6"/>
  <c r="Q337" i="6"/>
  <c r="Q609" i="6"/>
  <c r="Q737" i="6"/>
  <c r="Q977" i="6"/>
  <c r="Q653" i="6"/>
  <c r="Q781" i="6"/>
  <c r="R286" i="6"/>
  <c r="R302" i="6"/>
  <c r="R334" i="6"/>
  <c r="R350" i="6"/>
  <c r="R414" i="6"/>
  <c r="R430" i="6"/>
  <c r="Q446" i="6"/>
  <c r="R478" i="6"/>
  <c r="R510" i="6"/>
  <c r="Q510" i="6"/>
  <c r="R526" i="6"/>
  <c r="R558" i="6"/>
  <c r="Q574" i="6"/>
  <c r="R606" i="6"/>
  <c r="R638" i="6"/>
  <c r="R670" i="6"/>
  <c r="R734" i="6"/>
  <c r="R766" i="6"/>
  <c r="R782" i="6"/>
  <c r="Q782" i="6"/>
  <c r="R814" i="6"/>
  <c r="R830" i="6"/>
  <c r="Q830" i="6"/>
  <c r="R894" i="6"/>
  <c r="R926" i="6"/>
  <c r="R958" i="6"/>
  <c r="Q958" i="6"/>
  <c r="R974" i="6"/>
  <c r="R8" i="6"/>
  <c r="Q8" i="6"/>
  <c r="R24" i="6"/>
  <c r="Q24" i="6"/>
  <c r="R40" i="6"/>
  <c r="Q40" i="6"/>
  <c r="R56" i="6"/>
  <c r="Q56" i="6"/>
  <c r="R72" i="6"/>
  <c r="Q72" i="6"/>
  <c r="R88" i="6"/>
  <c r="Q88" i="6"/>
  <c r="R104" i="6"/>
  <c r="Q104" i="6"/>
  <c r="R120" i="6"/>
  <c r="Q120" i="6"/>
  <c r="R136" i="6"/>
  <c r="Q136" i="6"/>
  <c r="R152" i="6"/>
  <c r="Q152" i="6"/>
  <c r="R168" i="6"/>
  <c r="Q168" i="6"/>
  <c r="R184" i="6"/>
  <c r="Q184" i="6"/>
  <c r="R200" i="6"/>
  <c r="Q200" i="6"/>
  <c r="R216" i="6"/>
  <c r="Q216" i="6"/>
  <c r="R232" i="6"/>
  <c r="Q232" i="6"/>
  <c r="R248" i="6"/>
  <c r="Q248" i="6"/>
  <c r="R264" i="6"/>
  <c r="Q264" i="6"/>
  <c r="R280" i="6"/>
  <c r="Q280" i="6"/>
  <c r="R296" i="6"/>
  <c r="Q296" i="6"/>
  <c r="R312" i="6"/>
  <c r="Q312" i="6"/>
  <c r="R328" i="6"/>
  <c r="Q328" i="6"/>
  <c r="R344" i="6"/>
  <c r="Q344" i="6"/>
  <c r="R360" i="6"/>
  <c r="Q360" i="6"/>
  <c r="R392" i="6"/>
  <c r="Q392" i="6"/>
  <c r="R424" i="6"/>
  <c r="Q440" i="6"/>
  <c r="R456" i="6"/>
  <c r="Q456" i="6"/>
  <c r="Q472" i="6"/>
  <c r="R504" i="6"/>
  <c r="R520" i="6"/>
  <c r="R536" i="6"/>
  <c r="Q536" i="6"/>
  <c r="Q552" i="6"/>
  <c r="R568" i="6"/>
  <c r="Q568" i="6"/>
  <c r="Q584" i="6"/>
  <c r="R600" i="6"/>
  <c r="Q600" i="6"/>
  <c r="Q616" i="6"/>
  <c r="R632" i="6"/>
  <c r="Q648" i="6"/>
  <c r="R664" i="6"/>
  <c r="R696" i="6"/>
  <c r="Q696" i="6"/>
  <c r="R712" i="6"/>
  <c r="R728" i="6"/>
  <c r="R744" i="6"/>
  <c r="R776" i="6"/>
  <c r="R792" i="6"/>
  <c r="Q792" i="6"/>
  <c r="Q808" i="6"/>
  <c r="R824" i="6"/>
  <c r="R840" i="6"/>
  <c r="Q840" i="6"/>
  <c r="Q856" i="6"/>
  <c r="R872" i="6"/>
  <c r="Q888" i="6"/>
  <c r="R904" i="6"/>
  <c r="Q904" i="6"/>
  <c r="R936" i="6"/>
  <c r="Q936" i="6"/>
  <c r="R952" i="6"/>
  <c r="Q952" i="6"/>
  <c r="R968" i="6"/>
  <c r="Q968" i="6"/>
  <c r="R984" i="6"/>
  <c r="Q984" i="6"/>
  <c r="R1000" i="6"/>
  <c r="Q1000" i="6"/>
  <c r="R107" i="6"/>
  <c r="R235" i="6"/>
  <c r="R363" i="6"/>
  <c r="R491" i="6"/>
  <c r="R619" i="6"/>
  <c r="R747" i="6"/>
  <c r="R811" i="6"/>
  <c r="R827" i="6"/>
  <c r="R875" i="6"/>
  <c r="Q891" i="6"/>
  <c r="R907" i="6"/>
  <c r="Q907" i="6"/>
  <c r="Q923" i="6"/>
  <c r="R939" i="6"/>
  <c r="Q939" i="6"/>
  <c r="Q955" i="6"/>
  <c r="R971" i="6"/>
  <c r="Q971" i="6"/>
  <c r="Q987" i="6"/>
  <c r="R5" i="6"/>
  <c r="Q5" i="6"/>
  <c r="Q21" i="6"/>
  <c r="R37" i="6"/>
  <c r="Q37" i="6"/>
  <c r="Q53" i="6"/>
  <c r="R69" i="6"/>
  <c r="Q69" i="6"/>
  <c r="Q85" i="6"/>
  <c r="R101" i="6"/>
  <c r="Q101" i="6"/>
  <c r="Q117" i="6"/>
  <c r="R133" i="6"/>
  <c r="Q133" i="6"/>
  <c r="Q149" i="6"/>
  <c r="R165" i="6"/>
  <c r="R181" i="6"/>
  <c r="Q197" i="6"/>
  <c r="R213" i="6"/>
  <c r="R245" i="6"/>
  <c r="R261" i="6"/>
  <c r="Q261" i="6"/>
  <c r="R277" i="6"/>
  <c r="Q277" i="6"/>
  <c r="R309" i="6"/>
  <c r="Q309" i="6"/>
  <c r="R357" i="6"/>
  <c r="R373" i="6"/>
  <c r="R389" i="6"/>
  <c r="R421" i="6"/>
  <c r="R437" i="6"/>
  <c r="Q453" i="6"/>
  <c r="R485" i="6"/>
  <c r="Q485" i="6"/>
  <c r="R501" i="6"/>
  <c r="R533" i="6"/>
  <c r="R549" i="6"/>
  <c r="Q549" i="6"/>
  <c r="R565" i="6"/>
  <c r="Q565" i="6"/>
  <c r="R581" i="6"/>
  <c r="Q581" i="6"/>
  <c r="R597" i="6"/>
  <c r="Q597" i="6"/>
  <c r="R613" i="6"/>
  <c r="Q613" i="6"/>
  <c r="R629" i="6"/>
  <c r="Q629" i="6"/>
  <c r="R645" i="6"/>
  <c r="Q645" i="6"/>
  <c r="R661" i="6"/>
  <c r="Q661" i="6"/>
  <c r="R677" i="6"/>
  <c r="Q677" i="6"/>
  <c r="R693" i="6"/>
  <c r="Q693" i="6"/>
  <c r="R709" i="6"/>
  <c r="Q709" i="6"/>
  <c r="R725" i="6"/>
  <c r="Q725" i="6"/>
  <c r="R741" i="6"/>
  <c r="Q741" i="6"/>
  <c r="R757" i="6"/>
  <c r="Q757" i="6"/>
  <c r="R773" i="6"/>
  <c r="Q773" i="6"/>
  <c r="R789" i="6"/>
  <c r="Q789" i="6"/>
  <c r="R805" i="6"/>
  <c r="Q805" i="6"/>
  <c r="R821" i="6"/>
  <c r="Q821" i="6"/>
  <c r="R837" i="6"/>
  <c r="Q837" i="6"/>
  <c r="R853" i="6"/>
  <c r="Q869" i="6"/>
  <c r="R885" i="6"/>
  <c r="Q901" i="6"/>
  <c r="R917" i="6"/>
  <c r="Q933" i="6"/>
  <c r="R949" i="6"/>
  <c r="Q965" i="6"/>
  <c r="R981" i="6"/>
  <c r="Q981" i="6"/>
  <c r="Q997" i="6"/>
  <c r="Q294" i="6"/>
  <c r="Q326" i="6"/>
  <c r="Q358" i="6"/>
  <c r="Q390" i="6"/>
  <c r="Q422" i="6"/>
  <c r="Q438" i="6"/>
  <c r="Q454" i="6"/>
  <c r="Q470" i="6"/>
  <c r="Q486" i="6"/>
  <c r="Q502" i="6"/>
  <c r="Q518" i="6"/>
  <c r="Q534" i="6"/>
  <c r="Q550" i="6"/>
  <c r="Q566" i="6"/>
  <c r="Q582" i="6"/>
  <c r="Q598" i="6"/>
  <c r="Q614" i="6"/>
  <c r="Q630" i="6"/>
  <c r="Q646" i="6"/>
  <c r="Q662" i="6"/>
  <c r="Q678" i="6"/>
  <c r="Q694" i="6"/>
  <c r="Q726" i="6"/>
  <c r="Q742" i="6"/>
  <c r="Q758" i="6"/>
  <c r="Q774" i="6"/>
  <c r="Q790" i="6"/>
  <c r="Q838" i="6"/>
  <c r="Q854" i="6"/>
  <c r="Q886" i="6"/>
  <c r="Q902" i="6"/>
  <c r="Q918" i="6"/>
  <c r="Q934" i="6"/>
  <c r="Q950" i="6"/>
  <c r="Q966" i="6"/>
  <c r="Q982" i="6"/>
  <c r="Q384" i="6"/>
  <c r="Q712" i="6"/>
  <c r="Q744" i="6"/>
  <c r="Q776" i="6"/>
  <c r="Q864" i="6"/>
  <c r="Q992" i="6"/>
  <c r="Q205" i="6"/>
  <c r="Q237" i="6"/>
  <c r="Q333" i="6"/>
  <c r="Q365" i="6"/>
  <c r="Q397" i="6"/>
  <c r="Q421" i="6"/>
  <c r="Q517" i="6"/>
  <c r="Q3" i="6"/>
  <c r="Q19" i="6"/>
  <c r="Q35" i="6"/>
  <c r="Q51" i="6"/>
  <c r="Q67" i="6"/>
  <c r="Q83" i="6"/>
  <c r="Q99" i="6"/>
  <c r="Q115" i="6"/>
  <c r="Q131" i="6"/>
  <c r="Q147" i="6"/>
  <c r="Q163" i="6"/>
  <c r="Q179" i="6"/>
  <c r="Q195" i="6"/>
  <c r="Q211" i="6"/>
  <c r="Q227" i="6"/>
  <c r="Q243" i="6"/>
  <c r="Q259" i="6"/>
  <c r="Q275" i="6"/>
  <c r="Q291" i="6"/>
  <c r="Q307" i="6"/>
  <c r="Q323" i="6"/>
  <c r="Q339" i="6"/>
  <c r="Q355" i="6"/>
  <c r="Q371" i="6"/>
  <c r="Q387" i="6"/>
  <c r="Q403" i="6"/>
  <c r="Q419" i="6"/>
  <c r="Q435" i="6"/>
  <c r="Q451" i="6"/>
  <c r="Q467" i="6"/>
  <c r="Q483" i="6"/>
  <c r="Q499" i="6"/>
  <c r="Q515" i="6"/>
  <c r="Q531" i="6"/>
  <c r="Q547" i="6"/>
  <c r="Q563" i="6"/>
  <c r="Q579" i="6"/>
  <c r="Q595" i="6"/>
  <c r="Q611" i="6"/>
  <c r="Q627" i="6"/>
  <c r="Q643" i="6"/>
  <c r="Q659" i="6"/>
  <c r="Q675" i="6"/>
  <c r="Q691" i="6"/>
  <c r="Q707" i="6"/>
  <c r="Q723" i="6"/>
  <c r="Q739" i="6"/>
  <c r="Q755" i="6"/>
  <c r="Q771" i="6"/>
  <c r="Q787" i="6"/>
  <c r="Q827" i="6"/>
  <c r="Q504" i="6"/>
  <c r="Q632" i="6"/>
  <c r="Q373" i="6"/>
  <c r="Q501" i="6"/>
  <c r="Q885" i="6"/>
  <c r="Q685" i="6"/>
  <c r="R546" i="6"/>
  <c r="R674" i="6"/>
  <c r="R802" i="6"/>
  <c r="Q802" i="6"/>
  <c r="Q834" i="6"/>
  <c r="R898" i="6"/>
  <c r="Q898" i="6"/>
  <c r="Q930" i="6"/>
  <c r="R994" i="6"/>
  <c r="Q994" i="6"/>
  <c r="R60" i="6"/>
  <c r="R92" i="6"/>
  <c r="R124" i="6"/>
  <c r="R188" i="6"/>
  <c r="R252" i="6"/>
  <c r="R316" i="6"/>
  <c r="R364" i="6"/>
  <c r="Q364" i="6"/>
  <c r="Q396" i="6"/>
  <c r="R412" i="6"/>
  <c r="Q412" i="6"/>
  <c r="Q428" i="6"/>
  <c r="R444" i="6"/>
  <c r="Q444" i="6"/>
  <c r="Q460" i="6"/>
  <c r="R476" i="6"/>
  <c r="Q476" i="6"/>
  <c r="Q492" i="6"/>
  <c r="R508" i="6"/>
  <c r="Q508" i="6"/>
  <c r="Q524" i="6"/>
  <c r="R540" i="6"/>
  <c r="Q540" i="6"/>
  <c r="Q556" i="6"/>
  <c r="R572" i="6"/>
  <c r="Q572" i="6"/>
  <c r="Q588" i="6"/>
  <c r="R604" i="6"/>
  <c r="Q604" i="6"/>
  <c r="Q620" i="6"/>
  <c r="R636" i="6"/>
  <c r="Q636" i="6"/>
  <c r="Q652" i="6"/>
  <c r="R668" i="6"/>
  <c r="Q668" i="6"/>
  <c r="Q684" i="6"/>
  <c r="R700" i="6"/>
  <c r="Q700" i="6"/>
  <c r="Q716" i="6"/>
  <c r="R732" i="6"/>
  <c r="Q732" i="6"/>
  <c r="Q748" i="6"/>
  <c r="R764" i="6"/>
  <c r="Q764" i="6"/>
  <c r="R812" i="6"/>
  <c r="Q812" i="6"/>
  <c r="Q844" i="6"/>
  <c r="R860" i="6"/>
  <c r="Q860" i="6"/>
  <c r="Q876" i="6"/>
  <c r="R908" i="6"/>
  <c r="Q908" i="6"/>
  <c r="R972" i="6"/>
  <c r="R988" i="6"/>
  <c r="Q988" i="6"/>
  <c r="R15" i="6"/>
  <c r="R31" i="6"/>
  <c r="R47" i="6"/>
  <c r="R95" i="6"/>
  <c r="R111" i="6"/>
  <c r="R175" i="6"/>
  <c r="R191" i="6"/>
  <c r="R271" i="6"/>
  <c r="R287" i="6"/>
  <c r="Q287" i="6"/>
  <c r="R351" i="6"/>
  <c r="R383" i="6"/>
  <c r="R447" i="6"/>
  <c r="R479" i="6"/>
  <c r="R527" i="6"/>
  <c r="R543" i="6"/>
  <c r="R575" i="6"/>
  <c r="R607" i="6"/>
  <c r="R687" i="6"/>
  <c r="R703" i="6"/>
  <c r="R783" i="6"/>
  <c r="R799" i="6"/>
  <c r="Q799" i="6"/>
  <c r="Q815" i="6"/>
  <c r="R831" i="6"/>
  <c r="Q831" i="6"/>
  <c r="R847" i="6"/>
  <c r="Q847" i="6"/>
  <c r="Q863" i="6"/>
  <c r="R879" i="6"/>
  <c r="Q879" i="6"/>
  <c r="Q895" i="6"/>
  <c r="R911" i="6"/>
  <c r="Q911" i="6"/>
  <c r="R927" i="6"/>
  <c r="Q927" i="6"/>
  <c r="R943" i="6"/>
  <c r="Q943" i="6"/>
  <c r="Q959" i="6"/>
  <c r="R975" i="6"/>
  <c r="Q975" i="6"/>
  <c r="R991" i="6"/>
  <c r="Q991" i="6"/>
  <c r="R9" i="6"/>
  <c r="Q25" i="6"/>
  <c r="R57" i="6"/>
  <c r="Q57" i="6"/>
  <c r="R73" i="6"/>
  <c r="Q89" i="6"/>
  <c r="Q105" i="6"/>
  <c r="R121" i="6"/>
  <c r="Q121" i="6"/>
  <c r="Q137" i="6"/>
  <c r="Q153" i="6"/>
  <c r="Q169" i="6"/>
  <c r="Q201" i="6"/>
  <c r="R217" i="6"/>
  <c r="Q217" i="6"/>
  <c r="Q233" i="6"/>
  <c r="Q249" i="6"/>
  <c r="R281" i="6"/>
  <c r="R297" i="6"/>
  <c r="Q297" i="6"/>
  <c r="Q329" i="6"/>
  <c r="Q345" i="6"/>
  <c r="Q361" i="6"/>
  <c r="Q393" i="6"/>
  <c r="R409" i="6"/>
  <c r="Q425" i="6"/>
  <c r="R489" i="6"/>
  <c r="Q489" i="6"/>
  <c r="R505" i="6"/>
  <c r="Q521" i="6"/>
  <c r="R537" i="6"/>
  <c r="R553" i="6"/>
  <c r="Q553" i="6"/>
  <c r="R569" i="6"/>
  <c r="Q569" i="6"/>
  <c r="R585" i="6"/>
  <c r="Q585" i="6"/>
  <c r="Q601" i="6"/>
  <c r="R617" i="6"/>
  <c r="Q617" i="6"/>
  <c r="Q633" i="6"/>
  <c r="R649" i="6"/>
  <c r="Q649" i="6"/>
  <c r="Q665" i="6"/>
  <c r="Q681" i="6"/>
  <c r="Q697" i="6"/>
  <c r="R713" i="6"/>
  <c r="Q713" i="6"/>
  <c r="Q729" i="6"/>
  <c r="R745" i="6"/>
  <c r="Q745" i="6"/>
  <c r="Q761" i="6"/>
  <c r="R777" i="6"/>
  <c r="Q777" i="6"/>
  <c r="Q793" i="6"/>
  <c r="Q809" i="6"/>
  <c r="Q825" i="6"/>
  <c r="R841" i="6"/>
  <c r="Q841" i="6"/>
  <c r="Q873" i="6"/>
  <c r="R905" i="6"/>
  <c r="Q905" i="6"/>
  <c r="R921" i="6"/>
  <c r="Q921" i="6"/>
  <c r="Q937" i="6"/>
  <c r="R953" i="6"/>
  <c r="Q953" i="6"/>
  <c r="Q969" i="6"/>
  <c r="R985" i="6"/>
  <c r="Q985" i="6"/>
  <c r="Q1001" i="6"/>
  <c r="Q286" i="6"/>
  <c r="Q298" i="6"/>
  <c r="Q318" i="6"/>
  <c r="Q330" i="6"/>
  <c r="Q350" i="6"/>
  <c r="Q362" i="6"/>
  <c r="Q382" i="6"/>
  <c r="Q394" i="6"/>
  <c r="Q414" i="6"/>
  <c r="Q426" i="6"/>
  <c r="Q442" i="6"/>
  <c r="Q458" i="6"/>
  <c r="Q474" i="6"/>
  <c r="Q490" i="6"/>
  <c r="Q506" i="6"/>
  <c r="Q522" i="6"/>
  <c r="Q538" i="6"/>
  <c r="Q554" i="6"/>
  <c r="Q570" i="6"/>
  <c r="Q586" i="6"/>
  <c r="Q602" i="6"/>
  <c r="Q618" i="6"/>
  <c r="Q634" i="6"/>
  <c r="Q650" i="6"/>
  <c r="Q666" i="6"/>
  <c r="Q682" i="6"/>
  <c r="Q698" i="6"/>
  <c r="Q714" i="6"/>
  <c r="Q730" i="6"/>
  <c r="Q746" i="6"/>
  <c r="Q762" i="6"/>
  <c r="Q778" i="6"/>
  <c r="Q794" i="6"/>
  <c r="Q810" i="6"/>
  <c r="Q826" i="6"/>
  <c r="Q842" i="6"/>
  <c r="Q858" i="6"/>
  <c r="Q874" i="6"/>
  <c r="Q890" i="6"/>
  <c r="Q906" i="6"/>
  <c r="Q922" i="6"/>
  <c r="Q938" i="6"/>
  <c r="Q954" i="6"/>
  <c r="Q970" i="6"/>
  <c r="Q986" i="6"/>
  <c r="Q2" i="6"/>
  <c r="Q464" i="6"/>
  <c r="Q528" i="6"/>
  <c r="Q560" i="6"/>
  <c r="Q624" i="6"/>
  <c r="Q656" i="6"/>
  <c r="Q720" i="6"/>
  <c r="Q752" i="6"/>
  <c r="Q780" i="6"/>
  <c r="Q816" i="6"/>
  <c r="Q872" i="6"/>
  <c r="Q940" i="6"/>
  <c r="Q972" i="6"/>
  <c r="Q161" i="6"/>
  <c r="Q213" i="6"/>
  <c r="Q245" i="6"/>
  <c r="Q281" i="6"/>
  <c r="Q313" i="6"/>
  <c r="Q341" i="6"/>
  <c r="Q369" i="6"/>
  <c r="Q405" i="6"/>
  <c r="Q429" i="6"/>
  <c r="Q465" i="6"/>
  <c r="Q497" i="6"/>
  <c r="Q529" i="6"/>
  <c r="Q7" i="6"/>
  <c r="Q23" i="6"/>
  <c r="Q39" i="6"/>
  <c r="Q55" i="6"/>
  <c r="Q71" i="6"/>
  <c r="Q87" i="6"/>
  <c r="Q103" i="6"/>
  <c r="Q119" i="6"/>
  <c r="Q135" i="6"/>
  <c r="Q151" i="6"/>
  <c r="Q167" i="6"/>
  <c r="Q183" i="6"/>
  <c r="Q199" i="6"/>
  <c r="Q215" i="6"/>
  <c r="Q247" i="6"/>
  <c r="Q263" i="6"/>
  <c r="Q279" i="6"/>
  <c r="Q295" i="6"/>
  <c r="Q311" i="6"/>
  <c r="Q327" i="6"/>
  <c r="Q343" i="6"/>
  <c r="Q359" i="6"/>
  <c r="Q375" i="6"/>
  <c r="Q391" i="6"/>
  <c r="Q407" i="6"/>
  <c r="Q423" i="6"/>
  <c r="Q439" i="6"/>
  <c r="Q455" i="6"/>
  <c r="Q471" i="6"/>
  <c r="Q487" i="6"/>
  <c r="Q503" i="6"/>
  <c r="Q519" i="6"/>
  <c r="Q535" i="6"/>
  <c r="Q551" i="6"/>
  <c r="Q567" i="6"/>
  <c r="Q583" i="6"/>
  <c r="Q599" i="6"/>
  <c r="Q615" i="6"/>
  <c r="Q631" i="6"/>
  <c r="Q647" i="6"/>
  <c r="Q663" i="6"/>
  <c r="Q679" i="6"/>
  <c r="Q695" i="6"/>
  <c r="Q711" i="6"/>
  <c r="Q727" i="6"/>
  <c r="Q743" i="6"/>
  <c r="Q759" i="6"/>
  <c r="Q775" i="6"/>
  <c r="Q791" i="6"/>
  <c r="Q811" i="6"/>
  <c r="Q875" i="6"/>
  <c r="Q28" i="6"/>
  <c r="Q60" i="6"/>
  <c r="Q92" i="6"/>
  <c r="Q124" i="6"/>
  <c r="Q156" i="6"/>
  <c r="Q188" i="6"/>
  <c r="Q220" i="6"/>
  <c r="Q252" i="6"/>
  <c r="Q284" i="6"/>
  <c r="Q316" i="6"/>
  <c r="Q348" i="6"/>
  <c r="Q452" i="6"/>
  <c r="Q520" i="6"/>
  <c r="Q580" i="6"/>
  <c r="Q644" i="6"/>
  <c r="Q165" i="6"/>
  <c r="Q269" i="6"/>
  <c r="Q401" i="6"/>
  <c r="Q533" i="6"/>
  <c r="Q673" i="6"/>
  <c r="Q797" i="6"/>
  <c r="Q917" i="6"/>
  <c r="Q589" i="6"/>
  <c r="Q853" i="6"/>
  <c r="Q989" i="6"/>
  <c r="P270" i="6"/>
  <c r="Q270" i="6"/>
  <c r="R2" i="6" l="1"/>
  <c r="R361" i="6"/>
  <c r="R329" i="6"/>
  <c r="R169" i="6"/>
  <c r="R137" i="6"/>
  <c r="R25" i="6"/>
  <c r="R719" i="6"/>
  <c r="R591" i="6"/>
  <c r="R463" i="6"/>
  <c r="R335" i="6"/>
  <c r="R159" i="6"/>
  <c r="R300" i="6"/>
  <c r="R236" i="6"/>
  <c r="R172" i="6"/>
  <c r="R108" i="6"/>
  <c r="R44" i="6"/>
  <c r="R229" i="6"/>
  <c r="R990" i="6"/>
  <c r="R942" i="6"/>
  <c r="R878" i="6"/>
  <c r="R718" i="6"/>
  <c r="R654" i="6"/>
  <c r="R590" i="6"/>
  <c r="R542" i="6"/>
  <c r="R494" i="6"/>
  <c r="R865" i="6"/>
  <c r="R721" i="6"/>
  <c r="R369" i="6"/>
  <c r="R321" i="6"/>
  <c r="R257" i="6"/>
  <c r="R599" i="6"/>
  <c r="R471" i="6"/>
  <c r="R343" i="6"/>
  <c r="R340" i="6"/>
  <c r="R212" i="6"/>
  <c r="R84" i="6"/>
  <c r="R1001" i="6"/>
  <c r="R969" i="6"/>
  <c r="R937" i="6"/>
  <c r="R857" i="6"/>
  <c r="R825" i="6"/>
  <c r="R793" i="6"/>
  <c r="R761" i="6"/>
  <c r="R729" i="6"/>
  <c r="R697" i="6"/>
  <c r="R665" i="6"/>
  <c r="R633" i="6"/>
  <c r="R601" i="6"/>
  <c r="R393" i="6"/>
  <c r="R265" i="6"/>
  <c r="R233" i="6"/>
  <c r="R201" i="6"/>
  <c r="R815" i="6"/>
  <c r="R767" i="6"/>
  <c r="R639" i="6"/>
  <c r="R511" i="6"/>
  <c r="R207" i="6"/>
  <c r="R143" i="6"/>
  <c r="R79" i="6"/>
  <c r="R828" i="6"/>
  <c r="R780" i="6"/>
  <c r="R748" i="6"/>
  <c r="R716" i="6"/>
  <c r="R684" i="6"/>
  <c r="R652" i="6"/>
  <c r="R620" i="6"/>
  <c r="R588" i="6"/>
  <c r="R556" i="6"/>
  <c r="R524" i="6"/>
  <c r="R492" i="6"/>
  <c r="R460" i="6"/>
  <c r="R428" i="6"/>
  <c r="R396" i="6"/>
  <c r="R348" i="6"/>
  <c r="R284" i="6"/>
  <c r="R220" i="6"/>
  <c r="R156" i="6"/>
  <c r="R28" i="6"/>
  <c r="R978" i="6"/>
  <c r="R930" i="6"/>
  <c r="R882" i="6"/>
  <c r="R834" i="6"/>
  <c r="R786" i="6"/>
  <c r="R722" i="6"/>
  <c r="R658" i="6"/>
  <c r="R594" i="6"/>
  <c r="R530" i="6"/>
  <c r="R466" i="6"/>
  <c r="R901" i="6"/>
  <c r="R517" i="6"/>
  <c r="R469" i="6"/>
  <c r="R859" i="6"/>
  <c r="R795" i="6"/>
  <c r="R731" i="6"/>
  <c r="R667" i="6"/>
  <c r="R603" i="6"/>
  <c r="R539" i="6"/>
  <c r="R475" i="6"/>
  <c r="R411" i="6"/>
  <c r="R347" i="6"/>
  <c r="R283" i="6"/>
  <c r="R219" i="6"/>
  <c r="R155" i="6"/>
  <c r="R91" i="6"/>
  <c r="R27" i="6"/>
  <c r="R920" i="6"/>
  <c r="R888" i="6"/>
  <c r="R808" i="6"/>
  <c r="R760" i="6"/>
  <c r="R616" i="6"/>
  <c r="R584" i="6"/>
  <c r="R552" i="6"/>
  <c r="R993" i="6"/>
  <c r="R753" i="6"/>
  <c r="R561" i="6"/>
  <c r="R497" i="6"/>
  <c r="R113" i="6"/>
  <c r="R17" i="6"/>
  <c r="R983" i="6"/>
  <c r="R951" i="6"/>
  <c r="R919" i="6"/>
  <c r="R855" i="6"/>
  <c r="R823" i="6"/>
  <c r="R647" i="6"/>
  <c r="R583" i="6"/>
  <c r="R455" i="6"/>
  <c r="R327" i="6"/>
  <c r="R215" i="6"/>
  <c r="R87" i="6"/>
  <c r="R932" i="6"/>
  <c r="R836" i="6"/>
  <c r="R788" i="6"/>
  <c r="R756" i="6"/>
  <c r="R724" i="6"/>
  <c r="R644" i="6"/>
  <c r="R596" i="6"/>
  <c r="R532" i="6"/>
  <c r="R500" i="6"/>
  <c r="R452" i="6"/>
  <c r="R292" i="6"/>
  <c r="R164" i="6"/>
  <c r="R36" i="6"/>
  <c r="R986" i="6"/>
  <c r="R922" i="6"/>
  <c r="R858" i="6"/>
  <c r="R794" i="6"/>
  <c r="R730" i="6"/>
  <c r="R666" i="6"/>
  <c r="R602" i="6"/>
  <c r="R538" i="6"/>
  <c r="R474" i="6"/>
  <c r="R829" i="6"/>
  <c r="R669" i="6"/>
  <c r="R413" i="6"/>
  <c r="R317" i="6"/>
  <c r="R269" i="6"/>
  <c r="R787" i="6"/>
  <c r="R723" i="6"/>
  <c r="R659" i="6"/>
  <c r="R595" i="6"/>
  <c r="R531" i="6"/>
  <c r="R467" i="6"/>
  <c r="R403" i="6"/>
  <c r="R339" i="6"/>
  <c r="R275" i="6"/>
  <c r="R211" i="6"/>
  <c r="R147" i="6"/>
  <c r="R83" i="6"/>
  <c r="R19" i="6"/>
  <c r="R864" i="6"/>
  <c r="R640" i="6"/>
  <c r="R966" i="6"/>
  <c r="R902" i="6"/>
  <c r="R710" i="6"/>
  <c r="R646" i="6"/>
  <c r="R582" i="6"/>
  <c r="R518" i="6"/>
  <c r="R454" i="6"/>
  <c r="R390" i="6"/>
  <c r="R326" i="6"/>
  <c r="R338" i="6"/>
  <c r="R18" i="6"/>
  <c r="R270" i="6"/>
  <c r="R206" i="6"/>
  <c r="R142" i="6"/>
  <c r="R78" i="6"/>
  <c r="R14" i="6"/>
  <c r="R394" i="6"/>
  <c r="R362" i="6"/>
  <c r="R330" i="6"/>
  <c r="R298" i="6"/>
  <c r="R266" i="6"/>
  <c r="R234" i="6"/>
  <c r="R202" i="6"/>
  <c r="R170" i="6"/>
  <c r="R138" i="6"/>
  <c r="R106" i="6"/>
  <c r="R74" i="6"/>
  <c r="R42" i="6"/>
  <c r="R10" i="6"/>
  <c r="R370" i="6"/>
  <c r="R306" i="6"/>
  <c r="R242" i="6"/>
  <c r="R178" i="6"/>
  <c r="R114" i="6"/>
  <c r="R889" i="6"/>
  <c r="R521" i="6"/>
  <c r="R473" i="6"/>
  <c r="R425" i="6"/>
  <c r="R377" i="6"/>
  <c r="R345" i="6"/>
  <c r="R185" i="6"/>
  <c r="R153" i="6"/>
  <c r="R89" i="6"/>
  <c r="R41" i="6"/>
  <c r="R751" i="6"/>
  <c r="R623" i="6"/>
  <c r="R559" i="6"/>
  <c r="R495" i="6"/>
  <c r="R431" i="6"/>
  <c r="R367" i="6"/>
  <c r="R303" i="6"/>
  <c r="R255" i="6"/>
  <c r="R127" i="6"/>
  <c r="R63" i="6"/>
  <c r="R940" i="6"/>
  <c r="R892" i="6"/>
  <c r="R380" i="6"/>
  <c r="R332" i="6"/>
  <c r="R268" i="6"/>
  <c r="R204" i="6"/>
  <c r="R140" i="6"/>
  <c r="R76" i="6"/>
  <c r="R12" i="6"/>
  <c r="R962" i="6"/>
  <c r="R914" i="6"/>
  <c r="R866" i="6"/>
  <c r="R818" i="6"/>
  <c r="R770" i="6"/>
  <c r="R706" i="6"/>
  <c r="R642" i="6"/>
  <c r="R578" i="6"/>
  <c r="R514" i="6"/>
  <c r="R450" i="6"/>
  <c r="R933" i="6"/>
  <c r="R405" i="6"/>
  <c r="R341" i="6"/>
  <c r="R293" i="6"/>
  <c r="R843" i="6"/>
  <c r="R779" i="6"/>
  <c r="R715" i="6"/>
  <c r="R651" i="6"/>
  <c r="R587" i="6"/>
  <c r="R523" i="6"/>
  <c r="R459" i="6"/>
  <c r="R395" i="6"/>
  <c r="R331" i="6"/>
  <c r="R267" i="6"/>
  <c r="R203" i="6"/>
  <c r="R139" i="6"/>
  <c r="R75" i="6"/>
  <c r="R11" i="6"/>
  <c r="R648" i="6"/>
  <c r="R488" i="6"/>
  <c r="R408" i="6"/>
  <c r="R910" i="6"/>
  <c r="R846" i="6"/>
  <c r="R798" i="6"/>
  <c r="R750" i="6"/>
  <c r="R686" i="6"/>
  <c r="R622" i="6"/>
  <c r="R574" i="6"/>
  <c r="R462" i="6"/>
  <c r="R945" i="6"/>
  <c r="R913" i="6"/>
  <c r="R881" i="6"/>
  <c r="R657" i="6"/>
  <c r="R545" i="6"/>
  <c r="R433" i="6"/>
  <c r="R353" i="6"/>
  <c r="R289" i="6"/>
  <c r="R145" i="6"/>
  <c r="R759" i="6"/>
  <c r="R695" i="6"/>
  <c r="R631" i="6"/>
  <c r="R503" i="6"/>
  <c r="R375" i="6"/>
  <c r="R247" i="6"/>
  <c r="R199" i="6"/>
  <c r="R71" i="6"/>
  <c r="R916" i="6"/>
  <c r="R868" i="6"/>
  <c r="R676" i="6"/>
  <c r="R436" i="6"/>
  <c r="R404" i="6"/>
  <c r="R372" i="6"/>
  <c r="R276" i="6"/>
  <c r="R148" i="6"/>
  <c r="R20" i="6"/>
  <c r="R989" i="6"/>
  <c r="R957" i="6"/>
  <c r="R925" i="6"/>
  <c r="R893" i="6"/>
  <c r="R861" i="6"/>
  <c r="R733" i="6"/>
  <c r="R701" i="6"/>
  <c r="R349" i="6"/>
  <c r="R301" i="6"/>
  <c r="R205" i="6"/>
  <c r="R851" i="6"/>
  <c r="R819" i="6"/>
  <c r="R960" i="6"/>
  <c r="R928" i="6"/>
  <c r="R896" i="6"/>
  <c r="R768" i="6"/>
  <c r="R704" i="6"/>
  <c r="R672" i="6"/>
  <c r="R576" i="6"/>
  <c r="R480" i="6"/>
  <c r="R838" i="6"/>
  <c r="R806" i="6"/>
  <c r="R742" i="6"/>
</calcChain>
</file>

<file path=xl/sharedStrings.xml><?xml version="1.0" encoding="utf-8"?>
<sst xmlns="http://schemas.openxmlformats.org/spreadsheetml/2006/main" count="3633" uniqueCount="229">
  <si>
    <t>product_id</t>
  </si>
  <si>
    <t>product_name</t>
  </si>
  <si>
    <t>category</t>
  </si>
  <si>
    <t>cost_price</t>
  </si>
  <si>
    <t>base_price</t>
  </si>
  <si>
    <t>Wheat Flour 1</t>
  </si>
  <si>
    <t>Grocery</t>
  </si>
  <si>
    <t>Air Conditioner 2</t>
  </si>
  <si>
    <t>Home Appliances</t>
  </si>
  <si>
    <t>Biography 3</t>
  </si>
  <si>
    <t>Books</t>
  </si>
  <si>
    <t>Gym Gloves 4</t>
  </si>
  <si>
    <t>Sports</t>
  </si>
  <si>
    <t>Moisturizer 5</t>
  </si>
  <si>
    <t>Beauty</t>
  </si>
  <si>
    <t>Microwave 6</t>
  </si>
  <si>
    <t>Handbag 7</t>
  </si>
  <si>
    <t>Fashion</t>
  </si>
  <si>
    <t>Puzzle Set 8</t>
  </si>
  <si>
    <t>Toys</t>
  </si>
  <si>
    <t>Air Conditioner 9</t>
  </si>
  <si>
    <t>Jacket 10</t>
  </si>
  <si>
    <t>Remote Car 11</t>
  </si>
  <si>
    <t>Running Shoes 12</t>
  </si>
  <si>
    <t>Football 13</t>
  </si>
  <si>
    <t>Coffee Beans 14</t>
  </si>
  <si>
    <t>Tennis Racket 15</t>
  </si>
  <si>
    <t>Cookbook 16</t>
  </si>
  <si>
    <t>Yoga Mat 17</t>
  </si>
  <si>
    <t>Coffee Beans 18</t>
  </si>
  <si>
    <t>Air Conditioner 19</t>
  </si>
  <si>
    <t>Green Tea 20</t>
  </si>
  <si>
    <t>Water Purifier 21</t>
  </si>
  <si>
    <t>Dress 22</t>
  </si>
  <si>
    <t>Bluetooth Speaker 23</t>
  </si>
  <si>
    <t>Electronics</t>
  </si>
  <si>
    <t>Rice Pack 24</t>
  </si>
  <si>
    <t>Tennis Racket 25</t>
  </si>
  <si>
    <t>Rice Pack 26</t>
  </si>
  <si>
    <t>Action Figure 27</t>
  </si>
  <si>
    <t>Water Purifier 28</t>
  </si>
  <si>
    <t>Smartwatch 29</t>
  </si>
  <si>
    <t>Doll 30</t>
  </si>
  <si>
    <t>Bluetooth Speaker 31</t>
  </si>
  <si>
    <t>Fiction Novel 32</t>
  </si>
  <si>
    <t>Washing Machine 33</t>
  </si>
  <si>
    <t>Doll 34</t>
  </si>
  <si>
    <t>Sneakers 35</t>
  </si>
  <si>
    <t>Refrigerator 36</t>
  </si>
  <si>
    <t>Sugar 37</t>
  </si>
  <si>
    <t>Jeans 38</t>
  </si>
  <si>
    <t>Perfume 39</t>
  </si>
  <si>
    <t>Dress 40</t>
  </si>
  <si>
    <t>Olive Oil 41</t>
  </si>
  <si>
    <t>Action Figure 42</t>
  </si>
  <si>
    <t>Jeans 43</t>
  </si>
  <si>
    <t>Coffee Beans 44</t>
  </si>
  <si>
    <t>Doll 45</t>
  </si>
  <si>
    <t>Action Figure 46</t>
  </si>
  <si>
    <t>Cookbook 47</t>
  </si>
  <si>
    <t>Water Purifier 48</t>
  </si>
  <si>
    <t>Foundation 49</t>
  </si>
  <si>
    <t>Doll 50</t>
  </si>
  <si>
    <t>Bluetooth Speaker 51</t>
  </si>
  <si>
    <t>Cookbook 52</t>
  </si>
  <si>
    <t>Cookbook 53</t>
  </si>
  <si>
    <t>Cookbook 54</t>
  </si>
  <si>
    <t>Face Wash 55</t>
  </si>
  <si>
    <t>Smartwatch 56</t>
  </si>
  <si>
    <t>Face Wash 57</t>
  </si>
  <si>
    <t>Wheat Flour 58</t>
  </si>
  <si>
    <t>Smartwatch 59</t>
  </si>
  <si>
    <t>Biography 60</t>
  </si>
  <si>
    <t>Green Tea 61</t>
  </si>
  <si>
    <t>Olive Oil 62</t>
  </si>
  <si>
    <t>Sugar 63</t>
  </si>
  <si>
    <t>Children Story Book 64</t>
  </si>
  <si>
    <t>Biography 65</t>
  </si>
  <si>
    <t>Olive Oil 66</t>
  </si>
  <si>
    <t>Perfume 67</t>
  </si>
  <si>
    <t>Lipstick 68</t>
  </si>
  <si>
    <t>Doll 69</t>
  </si>
  <si>
    <t>Green Tea 70</t>
  </si>
  <si>
    <t>Self Help Book 71</t>
  </si>
  <si>
    <t>Smartwatch 72</t>
  </si>
  <si>
    <t>Action Figure 73</t>
  </si>
  <si>
    <t>Sneakers 74</t>
  </si>
  <si>
    <t>Sneakers 75</t>
  </si>
  <si>
    <t>Laptop 76</t>
  </si>
  <si>
    <t>Coffee Beans 77</t>
  </si>
  <si>
    <t>Biography 78</t>
  </si>
  <si>
    <t>Biography 79</t>
  </si>
  <si>
    <t>Washing Machine 80</t>
  </si>
  <si>
    <t>Water Purifier 81</t>
  </si>
  <si>
    <t>Yoga Mat 82</t>
  </si>
  <si>
    <t>Foundation 83</t>
  </si>
  <si>
    <t>Moisturizer 84</t>
  </si>
  <si>
    <t>Handbag 85</t>
  </si>
  <si>
    <t>Building Blocks 86</t>
  </si>
  <si>
    <t>Laptop 87</t>
  </si>
  <si>
    <t>Tablet 88</t>
  </si>
  <si>
    <t>Remote Car 89</t>
  </si>
  <si>
    <t>Washing Machine 90</t>
  </si>
  <si>
    <t>Sunglasses 91</t>
  </si>
  <si>
    <t>Puzzle Set 92</t>
  </si>
  <si>
    <t>Cookbook 93</t>
  </si>
  <si>
    <t>Cricket Bat 94</t>
  </si>
  <si>
    <t>Coffee Beans 95</t>
  </si>
  <si>
    <t>Gym Gloves 96</t>
  </si>
  <si>
    <t>Washing Machine 97</t>
  </si>
  <si>
    <t>Puzzle Set 98</t>
  </si>
  <si>
    <t>Sneakers 99</t>
  </si>
  <si>
    <t>T-Shirt 100</t>
  </si>
  <si>
    <t>Jacket 101</t>
  </si>
  <si>
    <t>Action Figure 102</t>
  </si>
  <si>
    <t>Remote Car 103</t>
  </si>
  <si>
    <t>Children Story Book 104</t>
  </si>
  <si>
    <t>Action Figure 105</t>
  </si>
  <si>
    <t>Doll 106</t>
  </si>
  <si>
    <t>Face Wash 107</t>
  </si>
  <si>
    <t>Lipstick 108</t>
  </si>
  <si>
    <t>Fiction Novel 109</t>
  </si>
  <si>
    <t>Cookbook 110</t>
  </si>
  <si>
    <t>Perfume 111</t>
  </si>
  <si>
    <t>Lipstick 112</t>
  </si>
  <si>
    <t>Green Tea 113</t>
  </si>
  <si>
    <t>Smartwatch 114</t>
  </si>
  <si>
    <t>Children Story Book 115</t>
  </si>
  <si>
    <t>Building Blocks 116</t>
  </si>
  <si>
    <t>Refrigerator 117</t>
  </si>
  <si>
    <t>Doll 118</t>
  </si>
  <si>
    <t>Wheat Flour 119</t>
  </si>
  <si>
    <t>Vacuum Cleaner 120</t>
  </si>
  <si>
    <t>Self Help Book 121</t>
  </si>
  <si>
    <t>Shampoo 122</t>
  </si>
  <si>
    <t>Sunglasses 123</t>
  </si>
  <si>
    <t>Sunglasses 124</t>
  </si>
  <si>
    <t>Air Conditioner 125</t>
  </si>
  <si>
    <t>Cricket Bat 126</t>
  </si>
  <si>
    <t>Gym Gloves 127</t>
  </si>
  <si>
    <t>Coffee Beans 128</t>
  </si>
  <si>
    <t>Smartphone 129</t>
  </si>
  <si>
    <t>Gym Gloves 130</t>
  </si>
  <si>
    <t>Lipstick 131</t>
  </si>
  <si>
    <t>Cricket Bat 132</t>
  </si>
  <si>
    <t>Puzzle Set 133</t>
  </si>
  <si>
    <t>Headphones 134</t>
  </si>
  <si>
    <t>Water Purifier 135</t>
  </si>
  <si>
    <t>Handbag 136</t>
  </si>
  <si>
    <t>Moisturizer 137</t>
  </si>
  <si>
    <t>Running Shoes 138</t>
  </si>
  <si>
    <t>Jacket 139</t>
  </si>
  <si>
    <t>Remote Car 140</t>
  </si>
  <si>
    <t>Puzzle Set 141</t>
  </si>
  <si>
    <t>Jeans 142</t>
  </si>
  <si>
    <t>Remote Car 143</t>
  </si>
  <si>
    <t>Air Conditioner 144</t>
  </si>
  <si>
    <t>Self Help Book 145</t>
  </si>
  <si>
    <t>Cookbook 146</t>
  </si>
  <si>
    <t>Cricket Bat 147</t>
  </si>
  <si>
    <t>Gym Gloves 148</t>
  </si>
  <si>
    <t>Smartphone 149</t>
  </si>
  <si>
    <t>Puzzle Set 150</t>
  </si>
  <si>
    <t xml:space="preserve"> sale_id</t>
  </si>
  <si>
    <t xml:space="preserve">product_id </t>
  </si>
  <si>
    <t xml:space="preserve">sale_date </t>
  </si>
  <si>
    <t xml:space="preserve">quantity_sold </t>
  </si>
  <si>
    <t>discount_percent</t>
  </si>
  <si>
    <t>final_sale_price</t>
  </si>
  <si>
    <t>review_id</t>
  </si>
  <si>
    <t xml:space="preserve">rating  </t>
  </si>
  <si>
    <t>comp_id</t>
  </si>
  <si>
    <t>competitor_name</t>
  </si>
  <si>
    <t>competitor_price</t>
  </si>
  <si>
    <t>Snapdeal</t>
  </si>
  <si>
    <t>Amazon</t>
  </si>
  <si>
    <t>Reliance Digital</t>
  </si>
  <si>
    <t>Croma</t>
  </si>
  <si>
    <t>Flipkart</t>
  </si>
  <si>
    <t>Paytm Mall</t>
  </si>
  <si>
    <t>Tata Cliq</t>
  </si>
  <si>
    <t>Myntra</t>
  </si>
  <si>
    <t>Future Group</t>
  </si>
  <si>
    <t>Big Bazaar</t>
  </si>
  <si>
    <t xml:space="preserve"> </t>
  </si>
  <si>
    <t>avg_comp_price</t>
  </si>
  <si>
    <t>Revenue</t>
  </si>
  <si>
    <t>Profit</t>
  </si>
  <si>
    <t>Price Difference</t>
  </si>
  <si>
    <t>Price Difference %</t>
  </si>
  <si>
    <t>Total Revenue by Category</t>
  </si>
  <si>
    <t>Sum of Revenue</t>
  </si>
  <si>
    <t>Top Products by Revenue</t>
  </si>
  <si>
    <t xml:space="preserve"> Profit by Category</t>
  </si>
  <si>
    <t>Sum of Profit</t>
  </si>
  <si>
    <t>Avg Discount vs Revenue</t>
  </si>
  <si>
    <t>Avg Rating by Category</t>
  </si>
  <si>
    <t xml:space="preserve">Average of rating  </t>
  </si>
  <si>
    <t xml:space="preserve">Our Price vs Competitor Price </t>
  </si>
  <si>
    <t>Jan</t>
  </si>
  <si>
    <t>Feb</t>
  </si>
  <si>
    <t>Mar</t>
  </si>
  <si>
    <t>Apr</t>
  </si>
  <si>
    <t>May</t>
  </si>
  <si>
    <t>Jun</t>
  </si>
  <si>
    <t>Jul</t>
  </si>
  <si>
    <t>Aug</t>
  </si>
  <si>
    <t>Sep</t>
  </si>
  <si>
    <t>Oct</t>
  </si>
  <si>
    <t>Nov</t>
  </si>
  <si>
    <t>Dec</t>
  </si>
  <si>
    <t>Low Performance Products</t>
  </si>
  <si>
    <t xml:space="preserve"> avg_comp_price</t>
  </si>
  <si>
    <t>Avg of final_sale_price</t>
  </si>
  <si>
    <t>Avg of discount_percent</t>
  </si>
  <si>
    <t>Profit_margin</t>
  </si>
  <si>
    <t>Monthly Revenue Trend</t>
  </si>
  <si>
    <t xml:space="preserve">Count of quantity_sold </t>
  </si>
  <si>
    <t>Customer Satisfication vs Profit</t>
  </si>
  <si>
    <t xml:space="preserve">Avg of rating  </t>
  </si>
  <si>
    <t>Row Labels</t>
  </si>
  <si>
    <t>Grand Total</t>
  </si>
  <si>
    <t>Column Labels</t>
  </si>
  <si>
    <t xml:space="preserve">Sales Contribution by Category </t>
  </si>
  <si>
    <t>Years</t>
  </si>
  <si>
    <t>2023</t>
  </si>
  <si>
    <t>2024</t>
  </si>
  <si>
    <t>2025</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</si>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</sst>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Rs.&quot;\ #,##0"/>
  </numFmts>
  <fonts count="11" x14ac:knownFonts="1">
    <font>
      <sz val="10"/>
      <color theme="1"/>
      <name val="Arial"/>
      <family val="2"/>
    </font>
    <font>
      <b/>
      <sz val="10"/>
      <color theme="0"/>
      <name val="Arial"/>
      <family val="2"/>
    </font>
    <font>
      <sz val="10"/>
      <color theme="1"/>
      <name val="Arial"/>
      <family val="2"/>
    </font>
    <font>
      <b/>
      <sz val="10"/>
      <color theme="0"/>
      <name val="Arial"/>
    </font>
    <font>
      <sz val="10"/>
      <color theme="1"/>
      <name val="Arial"/>
    </font>
    <font>
      <b/>
      <sz val="12"/>
      <color theme="1"/>
      <name val="Book Antiqua"/>
      <family val="1"/>
    </font>
    <font>
      <sz val="12"/>
      <color theme="1"/>
      <name val="Book Antiqua"/>
      <family val="1"/>
    </font>
    <font>
      <b/>
      <sz val="14"/>
      <color theme="1"/>
      <name val="Book Antiqua"/>
      <family val="1"/>
    </font>
    <font>
      <sz val="12"/>
      <color theme="1"/>
      <name val="Arial"/>
      <family val="2"/>
    </font>
    <font>
      <b/>
      <sz val="12"/>
      <color theme="1"/>
      <name val="Arial"/>
      <family val="2"/>
    </font>
    <font>
      <b/>
      <sz val="14"/>
      <color theme="1"/>
      <name val="Arial"/>
      <family val="2"/>
    </font>
  </fonts>
  <fills count="1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99F977"/>
        <bgColor indexed="64"/>
      </patternFill>
    </fill>
    <fill>
      <patternFill patternType="solid">
        <fgColor rgb="FFF2EF6B"/>
        <bgColor indexed="64"/>
      </patternFill>
    </fill>
    <fill>
      <patternFill patternType="solid">
        <fgColor theme="2" tint="-9.9978637043366805E-2"/>
        <bgColor indexed="64"/>
      </patternFill>
    </fill>
    <fill>
      <patternFill patternType="solid">
        <fgColor rgb="FFFBFED6"/>
        <bgColor indexed="64"/>
      </patternFill>
    </fill>
    <fill>
      <patternFill patternType="solid">
        <fgColor theme="2" tint="-0.749992370372631"/>
        <bgColor indexed="64"/>
      </patternFill>
    </fill>
  </fills>
  <borders count="4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theme="4" tint="-0.24994659260841701"/>
      </top>
      <bottom style="medium">
        <color theme="4" tint="-0.24994659260841701"/>
      </bottom>
      <diagonal/>
    </border>
    <border>
      <left style="medium">
        <color indexed="64"/>
      </left>
      <right style="thin">
        <color indexed="64"/>
      </right>
      <top style="medium">
        <color indexed="64"/>
      </top>
      <bottom style="medium">
        <color rgb="FFEE82A3"/>
      </bottom>
      <diagonal/>
    </border>
    <border>
      <left style="thin">
        <color indexed="64"/>
      </left>
      <right style="medium">
        <color indexed="64"/>
      </right>
      <top style="medium">
        <color indexed="64"/>
      </top>
      <bottom style="medium">
        <color rgb="FFEE82A3"/>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rgb="FFEE82A3"/>
      </top>
      <bottom/>
      <diagonal/>
    </border>
    <border>
      <left style="thin">
        <color indexed="64"/>
      </left>
      <right style="medium">
        <color indexed="64"/>
      </right>
      <top style="medium">
        <color rgb="FFEE82A3"/>
      </top>
      <bottom/>
      <diagonal/>
    </border>
    <border>
      <left style="medium">
        <color indexed="64"/>
      </left>
      <right style="medium">
        <color indexed="64"/>
      </right>
      <top style="thin">
        <color indexed="64"/>
      </top>
      <bottom style="thin">
        <color rgb="FFEE82A3"/>
      </bottom>
      <diagonal/>
    </border>
    <border>
      <left style="medium">
        <color indexed="64"/>
      </left>
      <right style="medium">
        <color indexed="64"/>
      </right>
      <top style="thin">
        <color rgb="FFEE82A3"/>
      </top>
      <bottom style="thin">
        <color rgb="FFEE82A3"/>
      </bottom>
      <diagonal/>
    </border>
    <border>
      <left style="medium">
        <color indexed="64"/>
      </left>
      <right style="medium">
        <color indexed="64"/>
      </right>
      <top style="thin">
        <color rgb="FFEE82A3"/>
      </top>
      <bottom style="medium">
        <color indexed="64"/>
      </bottom>
      <diagonal/>
    </border>
    <border>
      <left style="medium">
        <color indexed="64"/>
      </left>
      <right style="medium">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4" tint="-0.24994659260841701"/>
      </right>
      <top style="medium">
        <color theme="4" tint="-0.24994659260841701"/>
      </top>
      <bottom style="medium">
        <color theme="4" tint="-0.24994659260841701"/>
      </bottom>
      <diagonal/>
    </border>
    <border>
      <left style="medium">
        <color indexed="64"/>
      </left>
      <right style="thin">
        <color theme="1"/>
      </right>
      <top style="medium">
        <color indexed="64"/>
      </top>
      <bottom/>
      <diagonal/>
    </border>
    <border>
      <left style="thin">
        <color theme="1"/>
      </left>
      <right style="medium">
        <color indexed="64"/>
      </right>
      <top style="medium">
        <color indexed="64"/>
      </top>
      <bottom/>
      <diagonal/>
    </border>
    <border>
      <left style="medium">
        <color indexed="64"/>
      </left>
      <right style="thin">
        <color theme="1"/>
      </right>
      <top/>
      <bottom/>
      <diagonal/>
    </border>
    <border>
      <left style="thin">
        <color theme="1"/>
      </left>
      <right style="medium">
        <color indexed="64"/>
      </right>
      <top/>
      <bottom/>
      <diagonal/>
    </border>
    <border>
      <left style="medium">
        <color indexed="64"/>
      </left>
      <right style="thin">
        <color theme="1"/>
      </right>
      <top/>
      <bottom style="medium">
        <color indexed="64"/>
      </bottom>
      <diagonal/>
    </border>
    <border>
      <left style="thin">
        <color theme="1"/>
      </left>
      <right style="medium">
        <color indexed="64"/>
      </right>
      <top/>
      <bottom style="medium">
        <color indexed="64"/>
      </bottom>
      <diagonal/>
    </border>
    <border>
      <left/>
      <right/>
      <top/>
      <bottom style="medium">
        <color indexed="64"/>
      </bottom>
      <diagonal/>
    </border>
  </borders>
  <cellStyleXfs count="2">
    <xf numFmtId="0" fontId="0" fillId="0" borderId="0"/>
    <xf numFmtId="9" fontId="2" fillId="0" borderId="0" applyFont="0" applyFill="0" applyBorder="0" applyAlignment="0" applyProtection="0"/>
  </cellStyleXfs>
  <cellXfs count="137">
    <xf numFmtId="0" fontId="0" fillId="0" borderId="0" xfId="0"/>
    <xf numFmtId="14" fontId="0" fillId="0" borderId="0" xfId="0" applyNumberFormat="1"/>
    <xf numFmtId="0" fontId="1" fillId="2" borderId="1" xfId="0" applyFont="1" applyFill="1" applyBorder="1"/>
    <xf numFmtId="0" fontId="1" fillId="2" borderId="2" xfId="0" applyFont="1" applyFill="1" applyBorder="1"/>
    <xf numFmtId="0" fontId="0" fillId="3" borderId="1" xfId="0" applyFont="1" applyFill="1" applyBorder="1"/>
    <xf numFmtId="0" fontId="0" fillId="0" borderId="1" xfId="0" applyFont="1" applyBorder="1"/>
    <xf numFmtId="14" fontId="0" fillId="3" borderId="1" xfId="0" applyNumberFormat="1" applyFont="1" applyFill="1" applyBorder="1"/>
    <xf numFmtId="14" fontId="0" fillId="0" borderId="1" xfId="0" applyNumberFormat="1" applyFont="1" applyBorder="1"/>
    <xf numFmtId="0" fontId="0" fillId="0" borderId="0" xfId="0" applyAlignment="1">
      <alignment horizontal="left"/>
    </xf>
    <xf numFmtId="0" fontId="0" fillId="0" borderId="0" xfId="0" applyNumberFormat="1"/>
    <xf numFmtId="0" fontId="1" fillId="2" borderId="0" xfId="0" applyFont="1" applyFill="1" applyBorder="1"/>
    <xf numFmtId="2" fontId="0" fillId="0" borderId="0" xfId="0" applyNumberFormat="1"/>
    <xf numFmtId="2" fontId="0" fillId="3" borderId="1" xfId="0" applyNumberFormat="1" applyFont="1" applyFill="1" applyBorder="1"/>
    <xf numFmtId="0" fontId="3" fillId="2" borderId="0" xfId="0" applyFont="1" applyFill="1"/>
    <xf numFmtId="9" fontId="3" fillId="2" borderId="0" xfId="1" applyFont="1" applyFill="1"/>
    <xf numFmtId="9" fontId="0" fillId="0" borderId="0" xfId="1" applyFont="1"/>
    <xf numFmtId="0" fontId="5" fillId="0" borderId="0" xfId="0" applyFont="1" applyAlignment="1"/>
    <xf numFmtId="0" fontId="6" fillId="0" borderId="0" xfId="0" applyFont="1" applyAlignment="1"/>
    <xf numFmtId="0" fontId="4" fillId="4" borderId="1" xfId="0" applyFont="1" applyFill="1" applyBorder="1"/>
    <xf numFmtId="14" fontId="4" fillId="4" borderId="1" xfId="0" applyNumberFormat="1" applyFont="1" applyFill="1" applyBorder="1"/>
    <xf numFmtId="0" fontId="0" fillId="5" borderId="1" xfId="0" applyFont="1" applyFill="1" applyBorder="1"/>
    <xf numFmtId="2" fontId="4" fillId="5" borderId="1" xfId="0" applyNumberFormat="1" applyFont="1" applyFill="1" applyBorder="1"/>
    <xf numFmtId="0" fontId="0" fillId="4" borderId="0" xfId="0" applyFill="1"/>
    <xf numFmtId="2" fontId="0" fillId="4" borderId="0" xfId="0" applyNumberFormat="1" applyFill="1"/>
    <xf numFmtId="9" fontId="0" fillId="4" borderId="0" xfId="1" applyNumberFormat="1" applyFont="1" applyFill="1"/>
    <xf numFmtId="0" fontId="9" fillId="0" borderId="3" xfId="0" pivotButton="1" applyFont="1" applyBorder="1"/>
    <xf numFmtId="0" fontId="9" fillId="0" borderId="16" xfId="0" applyFont="1" applyBorder="1"/>
    <xf numFmtId="0" fontId="9" fillId="0" borderId="17" xfId="0" applyFont="1" applyBorder="1"/>
    <xf numFmtId="0" fontId="9" fillId="0" borderId="18" xfId="0" applyFont="1" applyBorder="1"/>
    <xf numFmtId="3" fontId="9" fillId="0" borderId="16" xfId="0" applyNumberFormat="1" applyFont="1" applyBorder="1" applyAlignment="1">
      <alignment horizontal="center"/>
    </xf>
    <xf numFmtId="3" fontId="9" fillId="0" borderId="17" xfId="0" applyNumberFormat="1" applyFont="1" applyBorder="1" applyAlignment="1">
      <alignment horizontal="center"/>
    </xf>
    <xf numFmtId="0" fontId="9" fillId="0" borderId="3" xfId="0" applyFont="1" applyBorder="1" applyAlignment="1">
      <alignment horizontal="center"/>
    </xf>
    <xf numFmtId="0" fontId="8" fillId="9" borderId="3" xfId="0" applyFont="1" applyFill="1" applyBorder="1"/>
    <xf numFmtId="3" fontId="9" fillId="0" borderId="19" xfId="0" applyNumberFormat="1" applyFont="1" applyBorder="1" applyAlignment="1">
      <alignment horizontal="center"/>
    </xf>
    <xf numFmtId="0" fontId="9" fillId="0" borderId="3" xfId="0" applyFont="1" applyBorder="1"/>
    <xf numFmtId="3" fontId="9" fillId="0" borderId="16" xfId="0" applyNumberFormat="1" applyFont="1" applyBorder="1"/>
    <xf numFmtId="3" fontId="9" fillId="0" borderId="17" xfId="0" applyNumberFormat="1" applyFont="1" applyBorder="1"/>
    <xf numFmtId="3" fontId="9" fillId="0" borderId="18" xfId="0" applyNumberFormat="1" applyFont="1" applyBorder="1"/>
    <xf numFmtId="0" fontId="1" fillId="2" borderId="0" xfId="0" applyFont="1" applyFill="1"/>
    <xf numFmtId="0" fontId="9" fillId="0" borderId="0" xfId="0" applyFont="1" applyBorder="1" applyAlignment="1">
      <alignment horizontal="center"/>
    </xf>
    <xf numFmtId="3" fontId="9" fillId="0" borderId="0" xfId="0" applyNumberFormat="1" applyFont="1" applyBorder="1" applyAlignment="1">
      <alignment horizontal="center"/>
    </xf>
    <xf numFmtId="0" fontId="9" fillId="0" borderId="25" xfId="0" pivotButton="1" applyFont="1" applyBorder="1"/>
    <xf numFmtId="0" fontId="9" fillId="0" borderId="25" xfId="0" applyFont="1" applyBorder="1"/>
    <xf numFmtId="0" fontId="9" fillId="0" borderId="26" xfId="0" applyFont="1" applyBorder="1"/>
    <xf numFmtId="0" fontId="9" fillId="0" borderId="26" xfId="0" applyNumberFormat="1" applyFont="1" applyBorder="1"/>
    <xf numFmtId="0" fontId="9" fillId="0" borderId="27" xfId="0" applyFont="1" applyBorder="1"/>
    <xf numFmtId="0" fontId="9" fillId="0" borderId="27" xfId="0" applyNumberFormat="1" applyFont="1" applyBorder="1"/>
    <xf numFmtId="0" fontId="9" fillId="0" borderId="25" xfId="0" applyNumberFormat="1" applyFont="1" applyBorder="1"/>
    <xf numFmtId="0" fontId="8" fillId="0" borderId="3" xfId="0" pivotButton="1" applyFont="1" applyBorder="1"/>
    <xf numFmtId="0" fontId="8" fillId="0" borderId="3" xfId="0" applyFont="1" applyBorder="1" applyAlignment="1">
      <alignment horizontal="center"/>
    </xf>
    <xf numFmtId="3" fontId="8" fillId="0" borderId="16" xfId="0" applyNumberFormat="1" applyFont="1" applyBorder="1" applyAlignment="1">
      <alignment horizontal="center"/>
    </xf>
    <xf numFmtId="3" fontId="8" fillId="0" borderId="17" xfId="0" applyNumberFormat="1" applyFont="1" applyBorder="1" applyAlignment="1">
      <alignment horizontal="center"/>
    </xf>
    <xf numFmtId="3" fontId="8" fillId="0" borderId="18" xfId="0" applyNumberFormat="1" applyFont="1" applyBorder="1" applyAlignment="1">
      <alignment horizontal="center"/>
    </xf>
    <xf numFmtId="0" fontId="8" fillId="0" borderId="4" xfId="0" pivotButton="1" applyFont="1" applyBorder="1"/>
    <xf numFmtId="0" fontId="8" fillId="0" borderId="3" xfId="0" applyFont="1" applyBorder="1"/>
    <xf numFmtId="3" fontId="9" fillId="4" borderId="17" xfId="0" applyNumberFormat="1" applyFont="1" applyFill="1" applyBorder="1" applyAlignment="1">
      <alignment horizontal="center"/>
    </xf>
    <xf numFmtId="3" fontId="9" fillId="4" borderId="18" xfId="0" applyNumberFormat="1" applyFont="1" applyFill="1" applyBorder="1" applyAlignment="1">
      <alignment horizontal="center"/>
    </xf>
    <xf numFmtId="0" fontId="9" fillId="0" borderId="31" xfId="0" applyFont="1" applyBorder="1"/>
    <xf numFmtId="0" fontId="9" fillId="0" borderId="28" xfId="0" applyFont="1" applyBorder="1"/>
    <xf numFmtId="0" fontId="9" fillId="0" borderId="22" xfId="0" applyFont="1" applyBorder="1"/>
    <xf numFmtId="3" fontId="9" fillId="0" borderId="31" xfId="0" applyNumberFormat="1" applyFont="1" applyBorder="1" applyAlignment="1">
      <alignment horizontal="center"/>
    </xf>
    <xf numFmtId="3" fontId="9" fillId="0" borderId="28" xfId="0" applyNumberFormat="1" applyFont="1" applyBorder="1" applyAlignment="1">
      <alignment horizontal="center"/>
    </xf>
    <xf numFmtId="3" fontId="9" fillId="0" borderId="22" xfId="0" applyNumberFormat="1" applyFont="1" applyBorder="1" applyAlignment="1">
      <alignment horizontal="center"/>
    </xf>
    <xf numFmtId="0" fontId="9" fillId="0" borderId="32" xfId="0" applyFont="1" applyBorder="1"/>
    <xf numFmtId="0" fontId="9" fillId="0" borderId="33" xfId="0" applyFont="1" applyBorder="1" applyAlignment="1">
      <alignment horizontal="center"/>
    </xf>
    <xf numFmtId="2" fontId="9" fillId="0" borderId="34" xfId="0" applyNumberFormat="1" applyFont="1" applyBorder="1" applyAlignment="1">
      <alignment horizontal="center"/>
    </xf>
    <xf numFmtId="2" fontId="9" fillId="0" borderId="16" xfId="0" applyNumberFormat="1" applyFont="1" applyBorder="1" applyAlignment="1">
      <alignment horizontal="center"/>
    </xf>
    <xf numFmtId="2" fontId="9" fillId="0" borderId="17" xfId="0" applyNumberFormat="1" applyFont="1" applyBorder="1" applyAlignment="1">
      <alignment horizontal="center"/>
    </xf>
    <xf numFmtId="2" fontId="9" fillId="0" borderId="18" xfId="0" applyNumberFormat="1" applyFont="1" applyBorder="1" applyAlignment="1">
      <alignment horizontal="center"/>
    </xf>
    <xf numFmtId="3" fontId="9" fillId="0" borderId="35" xfId="0" applyNumberFormat="1" applyFont="1" applyBorder="1"/>
    <xf numFmtId="3" fontId="9" fillId="0" borderId="36" xfId="0" applyNumberFormat="1" applyFont="1" applyBorder="1"/>
    <xf numFmtId="3" fontId="9" fillId="0" borderId="37" xfId="0" applyNumberFormat="1" applyFont="1" applyBorder="1"/>
    <xf numFmtId="3" fontId="9" fillId="0" borderId="38" xfId="0" applyNumberFormat="1" applyFont="1" applyBorder="1"/>
    <xf numFmtId="3" fontId="9" fillId="0" borderId="39" xfId="0" applyNumberFormat="1" applyFont="1" applyBorder="1"/>
    <xf numFmtId="3" fontId="9" fillId="0" borderId="40" xfId="0" applyNumberFormat="1" applyFont="1" applyBorder="1"/>
    <xf numFmtId="10" fontId="8" fillId="0" borderId="16" xfId="0" applyNumberFormat="1" applyFont="1" applyBorder="1"/>
    <xf numFmtId="10" fontId="8" fillId="0" borderId="17" xfId="0" applyNumberFormat="1" applyFont="1" applyBorder="1"/>
    <xf numFmtId="10" fontId="8" fillId="0" borderId="18" xfId="0" applyNumberFormat="1" applyFont="1" applyBorder="1"/>
    <xf numFmtId="3" fontId="0" fillId="0" borderId="0" xfId="0" applyNumberFormat="1"/>
    <xf numFmtId="0" fontId="0" fillId="0" borderId="0" xfId="0" pivotButton="1"/>
    <xf numFmtId="0" fontId="8" fillId="0" borderId="6" xfId="0" applyFont="1" applyBorder="1"/>
    <xf numFmtId="0" fontId="8" fillId="0" borderId="8" xfId="0" applyFont="1" applyBorder="1"/>
    <xf numFmtId="0" fontId="0" fillId="0" borderId="0" xfId="0" applyAlignment="1">
      <alignment horizontal="center"/>
    </xf>
    <xf numFmtId="3" fontId="0" fillId="0" borderId="0" xfId="0" applyNumberFormat="1" applyAlignment="1">
      <alignment horizontal="center"/>
    </xf>
    <xf numFmtId="164" fontId="0" fillId="0" borderId="0" xfId="0" applyNumberFormat="1"/>
    <xf numFmtId="3" fontId="9" fillId="4" borderId="16" xfId="0" applyNumberFormat="1" applyFont="1" applyFill="1" applyBorder="1" applyAlignment="1">
      <alignment horizontal="center"/>
    </xf>
    <xf numFmtId="0" fontId="8" fillId="0" borderId="15" xfId="0" pivotButton="1" applyFont="1" applyBorder="1"/>
    <xf numFmtId="0" fontId="8" fillId="0" borderId="0" xfId="0" applyFont="1" applyBorder="1"/>
    <xf numFmtId="0" fontId="8" fillId="0" borderId="41" xfId="0" applyFont="1" applyBorder="1"/>
    <xf numFmtId="0" fontId="0" fillId="0" borderId="0" xfId="0" applyAlignment="1">
      <alignment horizontal="left" indent="1"/>
    </xf>
    <xf numFmtId="0" fontId="0" fillId="16" borderId="0" xfId="0" applyFill="1"/>
    <xf numFmtId="0" fontId="0" fillId="0" borderId="0" xfId="0" applyProtection="1">
      <protection locked="0"/>
    </xf>
    <xf numFmtId="0" fontId="7" fillId="11" borderId="4" xfId="0" applyFont="1" applyFill="1" applyBorder="1" applyAlignment="1">
      <alignment horizontal="center" vertical="center"/>
    </xf>
    <xf numFmtId="0" fontId="7" fillId="11" borderId="15" xfId="0" applyFont="1" applyFill="1" applyBorder="1" applyAlignment="1">
      <alignment horizontal="center" vertical="center"/>
    </xf>
    <xf numFmtId="0" fontId="7" fillId="11" borderId="5" xfId="0" applyFont="1" applyFill="1" applyBorder="1" applyAlignment="1">
      <alignment horizontal="center" vertical="center"/>
    </xf>
    <xf numFmtId="0" fontId="7" fillId="11" borderId="6" xfId="0" applyFont="1" applyFill="1" applyBorder="1" applyAlignment="1">
      <alignment horizontal="center" vertical="center"/>
    </xf>
    <xf numFmtId="0" fontId="7" fillId="11" borderId="0" xfId="0" applyFont="1" applyFill="1" applyBorder="1" applyAlignment="1">
      <alignment horizontal="center" vertical="center"/>
    </xf>
    <xf numFmtId="0" fontId="7" fillId="11" borderId="7" xfId="0" applyFont="1" applyFill="1" applyBorder="1" applyAlignment="1">
      <alignment horizontal="center" vertical="center"/>
    </xf>
    <xf numFmtId="0" fontId="7" fillId="13" borderId="4" xfId="0" applyFont="1" applyFill="1" applyBorder="1" applyAlignment="1">
      <alignment horizontal="center" vertical="center"/>
    </xf>
    <xf numFmtId="0" fontId="7" fillId="13" borderId="5" xfId="0" applyFont="1" applyFill="1" applyBorder="1" applyAlignment="1">
      <alignment horizontal="center" vertical="center"/>
    </xf>
    <xf numFmtId="0" fontId="7" fillId="13" borderId="8" xfId="0" applyFont="1" applyFill="1" applyBorder="1" applyAlignment="1">
      <alignment horizontal="center" vertical="center"/>
    </xf>
    <xf numFmtId="0" fontId="7" fillId="13" borderId="9" xfId="0" applyFont="1" applyFill="1" applyBorder="1" applyAlignment="1">
      <alignment horizontal="center" vertical="center"/>
    </xf>
    <xf numFmtId="0" fontId="7" fillId="11" borderId="11" xfId="0" applyFont="1" applyFill="1" applyBorder="1" applyAlignment="1">
      <alignment horizontal="center" vertical="center"/>
    </xf>
    <xf numFmtId="0" fontId="7" fillId="11" borderId="12"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12" xfId="0" applyFont="1" applyFill="1" applyBorder="1" applyAlignment="1">
      <alignment horizontal="center" vertical="center"/>
    </xf>
    <xf numFmtId="0" fontId="7" fillId="12" borderId="4" xfId="0" applyFont="1" applyFill="1" applyBorder="1" applyAlignment="1">
      <alignment horizontal="center" vertical="center"/>
    </xf>
    <xf numFmtId="0" fontId="7" fillId="12" borderId="15" xfId="0" applyFont="1" applyFill="1" applyBorder="1" applyAlignment="1">
      <alignment horizontal="center" vertical="center"/>
    </xf>
    <xf numFmtId="0" fontId="7" fillId="12" borderId="5" xfId="0" applyFont="1" applyFill="1" applyBorder="1" applyAlignment="1">
      <alignment horizontal="center" vertical="center"/>
    </xf>
    <xf numFmtId="0" fontId="7" fillId="12" borderId="11" xfId="0" applyFont="1" applyFill="1" applyBorder="1" applyAlignment="1">
      <alignment horizontal="center" vertical="center"/>
    </xf>
    <xf numFmtId="0" fontId="7" fillId="12" borderId="10" xfId="0" applyFont="1" applyFill="1" applyBorder="1" applyAlignment="1">
      <alignment horizontal="center" vertical="center"/>
    </xf>
    <xf numFmtId="0" fontId="7" fillId="12" borderId="12"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11" xfId="0" applyFont="1" applyFill="1" applyBorder="1" applyAlignment="1">
      <alignment horizontal="center" vertical="center"/>
    </xf>
    <xf numFmtId="0" fontId="7" fillId="7" borderId="12"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11" xfId="0" applyFont="1" applyFill="1" applyBorder="1" applyAlignment="1">
      <alignment horizontal="center" vertical="center"/>
    </xf>
    <xf numFmtId="0" fontId="7" fillId="8" borderId="12" xfId="0" applyFont="1" applyFill="1" applyBorder="1" applyAlignment="1">
      <alignment horizontal="center" vertical="center"/>
    </xf>
    <xf numFmtId="0" fontId="7" fillId="10" borderId="4" xfId="0" applyFont="1" applyFill="1" applyBorder="1" applyAlignment="1">
      <alignment horizontal="center" vertical="center"/>
    </xf>
    <xf numFmtId="0" fontId="7" fillId="10" borderId="15" xfId="0" applyFont="1" applyFill="1" applyBorder="1" applyAlignment="1">
      <alignment horizontal="center" vertical="center"/>
    </xf>
    <xf numFmtId="0" fontId="7" fillId="10" borderId="5" xfId="0" applyFont="1" applyFill="1" applyBorder="1" applyAlignment="1">
      <alignment horizontal="center" vertical="center"/>
    </xf>
    <xf numFmtId="0" fontId="7" fillId="10" borderId="11" xfId="0" applyFont="1" applyFill="1" applyBorder="1" applyAlignment="1">
      <alignment horizontal="center" vertical="center"/>
    </xf>
    <xf numFmtId="0" fontId="7" fillId="10" borderId="10" xfId="0" applyFont="1" applyFill="1" applyBorder="1" applyAlignment="1">
      <alignment horizontal="center" vertical="center"/>
    </xf>
    <xf numFmtId="0" fontId="7" fillId="10" borderId="12" xfId="0" applyFont="1" applyFill="1" applyBorder="1" applyAlignment="1">
      <alignment horizontal="center" vertical="center"/>
    </xf>
    <xf numFmtId="0" fontId="10" fillId="15" borderId="29" xfId="0" applyFont="1" applyFill="1" applyBorder="1" applyAlignment="1">
      <alignment vertical="center"/>
    </xf>
    <xf numFmtId="0" fontId="10" fillId="15" borderId="30" xfId="0" applyFont="1" applyFill="1" applyBorder="1" applyAlignment="1">
      <alignment vertical="center"/>
    </xf>
    <xf numFmtId="0" fontId="10" fillId="15" borderId="13" xfId="0" applyFont="1" applyFill="1" applyBorder="1" applyAlignment="1">
      <alignment vertical="center"/>
    </xf>
    <xf numFmtId="0" fontId="10" fillId="15" borderId="14" xfId="0" applyFont="1" applyFill="1" applyBorder="1" applyAlignment="1">
      <alignment vertical="center"/>
    </xf>
    <xf numFmtId="0" fontId="10" fillId="14" borderId="20" xfId="0" applyFont="1" applyFill="1" applyBorder="1" applyAlignment="1">
      <alignment horizontal="center" vertical="center"/>
    </xf>
    <xf numFmtId="0" fontId="10" fillId="14" borderId="21" xfId="0" applyFont="1" applyFill="1" applyBorder="1" applyAlignment="1">
      <alignment horizontal="center" vertical="center"/>
    </xf>
    <xf numFmtId="0" fontId="10" fillId="14" borderId="23" xfId="0" applyFont="1" applyFill="1" applyBorder="1" applyAlignment="1">
      <alignment horizontal="center" vertical="center"/>
    </xf>
    <xf numFmtId="0" fontId="10" fillId="14" borderId="24" xfId="0" applyFont="1" applyFill="1" applyBorder="1" applyAlignment="1">
      <alignment horizontal="center" vertical="center"/>
    </xf>
    <xf numFmtId="0" fontId="9" fillId="0" borderId="8" xfId="0" applyFont="1" applyBorder="1"/>
  </cellXfs>
  <cellStyles count="2">
    <cellStyle name="Normal" xfId="0" builtinId="0"/>
    <cellStyle name="Percent" xfId="1" builtinId="5"/>
  </cellStyles>
  <dxfs count="94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sz val="12"/>
      </font>
    </dxf>
    <dxf>
      <font>
        <sz val="12"/>
      </font>
    </dxf>
    <dxf>
      <font>
        <sz val="12"/>
      </font>
    </dxf>
    <dxf>
      <font>
        <sz val="12"/>
      </font>
    </dxf>
    <dxf>
      <numFmt numFmtId="14" formatCode="0.00%"/>
    </dxf>
    <dxf>
      <font>
        <sz val="12"/>
      </font>
    </dxf>
    <dxf>
      <font>
        <sz val="12"/>
      </font>
    </dxf>
    <dxf>
      <font>
        <sz val="12"/>
      </font>
    </dxf>
    <dxf>
      <font>
        <sz val="12"/>
      </font>
    </dxf>
    <dxf>
      <font>
        <sz val="12"/>
      </font>
    </dxf>
    <dxf>
      <font>
        <sz val="12"/>
      </font>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alignment horizontal="center" readingOrder="0"/>
    </dxf>
    <dxf>
      <alignment horizontal="center" readingOrder="0"/>
    </dxf>
    <dxf>
      <font>
        <b/>
      </font>
    </dxf>
    <dxf>
      <font>
        <b/>
      </font>
    </dxf>
    <dxf>
      <font>
        <b/>
      </font>
    </dxf>
    <dxf>
      <font>
        <b/>
      </font>
    </dxf>
    <dxf>
      <numFmt numFmtId="1"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sz val="12"/>
      </font>
    </dxf>
    <dxf>
      <font>
        <sz val="12"/>
      </font>
    </dxf>
    <dxf>
      <font>
        <sz val="12"/>
      </font>
    </dxf>
    <dxf>
      <font>
        <sz val="12"/>
      </font>
    </dxf>
    <dxf>
      <font>
        <sz val="12"/>
      </font>
    </dxf>
    <dxf>
      <alignment horizontal="center" readingOrder="0"/>
    </dxf>
    <dxf>
      <alignment horizontal="center" readingOrder="0"/>
    </dxf>
    <dxf>
      <alignment horizontal="center" readingOrder="0"/>
    </dxf>
    <dxf>
      <alignment horizontal="center" readingOrder="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alignment horizontal="center" readingOrder="0"/>
    </dxf>
    <dxf>
      <font>
        <sz val="12"/>
      </font>
    </dxf>
    <dxf>
      <font>
        <sz val="12"/>
      </font>
    </dxf>
    <dxf>
      <font>
        <sz val="12"/>
      </font>
    </dxf>
    <dxf>
      <font>
        <sz val="12"/>
      </font>
    </dxf>
    <dxf>
      <font>
        <sz val="12"/>
      </font>
    </dxf>
    <dxf>
      <numFmt numFmtId="2" formatCode="0.00"/>
    </dxf>
    <dxf>
      <numFmt numFmtId="3" formatCode="#,##0"/>
    </dxf>
    <dxf>
      <numFmt numFmtId="2" formatCode="0.00"/>
    </dxf>
    <dxf>
      <numFmt numFmtId="2" formatCode="0.00"/>
    </dxf>
    <dxf>
      <numFmt numFmtId="2" formatCode="0.00"/>
    </dxf>
    <dxf>
      <numFmt numFmtId="3" formatCode="#,##0"/>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sz val="12"/>
      </font>
    </dxf>
    <dxf>
      <font>
        <sz val="12"/>
      </font>
    </dxf>
    <dxf>
      <font>
        <sz val="12"/>
      </font>
    </dxf>
    <dxf>
      <font>
        <sz val="12"/>
      </font>
    </dxf>
    <dxf>
      <numFmt numFmtId="14" formatCode="0.00%"/>
    </dxf>
    <dxf>
      <font>
        <sz val="12"/>
      </font>
    </dxf>
    <dxf>
      <font>
        <sz val="12"/>
      </font>
    </dxf>
    <dxf>
      <font>
        <sz val="12"/>
      </font>
    </dxf>
    <dxf>
      <font>
        <sz val="12"/>
      </font>
    </dxf>
    <dxf>
      <font>
        <sz val="12"/>
      </font>
    </dxf>
    <dxf>
      <font>
        <sz val="12"/>
      </font>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alignment horizontal="center" readingOrder="0"/>
    </dxf>
    <dxf>
      <alignment horizontal="center" readingOrder="0"/>
    </dxf>
    <dxf>
      <font>
        <b/>
      </font>
    </dxf>
    <dxf>
      <font>
        <b/>
      </font>
    </dxf>
    <dxf>
      <font>
        <b/>
      </font>
    </dxf>
    <dxf>
      <font>
        <b/>
      </font>
    </dxf>
    <dxf>
      <numFmt numFmtId="1"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sz val="12"/>
      </font>
    </dxf>
    <dxf>
      <font>
        <sz val="12"/>
      </font>
    </dxf>
    <dxf>
      <font>
        <sz val="12"/>
      </font>
    </dxf>
    <dxf>
      <font>
        <sz val="12"/>
      </font>
    </dxf>
    <dxf>
      <font>
        <sz val="12"/>
      </font>
    </dxf>
    <dxf>
      <alignment horizontal="center" readingOrder="0"/>
    </dxf>
    <dxf>
      <alignment horizontal="center" readingOrder="0"/>
    </dxf>
    <dxf>
      <alignment horizontal="center" readingOrder="0"/>
    </dxf>
    <dxf>
      <alignment horizontal="center" readingOrder="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alignment horizontal="center" readingOrder="0"/>
    </dxf>
    <dxf>
      <font>
        <sz val="12"/>
      </font>
    </dxf>
    <dxf>
      <font>
        <sz val="12"/>
      </font>
    </dxf>
    <dxf>
      <font>
        <sz val="12"/>
      </font>
    </dxf>
    <dxf>
      <font>
        <sz val="12"/>
      </font>
    </dxf>
    <dxf>
      <font>
        <sz val="12"/>
      </font>
    </dxf>
    <dxf>
      <numFmt numFmtId="2" formatCode="0.00"/>
    </dxf>
    <dxf>
      <numFmt numFmtId="3" formatCode="#,##0"/>
    </dxf>
    <dxf>
      <numFmt numFmtId="2" formatCode="0.00"/>
    </dxf>
    <dxf>
      <numFmt numFmtId="2" formatCode="0.00"/>
    </dxf>
    <dxf>
      <numFmt numFmtId="2" formatCode="0.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sz val="12"/>
      </font>
    </dxf>
    <dxf>
      <font>
        <sz val="12"/>
      </font>
    </dxf>
    <dxf>
      <font>
        <sz val="12"/>
      </font>
    </dxf>
    <dxf>
      <font>
        <sz val="12"/>
      </font>
    </dxf>
    <dxf>
      <numFmt numFmtId="14" formatCode="0.00%"/>
    </dxf>
    <dxf>
      <font>
        <sz val="12"/>
      </font>
    </dxf>
    <dxf>
      <font>
        <sz val="12"/>
      </font>
    </dxf>
    <dxf>
      <font>
        <sz val="12"/>
      </font>
    </dxf>
    <dxf>
      <font>
        <sz val="12"/>
      </font>
    </dxf>
    <dxf>
      <font>
        <sz val="12"/>
      </font>
    </dxf>
    <dxf>
      <font>
        <sz val="12"/>
      </font>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alignment horizontal="center" readingOrder="0"/>
    </dxf>
    <dxf>
      <alignment horizontal="center" readingOrder="0"/>
    </dxf>
    <dxf>
      <font>
        <b/>
      </font>
    </dxf>
    <dxf>
      <font>
        <b/>
      </font>
    </dxf>
    <dxf>
      <font>
        <b/>
      </font>
    </dxf>
    <dxf>
      <font>
        <b/>
      </font>
    </dxf>
    <dxf>
      <numFmt numFmtId="1"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sz val="12"/>
      </font>
    </dxf>
    <dxf>
      <font>
        <sz val="12"/>
      </font>
    </dxf>
    <dxf>
      <font>
        <sz val="12"/>
      </font>
    </dxf>
    <dxf>
      <font>
        <sz val="12"/>
      </font>
    </dxf>
    <dxf>
      <font>
        <sz val="12"/>
      </font>
    </dxf>
    <dxf>
      <alignment horizontal="center" readingOrder="0"/>
    </dxf>
    <dxf>
      <alignment horizontal="center" readingOrder="0"/>
    </dxf>
    <dxf>
      <alignment horizontal="center" readingOrder="0"/>
    </dxf>
    <dxf>
      <alignment horizontal="center" readingOrder="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alignment horizontal="center" readingOrder="0"/>
    </dxf>
    <dxf>
      <font>
        <sz val="12"/>
      </font>
    </dxf>
    <dxf>
      <font>
        <sz val="12"/>
      </font>
    </dxf>
    <dxf>
      <font>
        <sz val="12"/>
      </font>
    </dxf>
    <dxf>
      <font>
        <sz val="12"/>
      </font>
    </dxf>
    <dxf>
      <font>
        <sz val="12"/>
      </font>
    </dxf>
    <dxf>
      <numFmt numFmtId="2" formatCode="0.00"/>
    </dxf>
    <dxf>
      <numFmt numFmtId="3" formatCode="#,##0"/>
    </dxf>
    <dxf>
      <numFmt numFmtId="2" formatCode="0.00"/>
    </dxf>
    <dxf>
      <numFmt numFmtId="2" formatCode="0.00"/>
    </dxf>
    <dxf>
      <numFmt numFmtId="2" formatCode="0.00"/>
    </dxf>
    <dxf>
      <numFmt numFmtId="3" formatCode="#,##0"/>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sz val="12"/>
      </font>
    </dxf>
    <dxf>
      <font>
        <sz val="12"/>
      </font>
    </dxf>
    <dxf>
      <font>
        <sz val="12"/>
      </font>
    </dxf>
    <dxf>
      <font>
        <sz val="12"/>
      </font>
    </dxf>
    <dxf>
      <numFmt numFmtId="14" formatCode="0.00%"/>
    </dxf>
    <dxf>
      <font>
        <sz val="12"/>
      </font>
    </dxf>
    <dxf>
      <font>
        <sz val="12"/>
      </font>
    </dxf>
    <dxf>
      <font>
        <sz val="12"/>
      </font>
    </dxf>
    <dxf>
      <font>
        <sz val="12"/>
      </font>
    </dxf>
    <dxf>
      <font>
        <sz val="12"/>
      </font>
    </dxf>
    <dxf>
      <font>
        <sz val="12"/>
      </font>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alignment horizontal="center" readingOrder="0"/>
    </dxf>
    <dxf>
      <alignment horizontal="center" readingOrder="0"/>
    </dxf>
    <dxf>
      <font>
        <b/>
      </font>
    </dxf>
    <dxf>
      <font>
        <b/>
      </font>
    </dxf>
    <dxf>
      <font>
        <b/>
      </font>
    </dxf>
    <dxf>
      <font>
        <b/>
      </font>
    </dxf>
    <dxf>
      <numFmt numFmtId="1"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sz val="12"/>
      </font>
    </dxf>
    <dxf>
      <font>
        <sz val="12"/>
      </font>
    </dxf>
    <dxf>
      <font>
        <sz val="12"/>
      </font>
    </dxf>
    <dxf>
      <font>
        <sz val="12"/>
      </font>
    </dxf>
    <dxf>
      <font>
        <sz val="12"/>
      </font>
    </dxf>
    <dxf>
      <alignment horizontal="center" readingOrder="0"/>
    </dxf>
    <dxf>
      <alignment horizontal="center" readingOrder="0"/>
    </dxf>
    <dxf>
      <alignment horizontal="center" readingOrder="0"/>
    </dxf>
    <dxf>
      <alignment horizontal="center" readingOrder="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alignment horizontal="center" readingOrder="0"/>
    </dxf>
    <dxf>
      <font>
        <sz val="12"/>
      </font>
    </dxf>
    <dxf>
      <font>
        <sz val="12"/>
      </font>
    </dxf>
    <dxf>
      <font>
        <sz val="12"/>
      </font>
    </dxf>
    <dxf>
      <font>
        <sz val="12"/>
      </font>
    </dxf>
    <dxf>
      <font>
        <sz val="12"/>
      </font>
    </dxf>
    <dxf>
      <numFmt numFmtId="2" formatCode="0.00"/>
    </dxf>
    <dxf>
      <numFmt numFmtId="3" formatCode="#,##0"/>
    </dxf>
    <dxf>
      <numFmt numFmtId="2" formatCode="0.00"/>
    </dxf>
    <dxf>
      <numFmt numFmtId="2" formatCode="0.00"/>
    </dxf>
    <dxf>
      <numFmt numFmtId="2" formatCode="0.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horizontal="center" readingOrder="0"/>
    </dxf>
    <dxf>
      <font>
        <sz val="12"/>
      </font>
    </dxf>
    <dxf>
      <font>
        <sz val="12"/>
      </font>
    </dxf>
    <dxf>
      <font>
        <sz val="12"/>
      </font>
    </dxf>
    <dxf>
      <font>
        <sz val="12"/>
      </font>
    </dxf>
    <dxf>
      <numFmt numFmtId="2" formatCode="0.00"/>
    </dxf>
    <dxf>
      <numFmt numFmtId="2" formatCode="0.00"/>
    </dxf>
    <dxf>
      <numFmt numFmtId="2" formatCode="0.00"/>
    </dxf>
    <dxf>
      <numFmt numFmtId="3" formatCode="#,##0"/>
    </dxf>
    <dxf>
      <numFmt numFmtId="2" formatCode="0.00"/>
    </dxf>
    <dxf>
      <numFmt numFmtId="3" formatCode="#,##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readingOrder="0"/>
    </dxf>
    <dxf>
      <fill>
        <patternFill patternType="solid">
          <bgColor theme="0"/>
        </patternFill>
      </fill>
    </dxf>
    <dxf>
      <font>
        <b/>
      </font>
    </dxf>
    <dxf>
      <numFmt numFmtId="1" formatCode="0"/>
    </dxf>
    <dxf>
      <numFmt numFmtId="1" formatCode="0"/>
    </dxf>
    <dxf>
      <numFmt numFmtId="3" formatCode="#,##0"/>
    </dxf>
    <dxf>
      <numFmt numFmtId="3" formatCode="#,##0"/>
    </dxf>
    <dxf>
      <numFmt numFmtId="2" formatCode="0.00"/>
    </dxf>
    <dxf>
      <numFmt numFmtId="19" formatCode="yyyy/mm/dd"/>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theme="1"/>
        <name val="Arial"/>
        <scheme val="none"/>
      </font>
      <numFmt numFmtId="2"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numFmt numFmtId="19" formatCode="yyyy/mm/dd"/>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i val="0"/>
        <strike val="0"/>
        <condense val="0"/>
        <extend val="0"/>
        <outline val="0"/>
        <shadow val="0"/>
        <u val="none"/>
        <vertAlign val="baseline"/>
        <sz val="10"/>
        <color theme="0"/>
        <name val="Arial"/>
        <scheme val="none"/>
      </font>
      <fill>
        <patternFill patternType="solid">
          <fgColor theme="4"/>
          <bgColor theme="4"/>
        </patternFill>
      </fill>
    </dxf>
    <dxf>
      <font>
        <sz val="12"/>
      </font>
    </dxf>
    <dxf>
      <font>
        <sz val="12"/>
      </font>
    </dxf>
    <dxf>
      <font>
        <sz val="12"/>
      </font>
    </dxf>
    <dxf>
      <font>
        <sz val="12"/>
      </font>
    </dxf>
    <dxf>
      <alignment horizontal="center" readingOrder="0"/>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top style="thin">
          <color indexed="64"/>
        </top>
        <horizontal style="thin">
          <color rgb="FFEE82A3"/>
        </horizontal>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b/>
      </font>
    </dxf>
    <dxf>
      <font>
        <b/>
      </font>
    </dxf>
    <dxf>
      <font>
        <b/>
      </font>
    </dxf>
    <dxf>
      <font>
        <b/>
      </font>
    </dxf>
    <dxf>
      <font>
        <b/>
      </font>
    </dxf>
    <dxf>
      <font>
        <sz val="12"/>
      </font>
    </dxf>
    <dxf>
      <font>
        <sz val="12"/>
      </font>
    </dxf>
    <dxf>
      <font>
        <sz val="12"/>
      </font>
    </dxf>
    <dxf>
      <font>
        <sz val="12"/>
      </font>
    </dxf>
    <dxf>
      <font>
        <sz val="12"/>
      </font>
    </dxf>
    <dxf>
      <numFmt numFmtId="3" formatCode="#,##0"/>
    </dxf>
    <dxf>
      <numFmt numFmtId="2" formatCode="0.00"/>
    </dxf>
    <dxf>
      <numFmt numFmtId="3" formatCode="#,##0"/>
    </dxf>
    <dxf>
      <numFmt numFmtId="3" formatCode="#,##0"/>
    </dxf>
    <dxf>
      <numFmt numFmtId="1" formatCode="0"/>
    </dxf>
    <dxf>
      <numFmt numFmtId="1" formatCode="0"/>
    </dxf>
    <dxf>
      <font>
        <sz val="12"/>
      </font>
    </dxf>
    <dxf>
      <font>
        <sz val="12"/>
      </font>
    </dxf>
    <dxf>
      <font>
        <sz val="12"/>
      </font>
    </dxf>
    <dxf>
      <font>
        <sz val="12"/>
      </font>
    </dxf>
    <dxf>
      <font>
        <sz val="12"/>
      </font>
    </dxf>
    <dxf>
      <alignment horizontal="center" readingOrder="0"/>
    </dxf>
    <dxf>
      <alignment horizontal="center" readingOrder="0"/>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alignment horizontal="center" readingOrder="0"/>
    </dxf>
    <dxf>
      <numFmt numFmtId="2" formatCode="0.00"/>
    </dxf>
    <dxf>
      <font>
        <b/>
      </font>
    </dxf>
    <dxf>
      <fill>
        <patternFill patternType="solid">
          <bgColor theme="0"/>
        </patternFill>
      </fill>
    </dxf>
    <dxf>
      <alignment horizontal="center" readingOrder="0"/>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ont>
        <sz val="12"/>
      </font>
    </dxf>
    <dxf>
      <font>
        <sz val="12"/>
      </font>
    </dxf>
    <dxf>
      <font>
        <sz val="12"/>
      </font>
    </dxf>
    <dxf>
      <font>
        <sz val="12"/>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2" formatCode="0.00"/>
    </dxf>
    <dxf>
      <alignment horizontal="center" readingOrder="0"/>
    </dxf>
    <dxf>
      <border>
        <left style="medium">
          <color auto="1"/>
        </left>
      </border>
    </dxf>
    <dxf>
      <border>
        <vertical style="medium">
          <color theme="4" tint="-0.24994659260841701"/>
        </vertical>
        <horizontal style="medium">
          <color theme="4" tint="-0.24994659260841701"/>
        </horizontal>
      </border>
    </dxf>
    <dxf>
      <border>
        <top style="medium">
          <color theme="4" tint="-0.24994659260841701"/>
        </top>
        <bottom style="medium">
          <color theme="4" tint="-0.24994659260841701"/>
        </bottom>
        <vertical style="medium">
          <color auto="1"/>
        </vertical>
        <horizontal style="medium">
          <color auto="1"/>
        </horizontal>
      </border>
    </dxf>
    <dxf>
      <alignment horizontal="center" readingOrder="0"/>
    </dxf>
    <dxf>
      <alignment horizontal="center" readingOrder="0"/>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alignment horizontal="center" readingOrder="0"/>
    </dxf>
    <dxf>
      <alignment horizontal="center" readingOrder="0"/>
    </dxf>
    <dxf>
      <alignment horizontal="center" readingOrder="0"/>
    </dxf>
    <dxf>
      <font>
        <sz val="12"/>
      </font>
    </dxf>
    <dxf>
      <font>
        <sz val="12"/>
      </font>
    </dxf>
    <dxf>
      <font>
        <sz val="12"/>
      </font>
    </dxf>
    <dxf>
      <font>
        <sz val="12"/>
      </font>
    </dxf>
    <dxf>
      <font>
        <sz val="12"/>
      </font>
    </dxf>
    <dxf>
      <alignment horizontal="center" readingOrder="0"/>
    </dxf>
    <dxf>
      <alignment horizontal="center" readingOrder="0"/>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ill>
        <patternFill patternType="solid">
          <bgColor theme="7" tint="0.59999389629810485"/>
        </patternFill>
      </fill>
    </dxf>
    <dxf>
      <fill>
        <patternFill patternType="solid">
          <bgColor theme="7" tint="0.59999389629810485"/>
        </patternFill>
      </fill>
    </dxf>
    <dxf>
      <border>
        <vertical style="thin">
          <color theme="1"/>
        </vertical>
      </border>
    </dxf>
    <dxf>
      <border>
        <top style="medium">
          <color indexed="64"/>
        </top>
        <bottom style="medium">
          <color indexed="64"/>
        </bottom>
        <vertical style="medium">
          <color indexed="64"/>
        </vertical>
      </border>
    </dxf>
    <dxf>
      <border>
        <top style="medium">
          <color indexed="64"/>
        </top>
        <bottom style="medium">
          <color indexed="64"/>
        </bottom>
        <vertical style="medium">
          <color indexed="64"/>
        </vertical>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b/>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alignment horizontal="center" readingOrder="0"/>
    </dxf>
    <dxf>
      <font>
        <sz val="12"/>
      </font>
    </dxf>
    <dxf>
      <font>
        <sz val="12"/>
      </font>
    </dxf>
    <dxf>
      <font>
        <sz val="12"/>
      </font>
    </dxf>
    <dxf>
      <font>
        <sz val="12"/>
      </font>
    </dxf>
    <dxf>
      <font>
        <sz val="12"/>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1" formatCode="0"/>
    </dxf>
    <dxf>
      <font>
        <b/>
      </font>
    </dxf>
    <dxf>
      <font>
        <b/>
      </font>
    </dxf>
    <dxf>
      <font>
        <b/>
      </font>
    </dxf>
    <dxf>
      <font>
        <b/>
      </font>
    </dxf>
    <dxf>
      <alignment horizontal="center" readingOrder="0"/>
    </dxf>
    <dxf>
      <alignment horizontal="center" readingOrder="0"/>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font>
        <sz val="12"/>
      </font>
    </dxf>
    <dxf>
      <font>
        <sz val="12"/>
      </font>
    </dxf>
    <dxf>
      <font>
        <sz val="12"/>
      </font>
    </dxf>
    <dxf>
      <font>
        <sz val="12"/>
      </font>
    </dxf>
    <dxf>
      <font>
        <sz val="12"/>
      </font>
    </dxf>
    <dxf>
      <font>
        <sz val="12"/>
      </font>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
      <font>
        <color theme="0"/>
      </font>
      <fill>
        <patternFill>
          <bgColor rgb="FF000000"/>
        </patternFill>
      </fill>
    </dxf>
    <dxf>
      <fill>
        <patternFill>
          <fgColor theme="1"/>
          <bgColor theme="1"/>
        </patternFill>
      </fill>
      <border diagonalUp="0" diagonalDown="0">
        <left/>
        <right/>
        <top/>
        <bottom/>
        <vertical/>
        <horizontal/>
      </border>
    </dxf>
  </dxfs>
  <tableStyles count="1" defaultTableStyle="TableStyleMedium2" defaultPivotStyle="PivotStyleLight16">
    <tableStyle name="Slicer Style 1" pivot="0" table="0" count="10">
      <tableStyleElement type="wholeTable" dxfId="945"/>
      <tableStyleElement type="headerRow" dxfId="944"/>
    </tableStyle>
  </tableStyles>
  <colors>
    <mruColors>
      <color rgb="FF000000"/>
      <color rgb="FF00CC99"/>
      <color rgb="FF00FF99"/>
      <color rgb="FF66FFCC"/>
      <color rgb="FF00FFCC"/>
      <color rgb="FFFF33CC"/>
      <color rgb="FFFF66CC"/>
      <color rgb="FFFFFF66"/>
      <color rgb="FF00FFFF"/>
      <color rgb="FFFFFFCC"/>
    </mruColors>
  </colors>
  <extLst>
    <ext xmlns:x14="http://schemas.microsoft.com/office/spreadsheetml/2009/9/main" uri="{46F421CA-312F-682f-3DD2-61675219B42D}">
      <x14:dxfs count="8">
        <dxf>
          <fill>
            <patternFill>
              <bgColor rgb="FFFFFFCC"/>
            </patternFill>
          </fill>
        </dxf>
        <dxf>
          <fill>
            <patternFill>
              <bgColor theme="1" tint="4.9989318521683403E-2"/>
            </patternFill>
          </fill>
        </dxf>
        <dxf>
          <fill>
            <patternFill>
              <bgColor rgb="FFFFFF00"/>
            </patternFill>
          </fill>
        </dxf>
        <dxf>
          <fill>
            <patternFill>
              <bgColor rgb="FFFFFF66"/>
            </patternFill>
          </fill>
        </dxf>
        <dxf>
          <fill>
            <patternFill>
              <fgColor theme="0"/>
              <bgColor theme="1" tint="4.9989318521683403E-2"/>
            </patternFill>
          </fill>
          <border>
            <left style="thin">
              <color auto="1"/>
            </left>
            <right style="thin">
              <color auto="1"/>
            </right>
            <top style="thin">
              <color auto="1"/>
            </top>
            <bottom style="thin">
              <color auto="1"/>
            </bottom>
          </border>
        </dxf>
        <dxf>
          <fill>
            <patternFill>
              <bgColor rgb="FF00FFCC"/>
            </patternFill>
          </fill>
          <border diagonalUp="0" diagonalDown="0">
            <left style="medium">
              <color auto="1"/>
            </left>
            <right style="medium">
              <color auto="1"/>
            </right>
            <top style="medium">
              <color auto="1"/>
            </top>
            <bottom style="medium">
              <color auto="1"/>
            </bottom>
            <vertical/>
            <horizontal/>
          </border>
        </dxf>
        <dxf>
          <fill>
            <patternFill>
              <bgColor rgb="FF000000"/>
            </patternFill>
          </fill>
        </dxf>
        <dxf>
          <fill>
            <patternFill>
              <bgColor rgb="FF00FFC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[E-commerce_Sales_Dashboard_Jyoti.xlsx]Pivot_tbl!monthly revenue trend</c:name>
    <c:fmtId val="26"/>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r>
              <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rPr>
              <a:t>Monthly Revenue Trend</a:t>
            </a:r>
          </a:p>
        </c:rich>
      </c:tx>
      <c:layout>
        <c:manualLayout>
          <c:xMode val="edge"/>
          <c:yMode val="edge"/>
          <c:x val="1.688343775771704E-2"/>
          <c:y val="4.0506318347767474E-2"/>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endParaRPr lang="en-US"/>
        </a:p>
      </c:txPr>
    </c:title>
    <c:autoTitleDeleted val="0"/>
    <c:pivotFmts>
      <c:pivotFmt>
        <c:idx val="0"/>
      </c:pivotFmt>
      <c:pivotFmt>
        <c:idx val="1"/>
      </c:pivotFmt>
      <c:pivotFmt>
        <c:idx val="2"/>
        <c:spPr>
          <a:noFill/>
          <a:ln w="22225" cap="rnd" cmpd="sng" algn="ctr">
            <a:solidFill>
              <a:schemeClr val="accent6"/>
            </a:solidFill>
            <a:miter lim="800000"/>
          </a:ln>
          <a:effectLst/>
        </c:spPr>
        <c:marker>
          <c:symbol val="circle"/>
          <c:size val="4"/>
          <c:spPr>
            <a:solidFill>
              <a:schemeClr val="accent6">
                <a:lumMod val="60000"/>
                <a:lumOff val="40000"/>
              </a:schemeClr>
            </a:solidFill>
            <a:ln>
              <a:noFill/>
            </a:ln>
            <a:effectLst/>
          </c:spPr>
        </c:marker>
      </c:pivotFmt>
      <c:pivotFmt>
        <c:idx val="3"/>
        <c:spPr>
          <a:noFill/>
          <a:ln w="22225" cap="rnd" cmpd="sng" algn="ctr">
            <a:solidFill>
              <a:schemeClr val="accent6"/>
            </a:solidFill>
            <a:miter lim="800000"/>
          </a:ln>
          <a:effectLst/>
        </c:spPr>
        <c:marker>
          <c:symbol val="circle"/>
          <c:size val="4"/>
          <c:spPr>
            <a:solidFill>
              <a:schemeClr val="accent6">
                <a:lumMod val="60000"/>
                <a:lumOff val="40000"/>
              </a:schemeClr>
            </a:solidFill>
            <a:ln>
              <a:noFill/>
            </a:ln>
            <a:effectLst/>
          </c:spPr>
        </c:marker>
      </c:pivotFmt>
      <c:pivotFmt>
        <c:idx val="4"/>
        <c:spPr>
          <a:ln w="22225" cap="rnd">
            <a:gradFill>
              <a:gsLst>
                <a:gs pos="0">
                  <a:srgbClr val="00FF99"/>
                </a:gs>
                <a:gs pos="100000">
                  <a:srgbClr val="00CC99"/>
                </a:gs>
              </a:gsLst>
              <a:lin ang="5400000" scaled="1"/>
            </a:gradFill>
          </a:ln>
          <a:effectLst/>
        </c:spPr>
        <c:marker>
          <c:symbol val="circle"/>
          <c:size val="4"/>
          <c:spPr>
            <a:noFill/>
            <a:ln>
              <a:noFill/>
            </a:ln>
            <a:effectLst/>
          </c:spPr>
        </c:marker>
      </c:pivotFmt>
    </c:pivotFmts>
    <c:plotArea>
      <c:layout/>
      <c:lineChart>
        <c:grouping val="standard"/>
        <c:varyColors val="0"/>
        <c:ser>
          <c:idx val="0"/>
          <c:order val="0"/>
          <c:tx>
            <c:strRef>
              <c:f>Pivot_tbl!$G$21</c:f>
              <c:strCache>
                <c:ptCount val="1"/>
                <c:pt idx="0">
                  <c:v>Total</c:v>
                </c:pt>
              </c:strCache>
            </c:strRef>
          </c:tx>
          <c:spPr>
            <a:ln w="22225" cap="rnd">
              <a:gradFill>
                <a:gsLst>
                  <a:gs pos="0">
                    <a:srgbClr val="00FF99"/>
                  </a:gs>
                  <a:gs pos="100000">
                    <a:srgbClr val="00CC99"/>
                  </a:gs>
                </a:gsLst>
                <a:lin ang="5400000" scaled="1"/>
              </a:gradFill>
            </a:ln>
            <a:effectLst/>
          </c:spPr>
          <c:marker>
            <c:symbol val="circle"/>
            <c:size val="4"/>
            <c:spPr>
              <a:noFill/>
              <a:ln>
                <a:noFill/>
              </a:ln>
              <a:effectLst/>
            </c:spPr>
          </c:marker>
          <c:trendline>
            <c:spPr>
              <a:ln w="25400" cap="rnd">
                <a:solidFill>
                  <a:schemeClr val="accent6">
                    <a:alpha val="50000"/>
                  </a:schemeClr>
                </a:solidFill>
              </a:ln>
              <a:effectLst/>
            </c:spPr>
            <c:trendlineType val="linear"/>
            <c:dispRSqr val="0"/>
            <c:dispEq val="0"/>
          </c:trendline>
          <c:trendline>
            <c:spPr>
              <a:ln w="25400" cap="rnd">
                <a:solidFill>
                  <a:srgbClr val="FFFF00"/>
                </a:solidFill>
              </a:ln>
              <a:effectLst/>
            </c:spPr>
            <c:trendlineType val="linear"/>
            <c:dispRSqr val="0"/>
            <c:dispEq val="0"/>
          </c:trendline>
          <c:cat>
            <c:multiLvlStrRef>
              <c:f>Pivot_tbl!$E$22:$F$57</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Pivot_tbl!$G$22:$G$57</c:f>
              <c:numCache>
                <c:formatCode>#,##0</c:formatCode>
                <c:ptCount val="36"/>
                <c:pt idx="0">
                  <c:v>2922552.1173999999</c:v>
                </c:pt>
                <c:pt idx="1">
                  <c:v>2559970.4013</c:v>
                </c:pt>
                <c:pt idx="2">
                  <c:v>2260864.1969999997</c:v>
                </c:pt>
                <c:pt idx="3">
                  <c:v>3132069.9397999994</c:v>
                </c:pt>
                <c:pt idx="4">
                  <c:v>2164575.4035999998</c:v>
                </c:pt>
                <c:pt idx="5">
                  <c:v>2135679.9699999997</c:v>
                </c:pt>
                <c:pt idx="6">
                  <c:v>2931066.6947000003</c:v>
                </c:pt>
                <c:pt idx="7">
                  <c:v>2584370.948700001</c:v>
                </c:pt>
                <c:pt idx="8">
                  <c:v>1475744.9850000001</c:v>
                </c:pt>
                <c:pt idx="9">
                  <c:v>3561640.0475999988</c:v>
                </c:pt>
                <c:pt idx="10">
                  <c:v>2081706.2837999996</c:v>
                </c:pt>
                <c:pt idx="11">
                  <c:v>2713896.0691999998</c:v>
                </c:pt>
                <c:pt idx="12">
                  <c:v>3084119.8058000002</c:v>
                </c:pt>
                <c:pt idx="13">
                  <c:v>2130178.3635</c:v>
                </c:pt>
                <c:pt idx="14">
                  <c:v>1487192.3474000001</c:v>
                </c:pt>
                <c:pt idx="15">
                  <c:v>2630012.0241</c:v>
                </c:pt>
                <c:pt idx="16">
                  <c:v>1807087.0000000002</c:v>
                </c:pt>
                <c:pt idx="17">
                  <c:v>3308095.1679000002</c:v>
                </c:pt>
                <c:pt idx="18">
                  <c:v>1480837.9983999999</c:v>
                </c:pt>
                <c:pt idx="19">
                  <c:v>3220053.4197999998</c:v>
                </c:pt>
                <c:pt idx="20">
                  <c:v>753606.39250000007</c:v>
                </c:pt>
                <c:pt idx="21">
                  <c:v>2406374.4168999996</c:v>
                </c:pt>
                <c:pt idx="22">
                  <c:v>2603175.7703000009</c:v>
                </c:pt>
                <c:pt idx="23">
                  <c:v>2266595.6646000003</c:v>
                </c:pt>
                <c:pt idx="24">
                  <c:v>1736976.2259000002</c:v>
                </c:pt>
                <c:pt idx="25">
                  <c:v>2640283.4177000001</c:v>
                </c:pt>
                <c:pt idx="26">
                  <c:v>3000696.5490000006</c:v>
                </c:pt>
                <c:pt idx="27">
                  <c:v>2300182.1344999997</c:v>
                </c:pt>
                <c:pt idx="28">
                  <c:v>1525306.8550999998</c:v>
                </c:pt>
                <c:pt idx="29">
                  <c:v>2887512.4574999986</c:v>
                </c:pt>
                <c:pt idx="30">
                  <c:v>2588771.4400999998</c:v>
                </c:pt>
                <c:pt idx="31">
                  <c:v>1618001.4516000003</c:v>
                </c:pt>
                <c:pt idx="32">
                  <c:v>2205996.7417999995</c:v>
                </c:pt>
                <c:pt idx="33">
                  <c:v>3902477.8266000003</c:v>
                </c:pt>
                <c:pt idx="34">
                  <c:v>2106869.9274999998</c:v>
                </c:pt>
                <c:pt idx="35">
                  <c:v>3117971.6048999997</c:v>
                </c:pt>
              </c:numCache>
            </c:numRef>
          </c:val>
          <c:smooth val="0"/>
        </c:ser>
        <c:dLbls>
          <c:showLegendKey val="0"/>
          <c:showVal val="0"/>
          <c:showCatName val="0"/>
          <c:showSerName val="0"/>
          <c:showPercent val="0"/>
          <c:showBubbleSize val="0"/>
        </c:dLbls>
        <c:marker val="1"/>
        <c:smooth val="0"/>
        <c:axId val="224333320"/>
        <c:axId val="224331360"/>
      </c:lineChart>
      <c:catAx>
        <c:axId val="2243333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spPr>
          <a:noFill/>
          <a:ln>
            <a:noFill/>
          </a:ln>
          <a:effectLst>
            <a:outerShdw blurRad="50800" dist="50800" dir="7200000" sx="1000" sy="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331360"/>
        <c:crosses val="autoZero"/>
        <c:auto val="1"/>
        <c:lblAlgn val="ctr"/>
        <c:lblOffset val="100"/>
        <c:noMultiLvlLbl val="0"/>
      </c:catAx>
      <c:valAx>
        <c:axId val="224331360"/>
        <c:scaling>
          <c:orientation val="minMax"/>
        </c:scaling>
        <c:delete val="0"/>
        <c:axPos val="l"/>
        <c:majorGridlines>
          <c:spPr>
            <a:ln w="9525" cap="flat" cmpd="sng" algn="ctr">
              <a:solidFill>
                <a:schemeClr val="bg1">
                  <a:lumMod val="50000"/>
                  <a:alpha val="97000"/>
                </a:schemeClr>
              </a:soli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333320"/>
        <c:crosses val="autoZero"/>
        <c:crossBetween val="between"/>
      </c:valAx>
      <c:spPr>
        <a:noFill/>
        <a:ln>
          <a:noFill/>
        </a:ln>
        <a:effectLst/>
      </c:spPr>
    </c:plotArea>
    <c:plotVisOnly val="1"/>
    <c:dispBlanksAs val="gap"/>
    <c:showDLblsOverMax val="0"/>
  </c:chart>
  <c:spPr>
    <a:solidFill>
      <a:schemeClr val="tx1">
        <a:lumMod val="95000"/>
        <a:lumOff val="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[E-commerce_Sales_Dashboard_Jyoti.xlsx]Pivot_tbl!top products by revenue</c:name>
    <c:fmtId val="43"/>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r>
              <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rPr>
              <a:t>Top Products by Revenue</a:t>
            </a:r>
          </a:p>
        </c:rich>
      </c:tx>
      <c:layout>
        <c:manualLayout>
          <c:xMode val="edge"/>
          <c:yMode val="edge"/>
          <c:x val="2.2160529715762271E-2"/>
          <c:y val="1.9319002622263045E-2"/>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endParaRPr lang="en-US"/>
        </a:p>
      </c:txPr>
    </c:title>
    <c:autoTitleDeleted val="0"/>
    <c:pivotFmts>
      <c:pivotFmt>
        <c:idx val="0"/>
      </c:pivotFmt>
      <c:pivotFmt>
        <c:idx val="1"/>
      </c:pivotFmt>
      <c:pivotFmt>
        <c:idx val="2"/>
        <c:spPr>
          <a:gradFill>
            <a:gsLst>
              <a:gs pos="0">
                <a:schemeClr val="tx1"/>
              </a:gs>
              <a:gs pos="100000">
                <a:srgbClr val="00FF99"/>
              </a:gs>
            </a:gsLst>
            <a:lin ang="18900000" scaled="1"/>
          </a:gradFill>
          <a:ln w="9525" cap="flat" cmpd="sng" algn="ctr">
            <a:noFill/>
            <a:miter lim="800000"/>
          </a:ln>
          <a:effectLst>
            <a:softEdge rad="12700"/>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Pivot_tbl!$B$4</c:f>
              <c:strCache>
                <c:ptCount val="1"/>
                <c:pt idx="0">
                  <c:v>Total</c:v>
                </c:pt>
              </c:strCache>
            </c:strRef>
          </c:tx>
          <c:spPr>
            <a:gradFill>
              <a:gsLst>
                <a:gs pos="0">
                  <a:schemeClr val="tx1"/>
                </a:gs>
                <a:gs pos="100000">
                  <a:srgbClr val="00FF99"/>
                </a:gs>
              </a:gsLst>
              <a:lin ang="18900000" scaled="1"/>
            </a:gradFill>
            <a:ln w="9525" cap="flat" cmpd="sng" algn="ctr">
              <a:noFill/>
              <a:miter lim="800000"/>
            </a:ln>
            <a:effectLst>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trendline>
            <c:spPr>
              <a:ln w="25400" cap="rnd">
                <a:gradFill>
                  <a:gsLst>
                    <a:gs pos="0">
                      <a:srgbClr val="FF0000"/>
                    </a:gs>
                    <a:gs pos="100000">
                      <a:srgbClr val="292929"/>
                    </a:gs>
                  </a:gsLst>
                  <a:lin ang="5400000" scaled="1"/>
                </a:gradFill>
              </a:ln>
              <a:effectLst/>
            </c:spPr>
            <c:trendlineType val="linear"/>
            <c:dispRSqr val="0"/>
            <c:dispEq val="0"/>
          </c:trendline>
          <c:cat>
            <c:strRef>
              <c:f>Pivot_tbl!$A$5:$A$14</c:f>
              <c:strCache>
                <c:ptCount val="10"/>
                <c:pt idx="0">
                  <c:v>Coffee Beans 18</c:v>
                </c:pt>
                <c:pt idx="1">
                  <c:v>Cookbook 93</c:v>
                </c:pt>
                <c:pt idx="2">
                  <c:v>Handbag 7</c:v>
                </c:pt>
                <c:pt idx="3">
                  <c:v>Laptop 87</c:v>
                </c:pt>
                <c:pt idx="4">
                  <c:v>Puzzle Set 141</c:v>
                </c:pt>
                <c:pt idx="5">
                  <c:v>Puzzle Set 8</c:v>
                </c:pt>
                <c:pt idx="6">
                  <c:v>Smartphone 149</c:v>
                </c:pt>
                <c:pt idx="7">
                  <c:v>Smartwatch 114</c:v>
                </c:pt>
                <c:pt idx="8">
                  <c:v>Smartwatch 56</c:v>
                </c:pt>
                <c:pt idx="9">
                  <c:v>Water Purifier 28</c:v>
                </c:pt>
              </c:strCache>
            </c:strRef>
          </c:cat>
          <c:val>
            <c:numRef>
              <c:f>Pivot_tbl!$B$5:$B$14</c:f>
              <c:numCache>
                <c:formatCode>#,##0</c:formatCode>
                <c:ptCount val="10"/>
                <c:pt idx="0">
                  <c:v>1581824.9845</c:v>
                </c:pt>
                <c:pt idx="1">
                  <c:v>1672585.7795999998</c:v>
                </c:pt>
                <c:pt idx="2">
                  <c:v>1521222.5279999999</c:v>
                </c:pt>
                <c:pt idx="3">
                  <c:v>1471877.0811999999</c:v>
                </c:pt>
                <c:pt idx="4">
                  <c:v>2194859.9213999999</c:v>
                </c:pt>
                <c:pt idx="5">
                  <c:v>1423853.1831999996</c:v>
                </c:pt>
                <c:pt idx="6">
                  <c:v>1672271.162</c:v>
                </c:pt>
                <c:pt idx="7">
                  <c:v>1833205.9620999999</c:v>
                </c:pt>
                <c:pt idx="8">
                  <c:v>1995928.9080000001</c:v>
                </c:pt>
                <c:pt idx="9">
                  <c:v>1763920.2671999999</c:v>
                </c:pt>
              </c:numCache>
            </c:numRef>
          </c:val>
        </c:ser>
        <c:dLbls>
          <c:dLblPos val="outEnd"/>
          <c:showLegendKey val="0"/>
          <c:showVal val="1"/>
          <c:showCatName val="0"/>
          <c:showSerName val="0"/>
          <c:showPercent val="0"/>
          <c:showBubbleSize val="0"/>
        </c:dLbls>
        <c:gapWidth val="182"/>
        <c:overlap val="-51"/>
        <c:axId val="224332536"/>
        <c:axId val="192633984"/>
      </c:barChart>
      <c:catAx>
        <c:axId val="224332536"/>
        <c:scaling>
          <c:orientation val="minMax"/>
        </c:scaling>
        <c:delete val="0"/>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33984"/>
        <c:crosses val="autoZero"/>
        <c:auto val="1"/>
        <c:lblAlgn val="ctr"/>
        <c:lblOffset val="100"/>
        <c:noMultiLvlLbl val="0"/>
      </c:catAx>
      <c:valAx>
        <c:axId val="192633984"/>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out"/>
        <c:minorTickMark val="none"/>
        <c:tickLblPos val="nextTo"/>
        <c:crossAx val="224332536"/>
        <c:crosses val="autoZero"/>
        <c:crossBetween val="between"/>
      </c:valAx>
      <c:spPr>
        <a:noFill/>
        <a:ln>
          <a:noFill/>
        </a:ln>
        <a:effectLst/>
      </c:spPr>
    </c:plotArea>
    <c:plotVisOnly val="1"/>
    <c:dispBlanksAs val="gap"/>
    <c:showDLblsOverMax val="0"/>
  </c:chart>
  <c:spPr>
    <a:solidFill>
      <a:schemeClr val="tx1">
        <a:lumMod val="95000"/>
        <a:lumOff val="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[E-commerce_Sales_Dashboard_Jyoti.xlsx]Pivot_tbl!total revenue by category</c:name>
    <c:fmtId val="19"/>
  </c:pivotSource>
  <c:chart>
    <c:title>
      <c:tx>
        <c:rich>
          <a:bodyPr rot="0" spcFirstLastPara="1" vertOverflow="ellipsis" vert="horz" wrap="square" anchor="ctr" anchorCtr="1"/>
          <a:lstStyle/>
          <a:p>
            <a:pPr algn="ctr" rtl="0">
              <a:def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r>
              <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rPr>
              <a:t>Revenue by Category</a:t>
            </a:r>
          </a:p>
        </c:rich>
      </c:tx>
      <c:layout>
        <c:manualLayout>
          <c:xMode val="edge"/>
          <c:yMode val="edge"/>
          <c:x val="0.480734228515032"/>
          <c:y val="1.2403106831767969E-2"/>
        </c:manualLayout>
      </c:layout>
      <c:overlay val="0"/>
      <c:spPr>
        <a:noFill/>
        <a:ln>
          <a:noFill/>
        </a:ln>
        <a:effectLst/>
      </c:spPr>
      <c:txPr>
        <a:bodyPr rot="0" spcFirstLastPara="1" vertOverflow="ellipsis" vert="horz" wrap="square" anchor="ctr" anchorCtr="1"/>
        <a:lstStyle/>
        <a:p>
          <a:pPr algn="ctr" rtl="0">
            <a:def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solidFill>
            <a:srgbClr val="CC0000"/>
          </a:soli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449061914738505"/>
          <c:y val="0.14939542178864521"/>
          <c:w val="0.43375566703044893"/>
          <c:h val="0.81339525771605092"/>
        </c:manualLayout>
      </c:layout>
      <c:doughnutChart>
        <c:varyColors val="1"/>
        <c:ser>
          <c:idx val="0"/>
          <c:order val="0"/>
          <c:tx>
            <c:strRef>
              <c:f>Pivot_tbl!$E$4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solidFill>
                <a:srgbClr val="CC0000"/>
              </a:soli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Pivot_tbl!$D$5:$D$13</c:f>
              <c:strCache>
                <c:ptCount val="9"/>
                <c:pt idx="0">
                  <c:v>Beauty</c:v>
                </c:pt>
                <c:pt idx="1">
                  <c:v>Books</c:v>
                </c:pt>
                <c:pt idx="2">
                  <c:v>Electronics</c:v>
                </c:pt>
                <c:pt idx="3">
                  <c:v>Fashion</c:v>
                </c:pt>
                <c:pt idx="4">
                  <c:v>Grocery</c:v>
                </c:pt>
                <c:pt idx="5">
                  <c:v>Home Appliances</c:v>
                </c:pt>
                <c:pt idx="6">
                  <c:v>Sports</c:v>
                </c:pt>
                <c:pt idx="7">
                  <c:v>Toys</c:v>
                </c:pt>
                <c:pt idx="8">
                  <c:v>(blank)</c:v>
                </c:pt>
              </c:strCache>
            </c:strRef>
          </c:cat>
          <c:val>
            <c:numRef>
              <c:f>Pivot_tbl!$E$5:$E$13</c:f>
              <c:numCache>
                <c:formatCode>#,##0</c:formatCode>
                <c:ptCount val="9"/>
                <c:pt idx="0">
                  <c:v>6825576.2171000019</c:v>
                </c:pt>
                <c:pt idx="1">
                  <c:v>12553509.003000002</c:v>
                </c:pt>
                <c:pt idx="2">
                  <c:v>12715150.024</c:v>
                </c:pt>
                <c:pt idx="3">
                  <c:v>10136043.288100002</c:v>
                </c:pt>
                <c:pt idx="4">
                  <c:v>10870391.844000002</c:v>
                </c:pt>
                <c:pt idx="5">
                  <c:v>11792264.705899999</c:v>
                </c:pt>
                <c:pt idx="6">
                  <c:v>8099913.9098000024</c:v>
                </c:pt>
                <c:pt idx="7">
                  <c:v>14339663.069600012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[E-commerce_Sales_Dashboard_Jyoti.xlsx]Pivot_tbl!revenue by category over time</c:name>
    <c:fmtId val="42"/>
  </c:pivotSource>
  <c:chart>
    <c:title>
      <c:tx>
        <c:rich>
          <a:bodyPr rot="0" spcFirstLastPara="1" vertOverflow="ellipsis" vert="horz" wrap="square" anchor="ctr" anchorCtr="1"/>
          <a:lstStyle/>
          <a:p>
            <a:pPr algn="ctr" rtl="0">
              <a:def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r>
              <a: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rPr>
              <a:t>Revenue by Category Over Time</a:t>
            </a:r>
          </a:p>
        </c:rich>
      </c:tx>
      <c:layout>
        <c:manualLayout>
          <c:xMode val="edge"/>
          <c:yMode val="edge"/>
          <c:x val="0.33595880798949213"/>
          <c:y val="3.5955047697060323E-2"/>
        </c:manualLayout>
      </c:layout>
      <c:overlay val="0"/>
      <c:spPr>
        <a:noFill/>
        <a:ln>
          <a:noFill/>
        </a:ln>
        <a:effectLst/>
      </c:spPr>
      <c:txPr>
        <a:bodyPr rot="0" spcFirstLastPara="1" vertOverflow="ellipsis" vert="horz" wrap="square" anchor="ctr" anchorCtr="1"/>
        <a:lstStyle/>
        <a:p>
          <a:pPr algn="ctr" rtl="0">
            <a:def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Pivot_tbl!$AQ$17:$AQ$18</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Pivot_tbl!$AQ$19:$AQ$58</c:f>
              <c:numCache>
                <c:formatCode>#,##0</c:formatCode>
                <c:ptCount val="36"/>
                <c:pt idx="0">
                  <c:v>259187.00679999997</c:v>
                </c:pt>
                <c:pt idx="1">
                  <c:v>106142.9218</c:v>
                </c:pt>
                <c:pt idx="2">
                  <c:v>194082.00739999997</c:v>
                </c:pt>
                <c:pt idx="3">
                  <c:v>47970.345000000001</c:v>
                </c:pt>
                <c:pt idx="4">
                  <c:v>28745.532899999998</c:v>
                </c:pt>
                <c:pt idx="5">
                  <c:v>65203.218000000001</c:v>
                </c:pt>
                <c:pt idx="6">
                  <c:v>117020.06159999999</c:v>
                </c:pt>
                <c:pt idx="7">
                  <c:v>12555.055799999998</c:v>
                </c:pt>
                <c:pt idx="9">
                  <c:v>386350.36379999993</c:v>
                </c:pt>
                <c:pt idx="10">
                  <c:v>175143.10520000002</c:v>
                </c:pt>
                <c:pt idx="11">
                  <c:v>156939.01019999999</c:v>
                </c:pt>
                <c:pt idx="12">
                  <c:v>197150.04499999998</c:v>
                </c:pt>
                <c:pt idx="13">
                  <c:v>66879.864000000001</c:v>
                </c:pt>
                <c:pt idx="14">
                  <c:v>305298.59999999998</c:v>
                </c:pt>
                <c:pt idx="15">
                  <c:v>343706.19160000002</c:v>
                </c:pt>
                <c:pt idx="16">
                  <c:v>327715.19799999997</c:v>
                </c:pt>
                <c:pt idx="17">
                  <c:v>13676.087100000001</c:v>
                </c:pt>
                <c:pt idx="18">
                  <c:v>6083.4520000000002</c:v>
                </c:pt>
                <c:pt idx="19">
                  <c:v>381413.14559999999</c:v>
                </c:pt>
                <c:pt idx="20">
                  <c:v>17588.649600000001</c:v>
                </c:pt>
                <c:pt idx="21">
                  <c:v>266828.44579999999</c:v>
                </c:pt>
                <c:pt idx="22">
                  <c:v>71723.001799999998</c:v>
                </c:pt>
                <c:pt idx="23">
                  <c:v>72606.388799999986</c:v>
                </c:pt>
                <c:pt idx="24">
                  <c:v>9942.134399999999</c:v>
                </c:pt>
                <c:pt idx="25">
                  <c:v>66446.163</c:v>
                </c:pt>
                <c:pt idx="26">
                  <c:v>592271.05859999999</c:v>
                </c:pt>
                <c:pt idx="27">
                  <c:v>132036.64079999999</c:v>
                </c:pt>
                <c:pt idx="28">
                  <c:v>117240.72959999999</c:v>
                </c:pt>
                <c:pt idx="29">
                  <c:v>255633.23199999999</c:v>
                </c:pt>
                <c:pt idx="30">
                  <c:v>218354.9025</c:v>
                </c:pt>
                <c:pt idx="31">
                  <c:v>240355.33350000001</c:v>
                </c:pt>
                <c:pt idx="32">
                  <c:v>237795.07199999999</c:v>
                </c:pt>
                <c:pt idx="33">
                  <c:v>528836.01639999996</c:v>
                </c:pt>
                <c:pt idx="34">
                  <c:v>389389.40509999997</c:v>
                </c:pt>
                <c:pt idx="35">
                  <c:v>417267.83139999997</c:v>
                </c:pt>
              </c:numCache>
            </c:numRef>
          </c:val>
        </c:ser>
        <c:ser>
          <c:idx val="1"/>
          <c:order val="1"/>
          <c:tx>
            <c:strRef>
              <c:f>Pivot_tbl!$AR$17:$AR$18</c:f>
              <c:strCache>
                <c:ptCount val="1"/>
                <c:pt idx="0">
                  <c:v>Books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Pivot_tbl!$AR$19:$AR$58</c:f>
              <c:numCache>
                <c:formatCode>#,##0</c:formatCode>
                <c:ptCount val="36"/>
                <c:pt idx="0">
                  <c:v>1029218.6945</c:v>
                </c:pt>
                <c:pt idx="1">
                  <c:v>656934.13400000008</c:v>
                </c:pt>
                <c:pt idx="2">
                  <c:v>646617.39399999997</c:v>
                </c:pt>
                <c:pt idx="3">
                  <c:v>695733.30960000004</c:v>
                </c:pt>
                <c:pt idx="4">
                  <c:v>417647.79360000003</c:v>
                </c:pt>
                <c:pt idx="5">
                  <c:v>60877.031999999999</c:v>
                </c:pt>
                <c:pt idx="6">
                  <c:v>279875.00660000002</c:v>
                </c:pt>
                <c:pt idx="7">
                  <c:v>404185.28759999998</c:v>
                </c:pt>
                <c:pt idx="8">
                  <c:v>504722.84700000001</c:v>
                </c:pt>
                <c:pt idx="9">
                  <c:v>572816.30339999998</c:v>
                </c:pt>
                <c:pt idx="10">
                  <c:v>390239.22400000005</c:v>
                </c:pt>
                <c:pt idx="11">
                  <c:v>621038.31220000004</c:v>
                </c:pt>
                <c:pt idx="12">
                  <c:v>502400.29719999997</c:v>
                </c:pt>
                <c:pt idx="13">
                  <c:v>221360.24220000001</c:v>
                </c:pt>
                <c:pt idx="14">
                  <c:v>192287.06780000002</c:v>
                </c:pt>
                <c:pt idx="15">
                  <c:v>16121.215799999998</c:v>
                </c:pt>
                <c:pt idx="17">
                  <c:v>157894.4472</c:v>
                </c:pt>
                <c:pt idx="18">
                  <c:v>237192.9547</c:v>
                </c:pt>
                <c:pt idx="19">
                  <c:v>673886.99049999996</c:v>
                </c:pt>
                <c:pt idx="20">
                  <c:v>58030.727299999999</c:v>
                </c:pt>
                <c:pt idx="21">
                  <c:v>330033.57120000001</c:v>
                </c:pt>
                <c:pt idx="22">
                  <c:v>85118.476999999999</c:v>
                </c:pt>
                <c:pt idx="23">
                  <c:v>175959.10140000001</c:v>
                </c:pt>
                <c:pt idx="24">
                  <c:v>162760.45140000002</c:v>
                </c:pt>
                <c:pt idx="25">
                  <c:v>276473.21189999999</c:v>
                </c:pt>
                <c:pt idx="27">
                  <c:v>648307.78700000001</c:v>
                </c:pt>
                <c:pt idx="28">
                  <c:v>192271.89449999999</c:v>
                </c:pt>
                <c:pt idx="29">
                  <c:v>182580.85769999999</c:v>
                </c:pt>
                <c:pt idx="30">
                  <c:v>368089.92000000004</c:v>
                </c:pt>
                <c:pt idx="31">
                  <c:v>260298.76449999999</c:v>
                </c:pt>
                <c:pt idx="32">
                  <c:v>431006.18109999999</c:v>
                </c:pt>
                <c:pt idx="33">
                  <c:v>329092.554</c:v>
                </c:pt>
                <c:pt idx="34">
                  <c:v>275830.12709999998</c:v>
                </c:pt>
                <c:pt idx="35">
                  <c:v>496606.82299999997</c:v>
                </c:pt>
              </c:numCache>
            </c:numRef>
          </c:val>
        </c:ser>
        <c:ser>
          <c:idx val="2"/>
          <c:order val="2"/>
          <c:tx>
            <c:strRef>
              <c:f>Pivot_tbl!$AS$17:$AS$18</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Pivot_tbl!$AS$19:$AS$58</c:f>
              <c:numCache>
                <c:formatCode>#,##0</c:formatCode>
                <c:ptCount val="36"/>
                <c:pt idx="0">
                  <c:v>275668.60800000001</c:v>
                </c:pt>
                <c:pt idx="1">
                  <c:v>163501.88639999999</c:v>
                </c:pt>
                <c:pt idx="3">
                  <c:v>276122.12309999997</c:v>
                </c:pt>
                <c:pt idx="4">
                  <c:v>478925.72639999993</c:v>
                </c:pt>
                <c:pt idx="5">
                  <c:v>88425.741999999998</c:v>
                </c:pt>
                <c:pt idx="6">
                  <c:v>504639.80209999991</c:v>
                </c:pt>
                <c:pt idx="7">
                  <c:v>750429.29679999989</c:v>
                </c:pt>
                <c:pt idx="8">
                  <c:v>117085.88710000001</c:v>
                </c:pt>
                <c:pt idx="9">
                  <c:v>1112705.7093</c:v>
                </c:pt>
                <c:pt idx="10">
                  <c:v>115810.2726</c:v>
                </c:pt>
                <c:pt idx="11">
                  <c:v>79043.199399999998</c:v>
                </c:pt>
                <c:pt idx="12">
                  <c:v>452657.66639999999</c:v>
                </c:pt>
                <c:pt idx="13">
                  <c:v>631655.41479999991</c:v>
                </c:pt>
                <c:pt idx="14">
                  <c:v>99656.553400000004</c:v>
                </c:pt>
                <c:pt idx="15">
                  <c:v>378297.30689999997</c:v>
                </c:pt>
                <c:pt idx="16">
                  <c:v>419942.57999999996</c:v>
                </c:pt>
                <c:pt idx="17">
                  <c:v>977502.60339999991</c:v>
                </c:pt>
                <c:pt idx="18">
                  <c:v>244243.08</c:v>
                </c:pt>
                <c:pt idx="19">
                  <c:v>11533.494000000001</c:v>
                </c:pt>
                <c:pt idx="20">
                  <c:v>33306.462</c:v>
                </c:pt>
                <c:pt idx="21">
                  <c:v>277626.02</c:v>
                </c:pt>
                <c:pt idx="22">
                  <c:v>148461.47999999998</c:v>
                </c:pt>
                <c:pt idx="23">
                  <c:v>276240.3224</c:v>
                </c:pt>
                <c:pt idx="24">
                  <c:v>187111.56340000004</c:v>
                </c:pt>
                <c:pt idx="25">
                  <c:v>617103.31219999993</c:v>
                </c:pt>
                <c:pt idx="27">
                  <c:v>739927.89939999988</c:v>
                </c:pt>
                <c:pt idx="28">
                  <c:v>48090.073199999999</c:v>
                </c:pt>
                <c:pt idx="29">
                  <c:v>608888.48200000008</c:v>
                </c:pt>
                <c:pt idx="30">
                  <c:v>201573.65409999999</c:v>
                </c:pt>
                <c:pt idx="31">
                  <c:v>329656.78980000003</c:v>
                </c:pt>
                <c:pt idx="32">
                  <c:v>237145.08599999998</c:v>
                </c:pt>
                <c:pt idx="33">
                  <c:v>997514.34160000004</c:v>
                </c:pt>
                <c:pt idx="34">
                  <c:v>420773.91</c:v>
                </c:pt>
                <c:pt idx="35">
                  <c:v>413883.67579999997</c:v>
                </c:pt>
              </c:numCache>
            </c:numRef>
          </c:val>
        </c:ser>
        <c:ser>
          <c:idx val="3"/>
          <c:order val="3"/>
          <c:tx>
            <c:strRef>
              <c:f>Pivot_tbl!$AT$17:$AT$18</c:f>
              <c:strCache>
                <c:ptCount val="1"/>
                <c:pt idx="0">
                  <c:v>Fashion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Pivot_tbl!$AT$19:$AT$58</c:f>
              <c:numCache>
                <c:formatCode>#,##0</c:formatCode>
                <c:ptCount val="36"/>
                <c:pt idx="0">
                  <c:v>285017.625</c:v>
                </c:pt>
                <c:pt idx="1">
                  <c:v>125059.9376</c:v>
                </c:pt>
                <c:pt idx="2">
                  <c:v>144672.0502</c:v>
                </c:pt>
                <c:pt idx="3">
                  <c:v>41206.6368</c:v>
                </c:pt>
                <c:pt idx="4">
                  <c:v>87146.4902</c:v>
                </c:pt>
                <c:pt idx="5">
                  <c:v>339117.56279999996</c:v>
                </c:pt>
                <c:pt idx="6">
                  <c:v>401889.04889999999</c:v>
                </c:pt>
                <c:pt idx="8">
                  <c:v>52035.731099999997</c:v>
                </c:pt>
                <c:pt idx="9">
                  <c:v>307223.5612</c:v>
                </c:pt>
                <c:pt idx="10">
                  <c:v>564436.9243999999</c:v>
                </c:pt>
                <c:pt idx="11">
                  <c:v>213848.0784</c:v>
                </c:pt>
                <c:pt idx="12">
                  <c:v>18568.4244</c:v>
                </c:pt>
                <c:pt idx="13">
                  <c:v>128914.57980000001</c:v>
                </c:pt>
                <c:pt idx="14">
                  <c:v>140169.25939999998</c:v>
                </c:pt>
                <c:pt idx="15">
                  <c:v>650877.5564</c:v>
                </c:pt>
                <c:pt idx="16">
                  <c:v>375300.19529999996</c:v>
                </c:pt>
                <c:pt idx="17">
                  <c:v>357205.75939999998</c:v>
                </c:pt>
                <c:pt idx="18">
                  <c:v>84883.780799999993</c:v>
                </c:pt>
                <c:pt idx="19">
                  <c:v>542634.75959999999</c:v>
                </c:pt>
                <c:pt idx="20">
                  <c:v>119842.92899999999</c:v>
                </c:pt>
                <c:pt idx="21">
                  <c:v>577488.12069999997</c:v>
                </c:pt>
                <c:pt idx="22">
                  <c:v>440184.65039999998</c:v>
                </c:pt>
                <c:pt idx="23">
                  <c:v>566915.65359999996</c:v>
                </c:pt>
                <c:pt idx="24">
                  <c:v>432382.65120000002</c:v>
                </c:pt>
                <c:pt idx="25">
                  <c:v>480130.75559999997</c:v>
                </c:pt>
                <c:pt idx="26">
                  <c:v>247288.07620000001</c:v>
                </c:pt>
                <c:pt idx="27">
                  <c:v>213557.29730000001</c:v>
                </c:pt>
                <c:pt idx="28">
                  <c:v>235629.53579999998</c:v>
                </c:pt>
                <c:pt idx="29">
                  <c:v>138491.44519999999</c:v>
                </c:pt>
                <c:pt idx="30">
                  <c:v>201222.86660000001</c:v>
                </c:pt>
                <c:pt idx="31">
                  <c:v>200563.10820000002</c:v>
                </c:pt>
                <c:pt idx="32">
                  <c:v>502960.60299999989</c:v>
                </c:pt>
                <c:pt idx="33">
                  <c:v>550092.0737999999</c:v>
                </c:pt>
                <c:pt idx="34">
                  <c:v>3068.11</c:v>
                </c:pt>
                <c:pt idx="35">
                  <c:v>366017.4498</c:v>
                </c:pt>
              </c:numCache>
            </c:numRef>
          </c:val>
        </c:ser>
        <c:ser>
          <c:idx val="4"/>
          <c:order val="4"/>
          <c:tx>
            <c:strRef>
              <c:f>Pivot_tbl!$AU$17:$AU$18</c:f>
              <c:strCache>
                <c:ptCount val="1"/>
                <c:pt idx="0">
                  <c:v>Grocery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Pivot_tbl!$AU$19:$AU$58</c:f>
              <c:numCache>
                <c:formatCode>#,##0</c:formatCode>
                <c:ptCount val="36"/>
                <c:pt idx="0">
                  <c:v>475109.32679999998</c:v>
                </c:pt>
                <c:pt idx="1">
                  <c:v>95382.197999999989</c:v>
                </c:pt>
                <c:pt idx="2">
                  <c:v>166476.98449999996</c:v>
                </c:pt>
                <c:pt idx="3">
                  <c:v>25200.244400000003</c:v>
                </c:pt>
                <c:pt idx="4">
                  <c:v>394246.73340000003</c:v>
                </c:pt>
                <c:pt idx="5">
                  <c:v>660910.51370000001</c:v>
                </c:pt>
                <c:pt idx="6">
                  <c:v>359560.16760000004</c:v>
                </c:pt>
                <c:pt idx="7">
                  <c:v>512832.68699999998</c:v>
                </c:pt>
                <c:pt idx="8">
                  <c:v>377735.69320000004</c:v>
                </c:pt>
                <c:pt idx="9">
                  <c:v>271562.07339999999</c:v>
                </c:pt>
                <c:pt idx="10">
                  <c:v>461469.44290000002</c:v>
                </c:pt>
                <c:pt idx="11">
                  <c:v>493503.50100000005</c:v>
                </c:pt>
                <c:pt idx="12">
                  <c:v>182542.24799999999</c:v>
                </c:pt>
                <c:pt idx="13">
                  <c:v>610394.1398</c:v>
                </c:pt>
                <c:pt idx="14">
                  <c:v>56064.027999999991</c:v>
                </c:pt>
                <c:pt idx="15">
                  <c:v>389726.5282</c:v>
                </c:pt>
                <c:pt idx="16">
                  <c:v>30717.33</c:v>
                </c:pt>
                <c:pt idx="17">
                  <c:v>822971.81179999991</c:v>
                </c:pt>
                <c:pt idx="18">
                  <c:v>167760.288</c:v>
                </c:pt>
                <c:pt idx="19">
                  <c:v>550905.94539999997</c:v>
                </c:pt>
                <c:pt idx="20">
                  <c:v>32154.055200000003</c:v>
                </c:pt>
                <c:pt idx="21">
                  <c:v>25273.843199999999</c:v>
                </c:pt>
                <c:pt idx="22">
                  <c:v>293046.48780000006</c:v>
                </c:pt>
                <c:pt idx="23">
                  <c:v>445758.8798</c:v>
                </c:pt>
                <c:pt idx="24">
                  <c:v>79932.429000000004</c:v>
                </c:pt>
                <c:pt idx="25">
                  <c:v>191812.87899999999</c:v>
                </c:pt>
                <c:pt idx="26">
                  <c:v>446949.04749999999</c:v>
                </c:pt>
                <c:pt idx="27">
                  <c:v>202171.83199999999</c:v>
                </c:pt>
                <c:pt idx="28">
                  <c:v>113597.56839999999</c:v>
                </c:pt>
                <c:pt idx="29">
                  <c:v>203816.19280000002</c:v>
                </c:pt>
                <c:pt idx="30">
                  <c:v>530783.4375</c:v>
                </c:pt>
                <c:pt idx="31">
                  <c:v>80600.276400000002</c:v>
                </c:pt>
                <c:pt idx="32">
                  <c:v>201858.88799999998</c:v>
                </c:pt>
                <c:pt idx="33">
                  <c:v>717364.70010000002</c:v>
                </c:pt>
                <c:pt idx="34">
                  <c:v>16018.080000000002</c:v>
                </c:pt>
                <c:pt idx="35">
                  <c:v>184181.3622</c:v>
                </c:pt>
              </c:numCache>
            </c:numRef>
          </c:val>
        </c:ser>
        <c:ser>
          <c:idx val="5"/>
          <c:order val="5"/>
          <c:tx>
            <c:strRef>
              <c:f>Pivot_tbl!$AV$17:$AV$18</c:f>
              <c:strCache>
                <c:ptCount val="1"/>
                <c:pt idx="0">
                  <c:v>Home Appliances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Pivot_tbl!$AV$19:$AV$58</c:f>
              <c:numCache>
                <c:formatCode>#,##0</c:formatCode>
                <c:ptCount val="36"/>
                <c:pt idx="1">
                  <c:v>573849.00650000002</c:v>
                </c:pt>
                <c:pt idx="2">
                  <c:v>456839.46090000001</c:v>
                </c:pt>
                <c:pt idx="3">
                  <c:v>899649.72669999988</c:v>
                </c:pt>
                <c:pt idx="4">
                  <c:v>193620.38500000001</c:v>
                </c:pt>
                <c:pt idx="5">
                  <c:v>298568.11939999997</c:v>
                </c:pt>
                <c:pt idx="6">
                  <c:v>707642.49809999997</c:v>
                </c:pt>
                <c:pt idx="7">
                  <c:v>561583.80929999996</c:v>
                </c:pt>
                <c:pt idx="8">
                  <c:v>84085.181599999996</c:v>
                </c:pt>
                <c:pt idx="9">
                  <c:v>366014.30379999994</c:v>
                </c:pt>
                <c:pt idx="10">
                  <c:v>224688.0018</c:v>
                </c:pt>
                <c:pt idx="12">
                  <c:v>430097.04360000003</c:v>
                </c:pt>
                <c:pt idx="13">
                  <c:v>192352.2616</c:v>
                </c:pt>
                <c:pt idx="14">
                  <c:v>242971.9914</c:v>
                </c:pt>
                <c:pt idx="15">
                  <c:v>170727.46679999999</c:v>
                </c:pt>
                <c:pt idx="16">
                  <c:v>49188.2022</c:v>
                </c:pt>
                <c:pt idx="17">
                  <c:v>559878.12079999992</c:v>
                </c:pt>
                <c:pt idx="18">
                  <c:v>409685.36279999994</c:v>
                </c:pt>
                <c:pt idx="19">
                  <c:v>302297.25199999998</c:v>
                </c:pt>
                <c:pt idx="20">
                  <c:v>42645.636799999993</c:v>
                </c:pt>
                <c:pt idx="21">
                  <c:v>326823.5748</c:v>
                </c:pt>
                <c:pt idx="22">
                  <c:v>478721.80180000002</c:v>
                </c:pt>
                <c:pt idx="23">
                  <c:v>118740.86099999998</c:v>
                </c:pt>
                <c:pt idx="24">
                  <c:v>371582.37710000004</c:v>
                </c:pt>
                <c:pt idx="25">
                  <c:v>531827.54260000004</c:v>
                </c:pt>
                <c:pt idx="26">
                  <c:v>734229.03909999994</c:v>
                </c:pt>
                <c:pt idx="27">
                  <c:v>148078.95879999999</c:v>
                </c:pt>
                <c:pt idx="28">
                  <c:v>200678.68299999999</c:v>
                </c:pt>
                <c:pt idx="29">
                  <c:v>212653.8651</c:v>
                </c:pt>
                <c:pt idx="30">
                  <c:v>256607.52899999998</c:v>
                </c:pt>
                <c:pt idx="31">
                  <c:v>360350.3602</c:v>
                </c:pt>
                <c:pt idx="32">
                  <c:v>48939.328199999996</c:v>
                </c:pt>
                <c:pt idx="33">
                  <c:v>315622.05849999998</c:v>
                </c:pt>
                <c:pt idx="34">
                  <c:v>195715.93979999999</c:v>
                </c:pt>
                <c:pt idx="35">
                  <c:v>725308.95579999988</c:v>
                </c:pt>
              </c:numCache>
            </c:numRef>
          </c:val>
        </c:ser>
        <c:ser>
          <c:idx val="6"/>
          <c:order val="6"/>
          <c:tx>
            <c:strRef>
              <c:f>Pivot_tbl!$AW$17:$AW$18</c:f>
              <c:strCache>
                <c:ptCount val="1"/>
                <c:pt idx="0">
                  <c:v>Sports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Pivot_tbl!$AW$19:$AW$58</c:f>
              <c:numCache>
                <c:formatCode>#,##0</c:formatCode>
                <c:ptCount val="36"/>
                <c:pt idx="0">
                  <c:v>372363.65330000001</c:v>
                </c:pt>
                <c:pt idx="1">
                  <c:v>394402.31659999996</c:v>
                </c:pt>
                <c:pt idx="2">
                  <c:v>386853.45379999996</c:v>
                </c:pt>
                <c:pt idx="3">
                  <c:v>777149.24599999993</c:v>
                </c:pt>
                <c:pt idx="4">
                  <c:v>117820.95699999999</c:v>
                </c:pt>
                <c:pt idx="5">
                  <c:v>415114.89159999992</c:v>
                </c:pt>
                <c:pt idx="6">
                  <c:v>160815.42819999999</c:v>
                </c:pt>
                <c:pt idx="7">
                  <c:v>320416.93940000003</c:v>
                </c:pt>
                <c:pt idx="8">
                  <c:v>262939.071</c:v>
                </c:pt>
                <c:pt idx="9">
                  <c:v>135991.33679999999</c:v>
                </c:pt>
                <c:pt idx="11">
                  <c:v>57391.578000000009</c:v>
                </c:pt>
                <c:pt idx="12">
                  <c:v>491805.68959999993</c:v>
                </c:pt>
                <c:pt idx="13">
                  <c:v>75655.387499999997</c:v>
                </c:pt>
                <c:pt idx="14">
                  <c:v>246662.44200000001</c:v>
                </c:pt>
                <c:pt idx="15">
                  <c:v>495513.56880000001</c:v>
                </c:pt>
                <c:pt idx="17">
                  <c:v>111148.60560000001</c:v>
                </c:pt>
                <c:pt idx="18">
                  <c:v>95730.063099999999</c:v>
                </c:pt>
                <c:pt idx="19">
                  <c:v>226512.51070000001</c:v>
                </c:pt>
                <c:pt idx="20">
                  <c:v>209044.99199999997</c:v>
                </c:pt>
                <c:pt idx="21">
                  <c:v>431893.52599999995</c:v>
                </c:pt>
                <c:pt idx="22">
                  <c:v>208589.71379999997</c:v>
                </c:pt>
                <c:pt idx="23">
                  <c:v>109407.20980000001</c:v>
                </c:pt>
                <c:pt idx="24">
                  <c:v>103728.4742</c:v>
                </c:pt>
                <c:pt idx="26">
                  <c:v>71769.532200000001</c:v>
                </c:pt>
                <c:pt idx="27">
                  <c:v>25101.750599999999</c:v>
                </c:pt>
                <c:pt idx="28">
                  <c:v>381489.31180000002</c:v>
                </c:pt>
                <c:pt idx="29">
                  <c:v>375254.11809999996</c:v>
                </c:pt>
                <c:pt idx="30">
                  <c:v>383920.11840000004</c:v>
                </c:pt>
                <c:pt idx="31">
                  <c:v>6101.8559999999998</c:v>
                </c:pt>
                <c:pt idx="32">
                  <c:v>244889.28459999998</c:v>
                </c:pt>
                <c:pt idx="33">
                  <c:v>8251.7759999999998</c:v>
                </c:pt>
                <c:pt idx="34">
                  <c:v>306783.9880999999</c:v>
                </c:pt>
                <c:pt idx="35">
                  <c:v>89401.119199999986</c:v>
                </c:pt>
              </c:numCache>
            </c:numRef>
          </c:val>
        </c:ser>
        <c:ser>
          <c:idx val="7"/>
          <c:order val="7"/>
          <c:tx>
            <c:strRef>
              <c:f>Pivot_tbl!$AX$17:$AX$18</c:f>
              <c:strCache>
                <c:ptCount val="1"/>
                <c:pt idx="0">
                  <c:v>Toys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Pivot_tbl!$AP$19:$AP$58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Pivot_tbl!$AX$19:$AX$58</c:f>
              <c:numCache>
                <c:formatCode>#,##0</c:formatCode>
                <c:ptCount val="36"/>
                <c:pt idx="0">
                  <c:v>225987.20300000001</c:v>
                </c:pt>
                <c:pt idx="1">
                  <c:v>444698.00040000002</c:v>
                </c:pt>
                <c:pt idx="2">
                  <c:v>265322.84619999997</c:v>
                </c:pt>
                <c:pt idx="3">
                  <c:v>369038.30820000003</c:v>
                </c:pt>
                <c:pt idx="4">
                  <c:v>446421.78509999998</c:v>
                </c:pt>
                <c:pt idx="5">
                  <c:v>207462.89049999998</c:v>
                </c:pt>
                <c:pt idx="6">
                  <c:v>399624.68159999995</c:v>
                </c:pt>
                <c:pt idx="7">
                  <c:v>22367.872800000001</c:v>
                </c:pt>
                <c:pt idx="8">
                  <c:v>77140.573999999993</c:v>
                </c:pt>
                <c:pt idx="9">
                  <c:v>408976.3959</c:v>
                </c:pt>
                <c:pt idx="10">
                  <c:v>149919.31289999999</c:v>
                </c:pt>
                <c:pt idx="11">
                  <c:v>1092132.3899999997</c:v>
                </c:pt>
                <c:pt idx="12">
                  <c:v>808898.39159999997</c:v>
                </c:pt>
                <c:pt idx="13">
                  <c:v>202966.47379999998</c:v>
                </c:pt>
                <c:pt idx="14">
                  <c:v>204082.40539999999</c:v>
                </c:pt>
                <c:pt idx="15">
                  <c:v>185042.18959999998</c:v>
                </c:pt>
                <c:pt idx="16">
                  <c:v>604223.49450000003</c:v>
                </c:pt>
                <c:pt idx="17">
                  <c:v>307817.73259999999</c:v>
                </c:pt>
                <c:pt idx="18">
                  <c:v>235259.01699999999</c:v>
                </c:pt>
                <c:pt idx="19">
                  <c:v>530869.32199999993</c:v>
                </c:pt>
                <c:pt idx="20">
                  <c:v>240992.9406</c:v>
                </c:pt>
                <c:pt idx="21">
                  <c:v>170407.31519999998</c:v>
                </c:pt>
                <c:pt idx="22">
                  <c:v>877330.15769999998</c:v>
                </c:pt>
                <c:pt idx="23">
                  <c:v>500967.24779999995</c:v>
                </c:pt>
                <c:pt idx="24">
                  <c:v>389536.14519999997</c:v>
                </c:pt>
                <c:pt idx="25">
                  <c:v>476489.55339999998</c:v>
                </c:pt>
                <c:pt idx="26">
                  <c:v>908189.79540000006</c:v>
                </c:pt>
                <c:pt idx="27">
                  <c:v>190999.96859999996</c:v>
                </c:pt>
                <c:pt idx="28">
                  <c:v>236309.0588</c:v>
                </c:pt>
                <c:pt idx="29">
                  <c:v>910194.26459999999</c:v>
                </c:pt>
                <c:pt idx="30">
                  <c:v>428219.01199999999</c:v>
                </c:pt>
                <c:pt idx="31">
                  <c:v>140074.96299999999</c:v>
                </c:pt>
                <c:pt idx="32">
                  <c:v>301402.29890000005</c:v>
                </c:pt>
                <c:pt idx="33">
                  <c:v>455704.30619999999</c:v>
                </c:pt>
                <c:pt idx="34">
                  <c:v>499290.36739999993</c:v>
                </c:pt>
                <c:pt idx="35">
                  <c:v>425304.38769999996</c:v>
                </c:pt>
              </c:numCache>
            </c:numRef>
          </c:val>
        </c:ser>
        <c:dLbls>
          <c:showLegendKey val="0"/>
          <c:showVal val="0"/>
          <c:showCatName val="0"/>
          <c:showSerName val="0"/>
          <c:showPercent val="0"/>
          <c:showBubbleSize val="0"/>
        </c:dLbls>
        <c:axId val="257988544"/>
        <c:axId val="257988936"/>
      </c:areaChart>
      <c:catAx>
        <c:axId val="257988544"/>
        <c:scaling>
          <c:orientation val="minMax"/>
        </c:scaling>
        <c:delete val="0"/>
        <c:axPos val="b"/>
        <c:minorGridlines>
          <c:spPr>
            <a:ln>
              <a:solidFill>
                <a:schemeClr val="lt1">
                  <a:lumMod val="95000"/>
                  <a:alpha val="5000"/>
                </a:schemeClr>
              </a:solidFill>
            </a:ln>
            <a:effectLst/>
          </c:spPr>
        </c:minorGridlines>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7988936"/>
        <c:crosses val="autoZero"/>
        <c:auto val="1"/>
        <c:lblAlgn val="ctr"/>
        <c:lblOffset val="100"/>
        <c:noMultiLvlLbl val="0"/>
      </c:catAx>
      <c:valAx>
        <c:axId val="257988936"/>
        <c:scaling>
          <c:orientation val="minMax"/>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7988544"/>
        <c:crosses val="autoZero"/>
        <c:crossBetween val="midCat"/>
      </c:valAx>
      <c:spPr>
        <a:noFill/>
        <a:ln>
          <a:noFill/>
        </a:ln>
        <a:effectLst/>
      </c:spPr>
    </c:plotArea>
    <c:legend>
      <c:legendPos val="tr"/>
      <c:layout>
        <c:manualLayout>
          <c:xMode val="edge"/>
          <c:yMode val="edge"/>
          <c:x val="0.74427865869997956"/>
          <c:y val="0.16050956135313663"/>
          <c:w val="0.23779417781252377"/>
          <c:h val="0.70786995597158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tx1">
        <a:lumMod val="95000"/>
        <a:lumOff val="5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[E-commerce_Sales_Dashboard_Jyoti.xlsx]Pivot_tbl!revenue vs profit</c:name>
    <c:fmtId val="9"/>
  </c:pivotSource>
  <c:chart>
    <c:title>
      <c:tx>
        <c:rich>
          <a:bodyPr rot="0" spcFirstLastPara="1" vertOverflow="ellipsis" vert="horz" wrap="square" anchor="ctr" anchorCtr="1"/>
          <a:lstStyle/>
          <a:p>
            <a:pPr algn="ctr" rtl="0">
              <a:def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r>
              <a: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rPr>
              <a:t>Revenue vs Profit</a:t>
            </a:r>
          </a:p>
        </c:rich>
      </c:tx>
      <c:layout>
        <c:manualLayout>
          <c:xMode val="edge"/>
          <c:yMode val="edge"/>
          <c:x val="6.6609101037788498E-2"/>
          <c:y val="3.3507834984906081E-2"/>
        </c:manualLayout>
      </c:layout>
      <c:overlay val="0"/>
      <c:spPr>
        <a:noFill/>
        <a:ln>
          <a:noFill/>
        </a:ln>
        <a:effectLst/>
      </c:spPr>
      <c:txPr>
        <a:bodyPr rot="0" spcFirstLastPara="1" vertOverflow="ellipsis" vert="horz" wrap="square" anchor="ctr" anchorCtr="1"/>
        <a:lstStyle/>
        <a:p>
          <a:pPr algn="ctr" rtl="0">
            <a:defRPr lang="en-IN" sz="12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Eras Demi ITC" panose="020B0805030504020804" pitchFamily="34"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Pivot_tbl!$AL$15</c:f>
              <c:strCache>
                <c:ptCount val="1"/>
                <c:pt idx="0">
                  <c:v>Sum of Profit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trendline>
            <c:spPr>
              <a:ln w="25400" cap="rnd">
                <a:solidFill>
                  <a:srgbClr val="00B050"/>
                </a:solidFill>
              </a:ln>
              <a:effectLst/>
            </c:spPr>
            <c:trendlineType val="linear"/>
            <c:dispRSqr val="0"/>
            <c:dispEq val="0"/>
          </c:trendline>
          <c:cat>
            <c:strRef>
              <c:f>Pivot_tbl!$AK$16:$AK$29</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Pivot_tbl!$AL$16:$AL$29</c:f>
              <c:numCache>
                <c:formatCode>#,##0</c:formatCode>
                <c:ptCount val="13"/>
                <c:pt idx="1">
                  <c:v>2769767.0810999996</c:v>
                </c:pt>
                <c:pt idx="2">
                  <c:v>2649894.4804999996</c:v>
                </c:pt>
                <c:pt idx="3">
                  <c:v>2428541.6594000007</c:v>
                </c:pt>
                <c:pt idx="4">
                  <c:v>2896754.2323999992</c:v>
                </c:pt>
                <c:pt idx="5">
                  <c:v>1982666.1367000004</c:v>
                </c:pt>
                <c:pt idx="6">
                  <c:v>3002222.8954000012</c:v>
                </c:pt>
                <c:pt idx="7">
                  <c:v>2524592.3851999994</c:v>
                </c:pt>
                <c:pt idx="8">
                  <c:v>2689529.8741000001</c:v>
                </c:pt>
                <c:pt idx="9">
                  <c:v>1615677.8313000004</c:v>
                </c:pt>
                <c:pt idx="10">
                  <c:v>3585977.7150999997</c:v>
                </c:pt>
                <c:pt idx="11">
                  <c:v>2480683.4196000006</c:v>
                </c:pt>
                <c:pt idx="12">
                  <c:v>2871031.2346999999</c:v>
                </c:pt>
              </c:numCache>
            </c:numRef>
          </c:val>
        </c:ser>
        <c:ser>
          <c:idx val="1"/>
          <c:order val="1"/>
          <c:tx>
            <c:strRef>
              <c:f>Pivot_tbl!$AM$15</c:f>
              <c:strCache>
                <c:ptCount val="1"/>
                <c:pt idx="0">
                  <c:v>Sum of Revenue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Pivot_tbl!$AK$16:$AK$29</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Pivot_tbl!$AM$16:$AM$29</c:f>
              <c:numCache>
                <c:formatCode>#,##0</c:formatCode>
                <c:ptCount val="13"/>
                <c:pt idx="1">
                  <c:v>7743648.1491000019</c:v>
                </c:pt>
                <c:pt idx="2">
                  <c:v>7330432.182500002</c:v>
                </c:pt>
                <c:pt idx="3">
                  <c:v>6748753.0933999997</c:v>
                </c:pt>
                <c:pt idx="4">
                  <c:v>8062264.0984000005</c:v>
                </c:pt>
                <c:pt idx="5">
                  <c:v>5496969.2587000029</c:v>
                </c:pt>
                <c:pt idx="6">
                  <c:v>8331287.5953999981</c:v>
                </c:pt>
                <c:pt idx="7">
                  <c:v>7000676.1331999982</c:v>
                </c:pt>
                <c:pt idx="8">
                  <c:v>7422425.8201000029</c:v>
                </c:pt>
                <c:pt idx="9">
                  <c:v>4435348.1193000004</c:v>
                </c:pt>
                <c:pt idx="10">
                  <c:v>9870492.2911000047</c:v>
                </c:pt>
                <c:pt idx="11">
                  <c:v>6791751.9816000005</c:v>
                </c:pt>
                <c:pt idx="12">
                  <c:v>8098463.3386999993</c:v>
                </c:pt>
              </c:numCache>
            </c:numRef>
          </c:val>
        </c:ser>
        <c:dLbls>
          <c:showLegendKey val="0"/>
          <c:showVal val="0"/>
          <c:showCatName val="0"/>
          <c:showSerName val="0"/>
          <c:showPercent val="0"/>
          <c:showBubbleSize val="0"/>
        </c:dLbls>
        <c:gapWidth val="315"/>
        <c:overlap val="-40"/>
        <c:axId val="257990112"/>
        <c:axId val="257990504"/>
      </c:barChart>
      <c:catAx>
        <c:axId val="257990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7990504"/>
        <c:crosses val="autoZero"/>
        <c:auto val="1"/>
        <c:lblAlgn val="ctr"/>
        <c:lblOffset val="100"/>
        <c:noMultiLvlLbl val="0"/>
      </c:catAx>
      <c:valAx>
        <c:axId val="2579905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7990112"/>
        <c:crosses val="autoZero"/>
        <c:crossBetween val="between"/>
      </c:valAx>
      <c:spPr>
        <a:noFill/>
        <a:ln>
          <a:noFill/>
        </a:ln>
        <a:effectLst/>
      </c:spPr>
    </c:plotArea>
    <c:plotVisOnly val="1"/>
    <c:dispBlanksAs val="gap"/>
    <c:showDLblsOverMax val="0"/>
  </c:chart>
  <c:spPr>
    <a:solidFill>
      <a:schemeClr val="tx1">
        <a:lumMod val="95000"/>
        <a:lumOff val="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microsoft.com/office/2007/relationships/hdphoto" Target="../media/hdphoto1.wdp"/><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hyperlink" Target="#Pivot_tbl!A1"/><Relationship Id="rId6" Type="http://schemas.openxmlformats.org/officeDocument/2006/relationships/chart" Target="../charts/chart1.xml"/><Relationship Id="rId5" Type="http://schemas.openxmlformats.org/officeDocument/2006/relationships/image" Target="../media/image2.png"/><Relationship Id="rId10" Type="http://schemas.openxmlformats.org/officeDocument/2006/relationships/chart" Target="../charts/chart5.xml"/><Relationship Id="rId4" Type="http://schemas.openxmlformats.org/officeDocument/2006/relationships/hyperlink" Target="#Master_tbl!A1"/><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59531</xdr:colOff>
      <xdr:row>0</xdr:row>
      <xdr:rowOff>71438</xdr:rowOff>
    </xdr:from>
    <xdr:to>
      <xdr:col>26</xdr:col>
      <xdr:colOff>35717</xdr:colOff>
      <xdr:row>31</xdr:row>
      <xdr:rowOff>119063</xdr:rowOff>
    </xdr:to>
    <xdr:sp macro="" textlink="">
      <xdr:nvSpPr>
        <xdr:cNvPr id="2" name="Rectangle 1"/>
        <xdr:cNvSpPr/>
      </xdr:nvSpPr>
      <xdr:spPr>
        <a:xfrm>
          <a:off x="59531" y="71438"/>
          <a:ext cx="15763874" cy="5214938"/>
        </a:xfrm>
        <a:prstGeom prst="rect">
          <a:avLst/>
        </a:prstGeom>
        <a:gradFill flip="none" rotWithShape="1">
          <a:gsLst>
            <a:gs pos="0">
              <a:srgbClr val="00FFCC">
                <a:shade val="30000"/>
                <a:satMod val="115000"/>
              </a:srgbClr>
            </a:gs>
            <a:gs pos="100000">
              <a:srgbClr val="00FFCC">
                <a:shade val="100000"/>
                <a:satMod val="115000"/>
              </a:srgbClr>
            </a:gs>
          </a:gsLst>
          <a:lin ang="16200000" scaled="1"/>
          <a:tileRect/>
        </a:gradFill>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166687</xdr:colOff>
      <xdr:row>0</xdr:row>
      <xdr:rowOff>83344</xdr:rowOff>
    </xdr:from>
    <xdr:to>
      <xdr:col>25</xdr:col>
      <xdr:colOff>583408</xdr:colOff>
      <xdr:row>31</xdr:row>
      <xdr:rowOff>35718</xdr:rowOff>
    </xdr:to>
    <xdr:grpSp>
      <xdr:nvGrpSpPr>
        <xdr:cNvPr id="7" name="Group 6"/>
        <xdr:cNvGrpSpPr/>
      </xdr:nvGrpSpPr>
      <xdr:grpSpPr>
        <a:xfrm>
          <a:off x="166687" y="83344"/>
          <a:ext cx="15597190" cy="5119687"/>
          <a:chOff x="107155" y="-71437"/>
          <a:chExt cx="15597190" cy="5119687"/>
        </a:xfrm>
      </xdr:grpSpPr>
      <xdr:sp macro="" textlink="">
        <xdr:nvSpPr>
          <xdr:cNvPr id="3" name="Rectangle 2"/>
          <xdr:cNvSpPr/>
        </xdr:nvSpPr>
        <xdr:spPr>
          <a:xfrm>
            <a:off x="7572375" y="-71437"/>
            <a:ext cx="8131969" cy="910167"/>
          </a:xfrm>
          <a:prstGeom prst="rect">
            <a:avLst/>
          </a:prstGeom>
          <a:solidFill>
            <a:schemeClr val="tx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 name="Rectangle 3"/>
          <xdr:cNvSpPr/>
        </xdr:nvSpPr>
        <xdr:spPr>
          <a:xfrm>
            <a:off x="881062" y="607218"/>
            <a:ext cx="14823283" cy="702469"/>
          </a:xfrm>
          <a:prstGeom prst="rect">
            <a:avLst/>
          </a:prstGeom>
          <a:solidFill>
            <a:schemeClr val="tx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 name="Rectangle 4"/>
          <xdr:cNvSpPr/>
        </xdr:nvSpPr>
        <xdr:spPr>
          <a:xfrm>
            <a:off x="4095751" y="1285873"/>
            <a:ext cx="11608594" cy="3762377"/>
          </a:xfrm>
          <a:prstGeom prst="rect">
            <a:avLst/>
          </a:prstGeom>
          <a:solidFill>
            <a:schemeClr val="tx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6" name="TextBox 5"/>
          <xdr:cNvSpPr txBox="1"/>
        </xdr:nvSpPr>
        <xdr:spPr>
          <a:xfrm>
            <a:off x="107155" y="35718"/>
            <a:ext cx="732234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sz="2400" b="1" u="none">
                <a:solidFill>
                  <a:schemeClr val="dk1"/>
                </a:solidFill>
                <a:effectLst/>
                <a:latin typeface="Bell MT" panose="02020503060305020303" pitchFamily="18" charset="0"/>
                <a:ea typeface="+mn-ea"/>
                <a:cs typeface="Aparajita" panose="020B0604020202020204" pitchFamily="34" charset="0"/>
              </a:rPr>
              <a:t>E-commerce Sales &amp; Pricing Performance Dashboard</a:t>
            </a:r>
            <a:endParaRPr lang="en-IN" sz="2400" b="1" u="none">
              <a:effectLst/>
              <a:latin typeface="Bell MT" panose="02020503060305020303" pitchFamily="18" charset="0"/>
              <a:cs typeface="Aparajita" panose="020B0604020202020204" pitchFamily="34" charset="0"/>
            </a:endParaRPr>
          </a:p>
          <a:p>
            <a:endParaRPr lang="en-IN" sz="2400"/>
          </a:p>
        </xdr:txBody>
      </xdr:sp>
    </xdr:grpSp>
    <xdr:clientData/>
  </xdr:twoCellAnchor>
  <xdr:twoCellAnchor>
    <xdr:from>
      <xdr:col>15</xdr:col>
      <xdr:colOff>11904</xdr:colOff>
      <xdr:row>0</xdr:row>
      <xdr:rowOff>142875</xdr:rowOff>
    </xdr:from>
    <xdr:to>
      <xdr:col>17</xdr:col>
      <xdr:colOff>83342</xdr:colOff>
      <xdr:row>4</xdr:row>
      <xdr:rowOff>95250</xdr:rowOff>
    </xdr:to>
    <xdr:grpSp>
      <xdr:nvGrpSpPr>
        <xdr:cNvPr id="15" name="Group 14"/>
        <xdr:cNvGrpSpPr/>
      </xdr:nvGrpSpPr>
      <xdr:grpSpPr>
        <a:xfrm>
          <a:off x="9120185" y="142875"/>
          <a:ext cx="1285876" cy="619125"/>
          <a:chOff x="7655718" y="154781"/>
          <a:chExt cx="1285876" cy="619125"/>
        </a:xfrm>
        <a:solidFill>
          <a:srgbClr val="292929"/>
        </a:solidFill>
      </xdr:grpSpPr>
      <xdr:sp macro="" textlink="">
        <xdr:nvSpPr>
          <xdr:cNvPr id="16" name="TextBox 15"/>
          <xdr:cNvSpPr txBox="1"/>
        </xdr:nvSpPr>
        <xdr:spPr>
          <a:xfrm>
            <a:off x="7655718" y="154781"/>
            <a:ext cx="1285876"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i="0" u="none" strike="noStrike">
                <a:solidFill>
                  <a:schemeClr val="bg1"/>
                </a:solidFill>
                <a:latin typeface="Arial"/>
                <a:ea typeface="+mn-ea"/>
                <a:cs typeface="Arial"/>
              </a:rPr>
              <a:t>Total Profit</a:t>
            </a:r>
          </a:p>
        </xdr:txBody>
      </xdr:sp>
      <xdr:sp macro="" textlink="Pivot_tbl!AD15">
        <xdr:nvSpPr>
          <xdr:cNvPr id="17" name="TextBox 16"/>
          <xdr:cNvSpPr txBox="1"/>
        </xdr:nvSpPr>
        <xdr:spPr>
          <a:xfrm>
            <a:off x="7655718" y="476250"/>
            <a:ext cx="1285876"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86644EA-604A-49C9-90CC-98CB7C4B3F99}" type="TxLink">
              <a:rPr lang="en-US" sz="1200" b="1" i="0" u="none" strike="noStrike">
                <a:solidFill>
                  <a:schemeClr val="bg1"/>
                </a:solidFill>
                <a:latin typeface="Arial"/>
                <a:ea typeface="+mn-ea"/>
                <a:cs typeface="Arial"/>
              </a:rPr>
              <a:pPr marL="0" indent="0" algn="ctr"/>
              <a:t>Rs. 3,14,97,339</a:t>
            </a:fld>
            <a:endParaRPr lang="en-IN" sz="1200" b="1" i="0" u="none" strike="noStrike">
              <a:solidFill>
                <a:schemeClr val="bg1"/>
              </a:solidFill>
              <a:latin typeface="Arial"/>
              <a:ea typeface="+mn-ea"/>
              <a:cs typeface="Arial"/>
            </a:endParaRPr>
          </a:p>
        </xdr:txBody>
      </xdr:sp>
    </xdr:grpSp>
    <xdr:clientData/>
  </xdr:twoCellAnchor>
  <xdr:twoCellAnchor>
    <xdr:from>
      <xdr:col>17</xdr:col>
      <xdr:colOff>190499</xdr:colOff>
      <xdr:row>0</xdr:row>
      <xdr:rowOff>154780</xdr:rowOff>
    </xdr:from>
    <xdr:to>
      <xdr:col>19</xdr:col>
      <xdr:colOff>261938</xdr:colOff>
      <xdr:row>4</xdr:row>
      <xdr:rowOff>107155</xdr:rowOff>
    </xdr:to>
    <xdr:grpSp>
      <xdr:nvGrpSpPr>
        <xdr:cNvPr id="18" name="Group 17"/>
        <xdr:cNvGrpSpPr/>
      </xdr:nvGrpSpPr>
      <xdr:grpSpPr>
        <a:xfrm>
          <a:off x="10513218" y="154780"/>
          <a:ext cx="1285876" cy="619125"/>
          <a:chOff x="7655718" y="154781"/>
          <a:chExt cx="1285876" cy="619125"/>
        </a:xfrm>
        <a:solidFill>
          <a:srgbClr val="292929"/>
        </a:solidFill>
      </xdr:grpSpPr>
      <xdr:sp macro="" textlink="">
        <xdr:nvSpPr>
          <xdr:cNvPr id="19" name="TextBox 18"/>
          <xdr:cNvSpPr txBox="1"/>
        </xdr:nvSpPr>
        <xdr:spPr>
          <a:xfrm>
            <a:off x="7655718" y="154781"/>
            <a:ext cx="1285876"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i="0" u="none" strike="noStrike">
                <a:solidFill>
                  <a:schemeClr val="bg1"/>
                </a:solidFill>
                <a:latin typeface="Arial"/>
                <a:ea typeface="+mn-ea"/>
                <a:cs typeface="Arial"/>
              </a:rPr>
              <a:t>Avg Rating</a:t>
            </a:r>
          </a:p>
        </xdr:txBody>
      </xdr:sp>
      <xdr:sp macro="" textlink="Pivot_tbl!AG15">
        <xdr:nvSpPr>
          <xdr:cNvPr id="20" name="TextBox 19"/>
          <xdr:cNvSpPr txBox="1"/>
        </xdr:nvSpPr>
        <xdr:spPr>
          <a:xfrm>
            <a:off x="7655718" y="476250"/>
            <a:ext cx="1285876"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250243-72E8-454E-B2E5-D6BFAFBF5010}" type="TxLink">
              <a:rPr lang="en-US" sz="1200" b="1" i="0" u="none" strike="noStrike">
                <a:solidFill>
                  <a:schemeClr val="bg1"/>
                </a:solidFill>
                <a:latin typeface="Arial"/>
                <a:ea typeface="+mn-ea"/>
                <a:cs typeface="Arial"/>
              </a:rPr>
              <a:pPr marL="0" indent="0" algn="ctr"/>
              <a:t>2.95</a:t>
            </a:fld>
            <a:endParaRPr lang="en-IN" sz="1200" b="1" i="0" u="none" strike="noStrike">
              <a:solidFill>
                <a:schemeClr val="bg1"/>
              </a:solidFill>
              <a:latin typeface="Arial"/>
              <a:ea typeface="+mn-ea"/>
              <a:cs typeface="Arial"/>
            </a:endParaRPr>
          </a:p>
        </xdr:txBody>
      </xdr:sp>
    </xdr:grpSp>
    <xdr:clientData/>
  </xdr:twoCellAnchor>
  <xdr:twoCellAnchor>
    <xdr:from>
      <xdr:col>19</xdr:col>
      <xdr:colOff>380993</xdr:colOff>
      <xdr:row>0</xdr:row>
      <xdr:rowOff>154780</xdr:rowOff>
    </xdr:from>
    <xdr:to>
      <xdr:col>25</xdr:col>
      <xdr:colOff>464341</xdr:colOff>
      <xdr:row>4</xdr:row>
      <xdr:rowOff>107156</xdr:rowOff>
    </xdr:to>
    <xdr:grpSp>
      <xdr:nvGrpSpPr>
        <xdr:cNvPr id="21" name="Group 20"/>
        <xdr:cNvGrpSpPr/>
      </xdr:nvGrpSpPr>
      <xdr:grpSpPr>
        <a:xfrm>
          <a:off x="11918149" y="154780"/>
          <a:ext cx="3726661" cy="619126"/>
          <a:chOff x="7655717" y="154780"/>
          <a:chExt cx="3326278" cy="619126"/>
        </a:xfrm>
        <a:solidFill>
          <a:srgbClr val="292929"/>
        </a:solidFill>
      </xdr:grpSpPr>
      <xdr:sp macro="" textlink="">
        <xdr:nvSpPr>
          <xdr:cNvPr id="22" name="TextBox 21"/>
          <xdr:cNvSpPr txBox="1"/>
        </xdr:nvSpPr>
        <xdr:spPr>
          <a:xfrm>
            <a:off x="7655717" y="154781"/>
            <a:ext cx="1262064"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i="0" u="none" strike="noStrike">
                <a:solidFill>
                  <a:schemeClr val="bg1"/>
                </a:solidFill>
                <a:latin typeface="Arial"/>
                <a:ea typeface="+mn-ea"/>
                <a:cs typeface="Arial"/>
              </a:rPr>
              <a:t>Avg Discount %</a:t>
            </a:r>
          </a:p>
        </xdr:txBody>
      </xdr:sp>
      <xdr:sp macro="" textlink="Pivot_tbl!AI15">
        <xdr:nvSpPr>
          <xdr:cNvPr id="23" name="TextBox 22"/>
          <xdr:cNvSpPr txBox="1"/>
        </xdr:nvSpPr>
        <xdr:spPr>
          <a:xfrm>
            <a:off x="7655721" y="476250"/>
            <a:ext cx="1264623"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F688D90-976E-4D8C-AE96-E6622FFFE60D}" type="TxLink">
              <a:rPr lang="en-US" sz="1200" b="1" i="0" u="none" strike="noStrike">
                <a:solidFill>
                  <a:schemeClr val="bg1"/>
                </a:solidFill>
                <a:latin typeface="Arial"/>
                <a:ea typeface="+mn-ea"/>
                <a:cs typeface="Arial"/>
              </a:rPr>
              <a:pPr marL="0" indent="0" algn="ctr"/>
              <a:t>6.10</a:t>
            </a:fld>
            <a:endParaRPr lang="en-IN" sz="1200" b="1" i="0" u="none" strike="noStrike">
              <a:solidFill>
                <a:schemeClr val="bg1"/>
              </a:solidFill>
              <a:latin typeface="Arial"/>
              <a:ea typeface="+mn-ea"/>
              <a:cs typeface="Arial"/>
            </a:endParaRPr>
          </a:p>
        </xdr:txBody>
      </xdr:sp>
      <xdr:sp macro="" textlink="">
        <xdr:nvSpPr>
          <xdr:cNvPr id="49" name="TextBox 48"/>
          <xdr:cNvSpPr txBox="1"/>
        </xdr:nvSpPr>
        <xdr:spPr>
          <a:xfrm>
            <a:off x="9015981" y="154780"/>
            <a:ext cx="1966014" cy="619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1200" b="1" i="0" u="none" strike="noStrike">
              <a:solidFill>
                <a:schemeClr val="bg1"/>
              </a:solidFill>
              <a:latin typeface="Arial"/>
              <a:ea typeface="+mn-ea"/>
              <a:cs typeface="Arial"/>
            </a:endParaRPr>
          </a:p>
        </xdr:txBody>
      </xdr:sp>
    </xdr:grpSp>
    <xdr:clientData/>
  </xdr:twoCellAnchor>
  <xdr:twoCellAnchor>
    <xdr:from>
      <xdr:col>12</xdr:col>
      <xdr:colOff>416718</xdr:colOff>
      <xdr:row>0</xdr:row>
      <xdr:rowOff>130969</xdr:rowOff>
    </xdr:from>
    <xdr:to>
      <xdr:col>14</xdr:col>
      <xdr:colOff>488156</xdr:colOff>
      <xdr:row>4</xdr:row>
      <xdr:rowOff>83344</xdr:rowOff>
    </xdr:to>
    <xdr:grpSp>
      <xdr:nvGrpSpPr>
        <xdr:cNvPr id="40" name="Group 39"/>
        <xdr:cNvGrpSpPr/>
      </xdr:nvGrpSpPr>
      <xdr:grpSpPr>
        <a:xfrm>
          <a:off x="7703343" y="130969"/>
          <a:ext cx="1285876" cy="619125"/>
          <a:chOff x="7655718" y="154781"/>
          <a:chExt cx="1285876" cy="619125"/>
        </a:xfrm>
        <a:solidFill>
          <a:srgbClr val="292929"/>
        </a:solidFill>
      </xdr:grpSpPr>
      <xdr:sp macro="" textlink="">
        <xdr:nvSpPr>
          <xdr:cNvPr id="41" name="TextBox 40"/>
          <xdr:cNvSpPr txBox="1"/>
        </xdr:nvSpPr>
        <xdr:spPr>
          <a:xfrm>
            <a:off x="7655718" y="154781"/>
            <a:ext cx="1285876"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Revenue</a:t>
            </a:r>
          </a:p>
        </xdr:txBody>
      </xdr:sp>
      <xdr:sp macro="" textlink="Pivot_tbl!AA15">
        <xdr:nvSpPr>
          <xdr:cNvPr id="42" name="TextBox 41"/>
          <xdr:cNvSpPr txBox="1"/>
        </xdr:nvSpPr>
        <xdr:spPr>
          <a:xfrm>
            <a:off x="7655718" y="476250"/>
            <a:ext cx="1285876" cy="2976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053E80-AB78-469E-B95B-B1777DDF3006}" type="TxLink">
              <a:rPr lang="en-US" sz="1200" b="1" i="0" u="none" strike="noStrike">
                <a:solidFill>
                  <a:schemeClr val="bg1"/>
                </a:solidFill>
                <a:latin typeface="Arial"/>
                <a:cs typeface="Arial"/>
              </a:rPr>
              <a:pPr algn="ctr"/>
              <a:t>Rs. 8,73,32,512</a:t>
            </a:fld>
            <a:endParaRPr lang="en-IN" sz="1200" b="1">
              <a:solidFill>
                <a:schemeClr val="bg1"/>
              </a:solidFill>
            </a:endParaRPr>
          </a:p>
        </xdr:txBody>
      </xdr:sp>
    </xdr:grpSp>
    <xdr:clientData/>
  </xdr:twoCellAnchor>
  <xdr:twoCellAnchor>
    <xdr:from>
      <xdr:col>22</xdr:col>
      <xdr:colOff>119063</xdr:colOff>
      <xdr:row>0</xdr:row>
      <xdr:rowOff>119063</xdr:rowOff>
    </xdr:from>
    <xdr:to>
      <xdr:col>26</xdr:col>
      <xdr:colOff>75160</xdr:colOff>
      <xdr:row>4</xdr:row>
      <xdr:rowOff>107156</xdr:rowOff>
    </xdr:to>
    <xdr:grpSp>
      <xdr:nvGrpSpPr>
        <xdr:cNvPr id="62" name="Group 61"/>
        <xdr:cNvGrpSpPr/>
      </xdr:nvGrpSpPr>
      <xdr:grpSpPr>
        <a:xfrm>
          <a:off x="13477876" y="119063"/>
          <a:ext cx="2384972" cy="654843"/>
          <a:chOff x="13477876" y="119063"/>
          <a:chExt cx="2384972" cy="654843"/>
        </a:xfrm>
      </xdr:grpSpPr>
      <xdr:pic>
        <xdr:nvPicPr>
          <xdr:cNvPr id="53" name="Picture 52">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4787563" y="166685"/>
            <a:ext cx="1075285" cy="607220"/>
          </a:xfrm>
          <a:prstGeom prst="rect">
            <a:avLst/>
          </a:prstGeom>
          <a:ln>
            <a:noFill/>
          </a:ln>
          <a:effectLst>
            <a:outerShdw blurRad="190500" algn="tl" rotWithShape="0">
              <a:srgbClr val="000000">
                <a:alpha val="70000"/>
              </a:srgbClr>
            </a:outerShdw>
          </a:effectLst>
        </xdr:spPr>
      </xdr:pic>
      <xdr:grpSp>
        <xdr:nvGrpSpPr>
          <xdr:cNvPr id="61" name="Group 60"/>
          <xdr:cNvGrpSpPr/>
        </xdr:nvGrpSpPr>
        <xdr:grpSpPr>
          <a:xfrm>
            <a:off x="13477876" y="119063"/>
            <a:ext cx="1619249" cy="654843"/>
            <a:chOff x="13477876" y="119063"/>
            <a:chExt cx="1619249" cy="654843"/>
          </a:xfrm>
        </xdr:grpSpPr>
        <xdr:sp macro="" textlink="">
          <xdr:nvSpPr>
            <xdr:cNvPr id="54" name="TextBox 53"/>
            <xdr:cNvSpPr txBox="1"/>
          </xdr:nvSpPr>
          <xdr:spPr>
            <a:xfrm>
              <a:off x="14216062" y="119063"/>
              <a:ext cx="881063"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1">
                  <a:solidFill>
                    <a:schemeClr val="bg1"/>
                  </a:solidFill>
                </a:rPr>
                <a:t>Pivot Tables</a:t>
              </a:r>
            </a:p>
          </xdr:txBody>
        </xdr:sp>
        <xdr:pic>
          <xdr:nvPicPr>
            <xdr:cNvPr id="55" name="Picture 54">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477876" y="154783"/>
              <a:ext cx="595311" cy="5953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xnSp macro="">
          <xdr:nvCxnSpPr>
            <xdr:cNvPr id="57" name="Curved Connector 56"/>
            <xdr:cNvCxnSpPr/>
          </xdr:nvCxnSpPr>
          <xdr:spPr>
            <a:xfrm>
              <a:off x="14704219" y="345282"/>
              <a:ext cx="309562" cy="178593"/>
            </a:xfrm>
            <a:prstGeom prst="curvedConnector3">
              <a:avLst/>
            </a:prstGeom>
            <a:ln>
              <a:solidFill>
                <a:schemeClr val="bg1"/>
              </a:solidFill>
              <a:tailEnd type="triangle"/>
            </a:ln>
          </xdr:spPr>
          <xdr:style>
            <a:lnRef idx="1">
              <a:schemeClr val="accent3"/>
            </a:lnRef>
            <a:fillRef idx="0">
              <a:schemeClr val="accent3"/>
            </a:fillRef>
            <a:effectRef idx="0">
              <a:schemeClr val="accent3"/>
            </a:effectRef>
            <a:fontRef idx="minor">
              <a:schemeClr val="tx1"/>
            </a:fontRef>
          </xdr:style>
        </xdr:cxnSp>
        <xdr:sp macro="" textlink="">
          <xdr:nvSpPr>
            <xdr:cNvPr id="58" name="TextBox 57"/>
            <xdr:cNvSpPr txBox="1"/>
          </xdr:nvSpPr>
          <xdr:spPr>
            <a:xfrm>
              <a:off x="14061280" y="535782"/>
              <a:ext cx="940594"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1">
                  <a:solidFill>
                    <a:schemeClr val="bg1"/>
                  </a:solidFill>
                </a:rPr>
                <a:t>Master</a:t>
              </a:r>
              <a:r>
                <a:rPr lang="en-IN" sz="1100" b="0" i="1" baseline="0">
                  <a:solidFill>
                    <a:schemeClr val="bg1"/>
                  </a:solidFill>
                </a:rPr>
                <a:t> Data</a:t>
              </a:r>
              <a:endParaRPr lang="en-IN" sz="1100" b="0" i="1">
                <a:solidFill>
                  <a:schemeClr val="bg1"/>
                </a:solidFill>
              </a:endParaRPr>
            </a:p>
          </xdr:txBody>
        </xdr:sp>
        <xdr:cxnSp macro="">
          <xdr:nvCxnSpPr>
            <xdr:cNvPr id="60" name="Curved Connector 59"/>
            <xdr:cNvCxnSpPr/>
          </xdr:nvCxnSpPr>
          <xdr:spPr>
            <a:xfrm rot="10800000">
              <a:off x="14156531" y="416720"/>
              <a:ext cx="285750" cy="142875"/>
            </a:xfrm>
            <a:prstGeom prst="curvedConnector3">
              <a:avLst/>
            </a:prstGeom>
            <a:ln>
              <a:solidFill>
                <a:schemeClr val="bg1"/>
              </a:solidFill>
              <a:tailEnd type="triangle"/>
            </a:ln>
          </xdr:spPr>
          <xdr:style>
            <a:lnRef idx="1">
              <a:schemeClr val="accent3"/>
            </a:lnRef>
            <a:fillRef idx="0">
              <a:schemeClr val="accent3"/>
            </a:fillRef>
            <a:effectRef idx="0">
              <a:schemeClr val="accent3"/>
            </a:effectRef>
            <a:fontRef idx="minor">
              <a:schemeClr val="tx1"/>
            </a:fontRef>
          </xdr:style>
        </xdr:cxnSp>
      </xdr:grpSp>
    </xdr:grpSp>
    <xdr:clientData/>
  </xdr:twoCellAnchor>
  <xdr:twoCellAnchor>
    <xdr:from>
      <xdr:col>18</xdr:col>
      <xdr:colOff>452436</xdr:colOff>
      <xdr:row>5</xdr:row>
      <xdr:rowOff>47625</xdr:rowOff>
    </xdr:from>
    <xdr:to>
      <xdr:col>25</xdr:col>
      <xdr:colOff>452436</xdr:colOff>
      <xdr:row>16</xdr:row>
      <xdr:rowOff>119062</xdr:rowOff>
    </xdr:to>
    <xdr:graphicFrame macro="">
      <xdr:nvGraphicFramePr>
        <xdr:cNvPr id="66" name="monthly revenue trend "/>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273842</xdr:colOff>
      <xdr:row>5</xdr:row>
      <xdr:rowOff>35717</xdr:rowOff>
    </xdr:from>
    <xdr:to>
      <xdr:col>18</xdr:col>
      <xdr:colOff>333374</xdr:colOff>
      <xdr:row>30</xdr:row>
      <xdr:rowOff>27147</xdr:rowOff>
    </xdr:to>
    <xdr:graphicFrame macro="">
      <xdr:nvGraphicFramePr>
        <xdr:cNvPr id="72" name="top products by revenu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595312</xdr:colOff>
      <xdr:row>18</xdr:row>
      <xdr:rowOff>119062</xdr:rowOff>
    </xdr:from>
    <xdr:to>
      <xdr:col>13</xdr:col>
      <xdr:colOff>130968</xdr:colOff>
      <xdr:row>30</xdr:row>
      <xdr:rowOff>83344</xdr:rowOff>
    </xdr:to>
    <xdr:graphicFrame macro="">
      <xdr:nvGraphicFramePr>
        <xdr:cNvPr id="73" name="revenue by categor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452434</xdr:colOff>
      <xdr:row>17</xdr:row>
      <xdr:rowOff>71437</xdr:rowOff>
    </xdr:from>
    <xdr:to>
      <xdr:col>25</xdr:col>
      <xdr:colOff>452436</xdr:colOff>
      <xdr:row>30</xdr:row>
      <xdr:rowOff>23813</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595313</xdr:colOff>
      <xdr:row>4</xdr:row>
      <xdr:rowOff>142873</xdr:rowOff>
    </xdr:from>
    <xdr:to>
      <xdr:col>13</xdr:col>
      <xdr:colOff>119063</xdr:colOff>
      <xdr:row>18</xdr:row>
      <xdr:rowOff>83343</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345280</xdr:colOff>
      <xdr:row>4</xdr:row>
      <xdr:rowOff>154781</xdr:rowOff>
    </xdr:from>
    <xdr:to>
      <xdr:col>6</xdr:col>
      <xdr:colOff>416717</xdr:colOff>
      <xdr:row>14</xdr:row>
      <xdr:rowOff>83343</xdr:rowOff>
    </xdr:to>
    <xdr:grpSp>
      <xdr:nvGrpSpPr>
        <xdr:cNvPr id="9" name="Group 8"/>
        <xdr:cNvGrpSpPr/>
      </xdr:nvGrpSpPr>
      <xdr:grpSpPr>
        <a:xfrm>
          <a:off x="952499" y="821531"/>
          <a:ext cx="3107531" cy="1595437"/>
          <a:chOff x="881062" y="750093"/>
          <a:chExt cx="3107531" cy="1595437"/>
        </a:xfrm>
      </xdr:grpSpPr>
      <mc:AlternateContent xmlns:mc="http://schemas.openxmlformats.org/markup-compatibility/2006" xmlns:a14="http://schemas.microsoft.com/office/drawing/2010/main">
        <mc:Choice Requires="a14">
          <xdr:graphicFrame macro="">
            <xdr:nvGraphicFramePr>
              <xdr:cNvPr id="48" name="sale_date "/>
              <xdr:cNvGraphicFramePr>
                <a:graphicFrameLocks noMove="1" noResize="1"/>
              </xdr:cNvGraphicFramePr>
            </xdr:nvGraphicFramePr>
            <xdr:xfrm>
              <a:off x="881062" y="750093"/>
              <a:ext cx="3107531" cy="1595437"/>
            </xdr:xfrm>
            <a:graphic>
              <a:graphicData uri="http://schemas.microsoft.com/office/drawing/2010/slicer">
                <sle:slicer xmlns:sle="http://schemas.microsoft.com/office/drawing/2010/slicer" name="sale_date "/>
              </a:graphicData>
            </a:graphic>
          </xdr:graphicFrame>
        </mc:Choice>
        <mc:Fallback xmlns="">
          <xdr:sp macro="" textlink="">
            <xdr:nvSpPr>
              <xdr:cNvPr id="0" name=""/>
              <xdr:cNvSpPr>
                <a:spLocks noTextEdit="1"/>
              </xdr:cNvSpPr>
            </xdr:nvSpPr>
            <xdr:spPr>
              <a:xfrm>
                <a:off x="952499" y="821531"/>
                <a:ext cx="3107531" cy="1595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 name="Rectangle 7"/>
          <xdr:cNvSpPr/>
        </xdr:nvSpPr>
        <xdr:spPr>
          <a:xfrm>
            <a:off x="3714749" y="1023938"/>
            <a:ext cx="238125" cy="1262062"/>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326572</xdr:colOff>
      <xdr:row>14</xdr:row>
      <xdr:rowOff>149679</xdr:rowOff>
    </xdr:from>
    <xdr:to>
      <xdr:col>6</xdr:col>
      <xdr:colOff>408214</xdr:colOff>
      <xdr:row>25</xdr:row>
      <xdr:rowOff>154781</xdr:rowOff>
    </xdr:to>
    <xdr:grpSp>
      <xdr:nvGrpSpPr>
        <xdr:cNvPr id="12" name="Group 11"/>
        <xdr:cNvGrpSpPr/>
      </xdr:nvGrpSpPr>
      <xdr:grpSpPr>
        <a:xfrm>
          <a:off x="933791" y="2483304"/>
          <a:ext cx="3117736" cy="1838665"/>
          <a:chOff x="857250" y="2438556"/>
          <a:chExt cx="3138752" cy="1883413"/>
        </a:xfrm>
      </xdr:grpSpPr>
      <mc:AlternateContent xmlns:mc="http://schemas.openxmlformats.org/markup-compatibility/2006" xmlns:a14="http://schemas.microsoft.com/office/drawing/2010/main">
        <mc:Choice Requires="a14">
          <xdr:graphicFrame macro="">
            <xdr:nvGraphicFramePr>
              <xdr:cNvPr id="75" name="category 1"/>
              <xdr:cNvGraphicFramePr>
                <a:graphicFrameLocks noMove="1" noResize="1"/>
              </xdr:cNvGraphicFramePr>
            </xdr:nvGraphicFramePr>
            <xdr:xfrm>
              <a:off x="857250" y="2438556"/>
              <a:ext cx="3138752" cy="1883413"/>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3791" y="2483304"/>
                <a:ext cx="3117736" cy="1838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9" name="Rectangle 38"/>
          <xdr:cNvSpPr/>
        </xdr:nvSpPr>
        <xdr:spPr>
          <a:xfrm>
            <a:off x="3726576" y="2702718"/>
            <a:ext cx="202407" cy="1583531"/>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190500</xdr:colOff>
      <xdr:row>3</xdr:row>
      <xdr:rowOff>136072</xdr:rowOff>
    </xdr:from>
    <xdr:to>
      <xdr:col>12</xdr:col>
      <xdr:colOff>176894</xdr:colOff>
      <xdr:row>3</xdr:row>
      <xdr:rowOff>136074</xdr:rowOff>
    </xdr:to>
    <xdr:cxnSp macro="">
      <xdr:nvCxnSpPr>
        <xdr:cNvPr id="14" name="Straight Connector 13"/>
        <xdr:cNvCxnSpPr/>
      </xdr:nvCxnSpPr>
      <xdr:spPr>
        <a:xfrm>
          <a:off x="190500" y="625929"/>
          <a:ext cx="7334251" cy="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91167</xdr:colOff>
      <xdr:row>24</xdr:row>
      <xdr:rowOff>187780</xdr:rowOff>
    </xdr:from>
    <xdr:to>
      <xdr:col>34</xdr:col>
      <xdr:colOff>1735251</xdr:colOff>
      <xdr:row>35</xdr:row>
      <xdr:rowOff>19050</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511310" y="4882244"/>
              <a:ext cx="1644084" cy="207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35719</xdr:colOff>
      <xdr:row>20</xdr:row>
      <xdr:rowOff>0</xdr:rowOff>
    </xdr:from>
    <xdr:to>
      <xdr:col>28</xdr:col>
      <xdr:colOff>202406</xdr:colOff>
      <xdr:row>22</xdr:row>
      <xdr:rowOff>59531</xdr:rowOff>
    </xdr:to>
    <xdr:sp macro="" textlink="$AA$15">
      <xdr:nvSpPr>
        <xdr:cNvPr id="4" name="Rectangle 3"/>
        <xdr:cNvSpPr/>
      </xdr:nvSpPr>
      <xdr:spPr>
        <a:xfrm>
          <a:off x="28717875" y="3964781"/>
          <a:ext cx="1333500" cy="48815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577E242-225C-467E-AA02-8262C54F9026}" type="TxLink">
            <a:rPr lang="en-US" sz="1400" b="0" i="0" u="none" strike="noStrike" cap="none" spc="0">
              <a:ln w="0"/>
              <a:solidFill>
                <a:schemeClr val="tx1"/>
              </a:solidFill>
              <a:effectLst>
                <a:outerShdw blurRad="38100" dist="19050" dir="2700000" algn="tl" rotWithShape="0">
                  <a:schemeClr val="dk1">
                    <a:alpha val="40000"/>
                  </a:schemeClr>
                </a:outerShdw>
              </a:effectLst>
              <a:latin typeface="Arial"/>
              <a:cs typeface="Arial"/>
            </a:rPr>
            <a:pPr algn="l"/>
            <a:t>Rs. 8,73,32,512</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28</xdr:col>
      <xdr:colOff>1059656</xdr:colOff>
      <xdr:row>20</xdr:row>
      <xdr:rowOff>0</xdr:rowOff>
    </xdr:from>
    <xdr:to>
      <xdr:col>31</xdr:col>
      <xdr:colOff>273844</xdr:colOff>
      <xdr:row>22</xdr:row>
      <xdr:rowOff>59531</xdr:rowOff>
    </xdr:to>
    <xdr:sp macro="" textlink="$AD$15">
      <xdr:nvSpPr>
        <xdr:cNvPr id="5" name="Rectangle 4"/>
        <xdr:cNvSpPr/>
      </xdr:nvSpPr>
      <xdr:spPr>
        <a:xfrm>
          <a:off x="30813375" y="3964781"/>
          <a:ext cx="1333500" cy="48815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3FCF814-DBFB-49DA-9369-BB82AF91D91F}"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l"/>
            <a:t>Rs. 3,14,97,339</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32</xdr:col>
      <xdr:colOff>369094</xdr:colOff>
      <xdr:row>19</xdr:row>
      <xdr:rowOff>166686</xdr:rowOff>
    </xdr:from>
    <xdr:to>
      <xdr:col>32</xdr:col>
      <xdr:colOff>964406</xdr:colOff>
      <xdr:row>22</xdr:row>
      <xdr:rowOff>59530</xdr:rowOff>
    </xdr:to>
    <xdr:sp macro="" textlink="$AG$15">
      <xdr:nvSpPr>
        <xdr:cNvPr id="6" name="Rectangle 5"/>
        <xdr:cNvSpPr/>
      </xdr:nvSpPr>
      <xdr:spPr>
        <a:xfrm>
          <a:off x="32944594" y="3964780"/>
          <a:ext cx="595312" cy="48815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EBE1882-30AA-4D2A-A9B3-18A342282C90}"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l"/>
            <a:t>2.95</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34</xdr:col>
      <xdr:colOff>559595</xdr:colOff>
      <xdr:row>20</xdr:row>
      <xdr:rowOff>0</xdr:rowOff>
    </xdr:from>
    <xdr:to>
      <xdr:col>34</xdr:col>
      <xdr:colOff>1285876</xdr:colOff>
      <xdr:row>22</xdr:row>
      <xdr:rowOff>59531</xdr:rowOff>
    </xdr:to>
    <xdr:sp macro="" textlink="$AI$15">
      <xdr:nvSpPr>
        <xdr:cNvPr id="7" name="Rectangle 6"/>
        <xdr:cNvSpPr/>
      </xdr:nvSpPr>
      <xdr:spPr>
        <a:xfrm>
          <a:off x="35052001" y="3964781"/>
          <a:ext cx="726281" cy="48815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046743C-DF8B-41CD-B640-7EA06384DEB2}"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l"/>
            <a:t>6.10</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31</xdr:col>
      <xdr:colOff>0</xdr:colOff>
      <xdr:row>25</xdr:row>
      <xdr:rowOff>0</xdr:rowOff>
    </xdr:from>
    <xdr:to>
      <xdr:col>33</xdr:col>
      <xdr:colOff>100693</xdr:colOff>
      <xdr:row>35</xdr:row>
      <xdr:rowOff>0</xdr:rowOff>
    </xdr:to>
    <mc:AlternateContent xmlns:mc="http://schemas.openxmlformats.org/markup-compatibility/2006" xmlns:a14="http://schemas.microsoft.com/office/drawing/2010/main">
      <mc:Choice Requires="a14">
        <xdr:graphicFrame macro="">
          <xdr:nvGraphicFramePr>
            <xdr:cNvPr id="9" name="sale_date  1"/>
            <xdr:cNvGraphicFramePr/>
          </xdr:nvGraphicFramePr>
          <xdr:xfrm>
            <a:off x="0" y="0"/>
            <a:ext cx="0" cy="0"/>
          </xdr:xfrm>
          <a:graphic>
            <a:graphicData uri="http://schemas.microsoft.com/office/drawing/2010/slicer">
              <sle:slicer xmlns:sle="http://schemas.microsoft.com/office/drawing/2010/slicer" name="sale_date  1"/>
            </a:graphicData>
          </a:graphic>
        </xdr:graphicFrame>
      </mc:Choice>
      <mc:Fallback xmlns="">
        <xdr:sp macro="" textlink="">
          <xdr:nvSpPr>
            <xdr:cNvPr id="0" name=""/>
            <xdr:cNvSpPr>
              <a:spLocks noTextEdit="1"/>
            </xdr:cNvSpPr>
          </xdr:nvSpPr>
          <xdr:spPr>
            <a:xfrm>
              <a:off x="39079714" y="4898571"/>
              <a:ext cx="1828800" cy="204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1009650</xdr:colOff>
      <xdr:row>0</xdr:row>
      <xdr:rowOff>152400</xdr:rowOff>
    </xdr:from>
    <xdr:to>
      <xdr:col>41</xdr:col>
      <xdr:colOff>114300</xdr:colOff>
      <xdr:row>5</xdr:row>
      <xdr:rowOff>0</xdr:rowOff>
    </xdr:to>
    <xdr:sp macro="" textlink="">
      <xdr:nvSpPr>
        <xdr:cNvPr id="2" name="Rectangle 1"/>
        <xdr:cNvSpPr/>
      </xdr:nvSpPr>
      <xdr:spPr>
        <a:xfrm>
          <a:off x="41338500" y="152400"/>
          <a:ext cx="5562600" cy="857250"/>
        </a:xfrm>
        <a:prstGeom prst="rect">
          <a:avLst/>
        </a:prstGeom>
        <a:solidFill>
          <a:srgbClr val="00CC99"/>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1104900</xdr:colOff>
      <xdr:row>1</xdr:row>
      <xdr:rowOff>19050</xdr:rowOff>
    </xdr:from>
    <xdr:to>
      <xdr:col>40</xdr:col>
      <xdr:colOff>571500</xdr:colOff>
      <xdr:row>4</xdr:row>
      <xdr:rowOff>114300</xdr:rowOff>
    </xdr:to>
    <xdr:sp macro="" textlink="">
      <xdr:nvSpPr>
        <xdr:cNvPr id="10" name="TextBox 9"/>
        <xdr:cNvSpPr txBox="1"/>
      </xdr:nvSpPr>
      <xdr:spPr>
        <a:xfrm>
          <a:off x="41433750" y="228600"/>
          <a:ext cx="5314950" cy="685800"/>
        </a:xfrm>
        <a:prstGeom prst="rect">
          <a:avLst/>
        </a:prstGeom>
        <a:solidFill>
          <a:schemeClr val="tx1">
            <a:lumMod val="95000"/>
            <a:lumOff val="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latin typeface="Aparajita" panose="020B0604020202020204" pitchFamily="34" charset="0"/>
              <a:cs typeface="Aparajita" panose="020B0604020202020204" pitchFamily="34" charset="0"/>
            </a:rPr>
            <a:t>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psharma" refreshedDate="46114.807262962961" createdVersion="5" refreshedVersion="5" minRefreshableVersion="3" recordCount="1000">
  <cacheSource type="worksheet">
    <worksheetSource ref="A1:Q1001" sheet="Master_tbl"/>
  </cacheSource>
  <cacheFields count="17">
    <cacheField name=" sale_id" numFmtId="0">
      <sharedItems containsSemiMixedTypes="0" containsString="0" containsNumber="1" containsInteger="1" minValue="1" maxValue="1000"/>
    </cacheField>
    <cacheField name="product_id " numFmtId="0">
      <sharedItems containsSemiMixedTypes="0" containsString="0" containsNumber="1" containsInteger="1" minValue="1" maxValue="150"/>
    </cacheField>
    <cacheField name="sale_date " numFmtId="14">
      <sharedItems containsSemiMixedTypes="0" containsNonDate="0" containsDate="1" containsString="0" minDate="2023-01-01T00:00:00" maxDate="2025-12-31T00:00:00"/>
    </cacheField>
    <cacheField name="quantity_sold " numFmtId="0">
      <sharedItems containsSemiMixedTypes="0" containsString="0" containsNumber="1" containsInteger="1" minValue="1" maxValue="50"/>
    </cacheField>
    <cacheField name="discount_percent" numFmtId="0">
      <sharedItems containsSemiMixedTypes="0" containsString="0" containsNumber="1" containsInteger="1" minValue="2" maxValue="10"/>
    </cacheField>
    <cacheField name="final_sale_price" numFmtId="2">
      <sharedItems containsSemiMixedTypes="0" containsString="0" containsNumber="1" minValue="121.67100000000001" maxValue="8267.2309999999998"/>
    </cacheField>
    <cacheField name="product_name" numFmtId="0">
      <sharedItems count="150">
        <s v="Washing Machine 90"/>
        <s v="Refrigerator 117"/>
        <s v="Action Figure 27"/>
        <s v="Water Purifier 48"/>
        <s v="Self Help Book 121"/>
        <s v="Jacket 101"/>
        <s v="Dress 22"/>
        <s v="Yoga Mat 82"/>
        <s v="Cricket Bat 94"/>
        <s v="Dress 40"/>
        <s v="Doll 50"/>
        <s v="Fiction Novel 32"/>
        <s v="Remote Car 103"/>
        <s v="Running Shoes 138"/>
        <s v="Smartphone 149"/>
        <s v="Laptop 87"/>
        <s v="Remote Car 11"/>
        <s v="Smartwatch 56"/>
        <s v="Bluetooth Speaker 51"/>
        <s v="Lipstick 112"/>
        <s v="Air Conditioner 9"/>
        <s v="T-Shirt 100"/>
        <s v="Air Conditioner 125"/>
        <s v="Doll 34"/>
        <s v="Handbag 7"/>
        <s v="Jacket 139"/>
        <s v="Biography 78"/>
        <s v="Tennis Racket 15"/>
        <s v="Foundation 83"/>
        <s v="Puzzle Set 150"/>
        <s v="Handbag 136"/>
        <s v="Children Story Book 64"/>
        <s v="Rice Pack 24"/>
        <s v="Jacket 10"/>
        <s v="Microwave 6"/>
        <s v="Sunglasses 91"/>
        <s v="Biography 60"/>
        <s v="Cricket Bat 147"/>
        <s v="Tennis Racket 25"/>
        <s v="Building Blocks 86"/>
        <s v="Puzzle Set 133"/>
        <s v="Sugar 63"/>
        <s v="Handbag 85"/>
        <s v="Smartwatch 59"/>
        <s v="Children Story Book 104"/>
        <s v="Wheat Flour 119"/>
        <s v="Coffee Beans 18"/>
        <s v="Face Wash 55"/>
        <s v="Coffee Beans 77"/>
        <s v="Perfume 39"/>
        <s v="Cookbook 54"/>
        <s v="Coffee Beans 95"/>
        <s v="Bluetooth Speaker 31"/>
        <s v="Lipstick 68"/>
        <s v="Self Help Book 71"/>
        <s v="Face Wash 57"/>
        <s v="Smartwatch 29"/>
        <s v="Refrigerator 36"/>
        <s v="Building Blocks 116"/>
        <s v="Cricket Bat 126"/>
        <s v="Action Figure 46"/>
        <s v="Green Tea 20"/>
        <s v="Gym Gloves 4"/>
        <s v="Laptop 76"/>
        <s v="Air Conditioner 2"/>
        <s v="Smartwatch 72"/>
        <s v="Cookbook 93"/>
        <s v="Water Purifier 21"/>
        <s v="Smartphone 129"/>
        <s v="Doll 45"/>
        <s v="Water Purifier 28"/>
        <s v="Children Story Book 115"/>
        <s v="Olive Oil 41"/>
        <s v="Washing Machine 97"/>
        <s v="Doll 106"/>
        <s v="Cookbook 52"/>
        <s v="Perfume 67"/>
        <s v="Air Conditioner 144"/>
        <s v="Sneakers 74"/>
        <s v="Olive Oil 62"/>
        <s v="Moisturizer 84"/>
        <s v="Olive Oil 66"/>
        <s v="Lipstick 108"/>
        <s v="Action Figure 73"/>
        <s v="Washing Machine 33"/>
        <s v="Action Figure 105"/>
        <s v="Puzzle Set 141"/>
        <s v="Green Tea 113"/>
        <s v="Puzzle Set 92"/>
        <s v="Shampoo 122"/>
        <s v="Biography 65"/>
        <s v="Cookbook 110"/>
        <s v="Remote Car 140"/>
        <s v="Football 13"/>
        <s v="Fiction Novel 109"/>
        <s v="Air Conditioner 19"/>
        <s v="Sugar 37"/>
        <s v="Wheat Flour 1"/>
        <s v="Green Tea 70"/>
        <s v="Smartwatch 114"/>
        <s v="Rice Pack 26"/>
        <s v="Gym Gloves 127"/>
        <s v="Doll 69"/>
        <s v="Wheat Flour 58"/>
        <s v="Sneakers 35"/>
        <s v="Gym Gloves 96"/>
        <s v="Sneakers 99"/>
        <s v="Self Help Book 145"/>
        <s v="Remote Car 89"/>
        <s v="Lipstick 131"/>
        <s v="Perfume 111"/>
        <s v="Gym Gloves 130"/>
        <s v="Cookbook 47"/>
        <s v="Moisturizer 5"/>
        <s v="Puzzle Set 8"/>
        <s v="Coffee Beans 44"/>
        <s v="Tablet 88"/>
        <s v="Coffee Beans 128"/>
        <s v="Bluetooth Speaker 23"/>
        <s v="Jeans 43"/>
        <s v="Cookbook 53"/>
        <s v="Headphones 134"/>
        <s v="Running Shoes 12"/>
        <s v="Doll 30"/>
        <s v="Puzzle Set 98"/>
        <s v="Vacuum Cleaner 120"/>
        <s v="Jeans 38"/>
        <s v="Gym Gloves 148"/>
        <s v="Sneakers 75"/>
        <s v="Biography 3"/>
        <s v="Washing Machine 80"/>
        <s v="Doll 118"/>
        <s v="Action Figure 42"/>
        <s v="Moisturizer 137"/>
        <s v="Biography 79"/>
        <s v="Yoga Mat 17"/>
        <s v="Foundation 49"/>
        <s v="Face Wash 107"/>
        <s v="Coffee Beans 14"/>
        <s v="Remote Car 143"/>
        <s v="Water Purifier 135"/>
        <s v="Jeans 142"/>
        <s v="Cookbook 16"/>
        <s v="Action Figure 102"/>
        <s v="Cookbook 146"/>
        <s v="Cricket Bat 132"/>
        <s v="Green Tea 61"/>
        <s v="Water Purifier 81"/>
        <s v="Sunglasses 123"/>
        <s v="Sunglasses 124"/>
      </sharedItems>
    </cacheField>
    <cacheField name="category" numFmtId="0">
      <sharedItems count="8">
        <s v="Home Appliances"/>
        <s v="Toys"/>
        <s v="Books"/>
        <s v="Fashion"/>
        <s v="Sports"/>
        <s v="Electronics"/>
        <s v="Beauty"/>
        <s v="Grocery"/>
      </sharedItems>
    </cacheField>
    <cacheField name="cost_price" numFmtId="0">
      <sharedItems containsSemiMixedTypes="0" containsString="0" containsNumber="1" minValue="81.11399999999999" maxValue="5061.5700000000006"/>
    </cacheField>
    <cacheField name="base_price" numFmtId="0">
      <sharedItems containsSemiMixedTypes="0" containsString="0" containsNumber="1" minValue="135.19" maxValue="8435.9500000000007"/>
    </cacheField>
    <cacheField name="rating  " numFmtId="0">
      <sharedItems containsSemiMixedTypes="0" containsString="0" containsNumber="1" containsInteger="1" minValue="1" maxValue="5"/>
    </cacheField>
    <cacheField name="competitor_price" numFmtId="2">
      <sharedItems containsSemiMixedTypes="0" containsString="0" containsNumber="1" minValue="138.43829863318425" maxValue="10746.349470772069"/>
    </cacheField>
    <cacheField name="avg_comp_price" numFmtId="2">
      <sharedItems containsSemiMixedTypes="0" containsString="0" containsNumber="1" minValue="197.005" maxValue="9555.6079999999984"/>
    </cacheField>
    <cacheField name="Revenue" numFmtId="2">
      <sharedItems containsSemiMixedTypes="0" containsString="0" containsNumber="1" minValue="262.26859999999999" maxValue="363525.5808"/>
    </cacheField>
    <cacheField name="Profit" numFmtId="2">
      <sharedItems containsSemiMixedTypes="0" containsString="0" containsNumber="1" minValue="100.04060000000001" maxValue="138664.39679999999"/>
    </cacheField>
    <cacheField name="Price Difference" numFmtId="2">
      <sharedItems containsSemiMixedTypes="0" containsString="0" containsNumber="1" minValue="-6670.9632000000001" maxValue="7162.5595999999996"/>
    </cacheField>
    <cacheField name="Price Difference %" numFmtId="9">
      <sharedItems containsSemiMixedTypes="0" containsString="0" containsNumber="1" minValue="-0.95134263778947548" maxValue="24.6717678100263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psharma" refreshedDate="46120.521418402779" createdVersion="5" refreshedVersion="5" minRefreshableVersion="3" recordCount="1002">
  <cacheSource type="worksheet">
    <worksheetSource name="Table5"/>
  </cacheSource>
  <cacheFields count="20">
    <cacheField name=" sale_id" numFmtId="0">
      <sharedItems containsString="0" containsBlank="1" containsNumber="1" containsInteger="1" minValue="1" maxValue="1000"/>
    </cacheField>
    <cacheField name="product_id " numFmtId="0">
      <sharedItems containsString="0" containsBlank="1" containsNumber="1" containsInteger="1" minValue="1" maxValue="150"/>
    </cacheField>
    <cacheField name="sale_date " numFmtId="14">
      <sharedItems containsNonDate="0" containsDate="1" containsString="0" containsBlank="1" minDate="2023-01-01T00:00:00" maxDate="2025-12-31T00:00:00" count="647">
        <d v="2025-08-09T00:00:00"/>
        <d v="2024-03-21T00:00:00"/>
        <d v="2024-02-17T00:00:00"/>
        <d v="2025-01-03T00:00:00"/>
        <d v="2023-07-08T00:00:00"/>
        <d v="2023-06-20T00:00:00"/>
        <d v="2024-04-29T00:00:00"/>
        <d v="2023-10-16T00:00:00"/>
        <d v="2025-05-18T00:00:00"/>
        <d v="2023-05-21T00:00:00"/>
        <d v="2025-04-08T00:00:00"/>
        <d v="2025-05-07T00:00:00"/>
        <d v="2024-03-26T00:00:00"/>
        <d v="2025-03-05T00:00:00"/>
        <d v="2025-07-04T00:00:00"/>
        <d v="2023-10-14T00:00:00"/>
        <d v="2024-12-09T00:00:00"/>
        <d v="2024-04-05T00:00:00"/>
        <d v="2024-08-21T00:00:00"/>
        <d v="2025-06-11T00:00:00"/>
        <d v="2025-07-26T00:00:00"/>
        <d v="2024-01-27T00:00:00"/>
        <d v="2024-11-19T00:00:00"/>
        <d v="2023-03-12T00:00:00"/>
        <d v="2025-07-17T00:00:00"/>
        <d v="2025-04-05T00:00:00"/>
        <d v="2024-04-08T00:00:00"/>
        <d v="2024-10-31T00:00:00"/>
        <d v="2023-12-09T00:00:00"/>
        <d v="2023-08-27T00:00:00"/>
        <d v="2024-12-17T00:00:00"/>
        <d v="2023-08-14T00:00:00"/>
        <d v="2025-12-29T00:00:00"/>
        <d v="2025-12-20T00:00:00"/>
        <d v="2025-08-03T00:00:00"/>
        <d v="2024-08-01T00:00:00"/>
        <d v="2024-02-19T00:00:00"/>
        <d v="2023-11-26T00:00:00"/>
        <d v="2025-05-15T00:00:00"/>
        <d v="2024-12-13T00:00:00"/>
        <d v="2024-08-30T00:00:00"/>
        <d v="2025-02-28T00:00:00"/>
        <d v="2024-11-16T00:00:00"/>
        <d v="2023-02-04T00:00:00"/>
        <d v="2025-09-10T00:00:00"/>
        <d v="2024-03-11T00:00:00"/>
        <d v="2024-01-15T00:00:00"/>
        <d v="2025-05-08T00:00:00"/>
        <d v="2024-01-06T00:00:00"/>
        <d v="2023-05-14T00:00:00"/>
        <d v="2024-06-22T00:00:00"/>
        <d v="2025-10-07T00:00:00"/>
        <d v="2024-06-23T00:00:00"/>
        <d v="2023-05-03T00:00:00"/>
        <d v="2024-12-11T00:00:00"/>
        <d v="2023-01-08T00:00:00"/>
        <d v="2024-12-12T00:00:00"/>
        <d v="2023-03-05T00:00:00"/>
        <d v="2024-09-14T00:00:00"/>
        <d v="2023-08-12T00:00:00"/>
        <d v="2024-01-29T00:00:00"/>
        <d v="2024-10-26T00:00:00"/>
        <d v="2024-08-29T00:00:00"/>
        <d v="2025-02-04T00:00:00"/>
        <d v="2025-12-03T00:00:00"/>
        <d v="2025-01-07T00:00:00"/>
        <d v="2024-04-15T00:00:00"/>
        <d v="2024-07-09T00:00:00"/>
        <d v="2025-10-08T00:00:00"/>
        <d v="2024-01-03T00:00:00"/>
        <d v="2024-10-02T00:00:00"/>
        <d v="2024-06-30T00:00:00"/>
        <d v="2025-09-11T00:00:00"/>
        <d v="2025-06-20T00:00:00"/>
        <d v="2023-01-11T00:00:00"/>
        <d v="2023-02-09T00:00:00"/>
        <d v="2023-09-15T00:00:00"/>
        <d v="2024-10-29T00:00:00"/>
        <d v="2025-08-15T00:00:00"/>
        <d v="2023-11-11T00:00:00"/>
        <d v="2024-04-22T00:00:00"/>
        <d v="2025-08-19T00:00:00"/>
        <d v="2023-11-23T00:00:00"/>
        <d v="2025-12-18T00:00:00"/>
        <d v="2023-09-12T00:00:00"/>
        <d v="2025-01-28T00:00:00"/>
        <d v="2024-11-21T00:00:00"/>
        <d v="2025-06-02T00:00:00"/>
        <d v="2023-02-10T00:00:00"/>
        <d v="2025-09-15T00:00:00"/>
        <d v="2023-05-26T00:00:00"/>
        <d v="2025-10-03T00:00:00"/>
        <d v="2025-08-06T00:00:00"/>
        <d v="2023-08-22T00:00:00"/>
        <d v="2023-03-20T00:00:00"/>
        <d v="2024-07-22T00:00:00"/>
        <d v="2024-05-07T00:00:00"/>
        <d v="2024-09-23T00:00:00"/>
        <d v="2025-11-14T00:00:00"/>
        <d v="2025-09-24T00:00:00"/>
        <d v="2024-03-01T00:00:00"/>
        <d v="2025-05-24T00:00:00"/>
        <d v="2023-02-01T00:00:00"/>
        <d v="2025-11-05T00:00:00"/>
        <d v="2025-11-06T00:00:00"/>
        <d v="2025-01-19T00:00:00"/>
        <d v="2024-04-07T00:00:00"/>
        <d v="2025-02-16T00:00:00"/>
        <d v="2023-08-20T00:00:00"/>
        <d v="2024-03-12T00:00:00"/>
        <d v="2025-12-04T00:00:00"/>
        <d v="2023-05-22T00:00:00"/>
        <d v="2024-09-20T00:00:00"/>
        <d v="2024-10-18T00:00:00"/>
        <d v="2024-06-27T00:00:00"/>
        <d v="2024-12-15T00:00:00"/>
        <d v="2024-01-18T00:00:00"/>
        <d v="2025-10-12T00:00:00"/>
        <d v="2024-05-06T00:00:00"/>
        <d v="2025-12-14T00:00:00"/>
        <d v="2023-03-15T00:00:00"/>
        <d v="2023-11-04T00:00:00"/>
        <d v="2025-04-27T00:00:00"/>
        <d v="2023-04-02T00:00:00"/>
        <d v="2025-09-08T00:00:00"/>
        <d v="2025-02-27T00:00:00"/>
        <d v="2025-02-22T00:00:00"/>
        <d v="2025-09-27T00:00:00"/>
        <d v="2023-12-03T00:00:00"/>
        <d v="2023-10-06T00:00:00"/>
        <d v="2024-04-27T00:00:00"/>
        <d v="2023-04-20T00:00:00"/>
        <d v="2023-11-06T00:00:00"/>
        <d v="2023-04-19T00:00:00"/>
        <d v="2023-03-16T00:00:00"/>
        <d v="2024-01-11T00:00:00"/>
        <d v="2024-07-13T00:00:00"/>
        <d v="2023-06-30T00:00:00"/>
        <d v="2025-05-29T00:00:00"/>
        <d v="2023-03-28T00:00:00"/>
        <d v="2025-05-11T00:00:00"/>
        <d v="2023-02-27T00:00:00"/>
        <d v="2024-11-06T00:00:00"/>
        <d v="2023-04-17T00:00:00"/>
        <d v="2024-07-23T00:00:00"/>
        <d v="2023-04-11T00:00:00"/>
        <d v="2023-10-28T00:00:00"/>
        <d v="2024-06-07T00:00:00"/>
        <d v="2023-04-10T00:00:00"/>
        <d v="2024-08-09T00:00:00"/>
        <d v="2023-06-11T00:00:00"/>
        <d v="2023-08-17T00:00:00"/>
        <d v="2024-10-04T00:00:00"/>
        <d v="2023-10-20T00:00:00"/>
        <d v="2025-11-04T00:00:00"/>
        <d v="2023-10-03T00:00:00"/>
        <d v="2025-08-29T00:00:00"/>
        <d v="2025-11-09T00:00:00"/>
        <d v="2024-11-25T00:00:00"/>
        <d v="2023-06-25T00:00:00"/>
        <d v="2025-08-11T00:00:00"/>
        <d v="2023-04-18T00:00:00"/>
        <d v="2024-10-20T00:00:00"/>
        <d v="2025-10-29T00:00:00"/>
        <d v="2024-04-23T00:00:00"/>
        <d v="2025-04-22T00:00:00"/>
        <d v="2023-05-05T00:00:00"/>
        <d v="2024-11-23T00:00:00"/>
        <d v="2025-07-21T00:00:00"/>
        <d v="2023-07-18T00:00:00"/>
        <d v="2024-08-06T00:00:00"/>
        <d v="2023-10-13T00:00:00"/>
        <d v="2023-12-23T00:00:00"/>
        <d v="2025-01-01T00:00:00"/>
        <d v="2024-08-18T00:00:00"/>
        <d v="2025-05-16T00:00:00"/>
        <d v="2023-05-02T00:00:00"/>
        <d v="2023-04-25T00:00:00"/>
        <d v="2024-05-03T00:00:00"/>
        <d v="2025-03-14T00:00:00"/>
        <d v="2025-09-28T00:00:00"/>
        <d v="2024-08-20T00:00:00"/>
        <d v="2023-01-30T00:00:00"/>
        <d v="2024-09-02T00:00:00"/>
        <d v="2024-02-01T00:00:00"/>
        <d v="2023-07-23T00:00:00"/>
        <d v="2024-06-04T00:00:00"/>
        <d v="2023-01-07T00:00:00"/>
        <d v="2024-08-23T00:00:00"/>
        <d v="2023-06-27T00:00:00"/>
        <d v="2024-12-08T00:00:00"/>
        <d v="2025-02-21T00:00:00"/>
        <d v="2023-08-08T00:00:00"/>
        <d v="2023-02-12T00:00:00"/>
        <d v="2025-10-18T00:00:00"/>
        <d v="2025-11-11T00:00:00"/>
        <d v="2025-07-07T00:00:00"/>
        <d v="2023-12-13T00:00:00"/>
        <d v="2023-02-11T00:00:00"/>
        <d v="2025-06-13T00:00:00"/>
        <d v="2025-03-30T00:00:00"/>
        <d v="2023-12-31T00:00:00"/>
        <d v="2025-05-31T00:00:00"/>
        <d v="2025-11-19T00:00:00"/>
        <d v="2025-10-14T00:00:00"/>
        <d v="2025-06-12T00:00:00"/>
        <d v="2025-04-14T00:00:00"/>
        <d v="2025-03-23T00:00:00"/>
        <d v="2025-10-25T00:00:00"/>
        <d v="2024-11-30T00:00:00"/>
        <d v="2023-10-27T00:00:00"/>
        <d v="2023-08-13T00:00:00"/>
        <d v="2023-11-16T00:00:00"/>
        <d v="2025-01-20T00:00:00"/>
        <d v="2024-06-01T00:00:00"/>
        <d v="2025-12-26T00:00:00"/>
        <d v="2024-12-06T00:00:00"/>
        <d v="2025-04-02T00:00:00"/>
        <d v="2025-06-10T00:00:00"/>
        <d v="2025-01-15T00:00:00"/>
        <d v="2023-11-25T00:00:00"/>
        <d v="2025-07-16T00:00:00"/>
        <d v="2024-05-21T00:00:00"/>
        <d v="2025-01-12T00:00:00"/>
        <d v="2024-06-06T00:00:00"/>
        <d v="2023-05-07T00:00:00"/>
        <d v="2023-12-10T00:00:00"/>
        <d v="2025-09-30T00:00:00"/>
        <d v="2024-08-04T00:00:00"/>
        <d v="2023-10-21T00:00:00"/>
        <d v="2024-04-01T00:00:00"/>
        <d v="2024-01-24T00:00:00"/>
        <d v="2024-05-22T00:00:00"/>
        <d v="2025-01-26T00:00:00"/>
        <d v="2025-04-03T00:00:00"/>
        <d v="2023-01-01T00:00:00"/>
        <d v="2023-04-12T00:00:00"/>
        <d v="2023-09-04T00:00:00"/>
        <d v="2024-03-06T00:00:00"/>
        <d v="2024-04-30T00:00:00"/>
        <d v="2024-08-28T00:00:00"/>
        <d v="2023-03-21T00:00:00"/>
        <d v="2024-07-21T00:00:00"/>
        <d v="2024-10-22T00:00:00"/>
        <d v="2023-12-29T00:00:00"/>
        <d v="2023-10-07T00:00:00"/>
        <d v="2023-04-29T00:00:00"/>
        <d v="2023-01-13T00:00:00"/>
        <d v="2023-07-14T00:00:00"/>
        <d v="2023-12-22T00:00:00"/>
        <d v="2023-01-15T00:00:00"/>
        <d v="2024-11-10T00:00:00"/>
        <d v="2023-05-18T00:00:00"/>
        <d v="2024-06-29T00:00:00"/>
        <d v="2024-07-03T00:00:00"/>
        <d v="2025-02-02T00:00:00"/>
        <d v="2023-06-03T00:00:00"/>
        <d v="2024-01-02T00:00:00"/>
        <d v="2025-06-29T00:00:00"/>
        <d v="2025-04-11T00:00:00"/>
        <d v="2023-09-11T00:00:00"/>
        <d v="2024-01-23T00:00:00"/>
        <d v="2023-02-22T00:00:00"/>
        <d v="2025-01-22T00:00:00"/>
        <d v="2023-07-13T00:00:00"/>
        <d v="2024-02-02T00:00:00"/>
        <d v="2023-11-15T00:00:00"/>
        <d v="2023-04-16T00:00:00"/>
        <d v="2023-03-17T00:00:00"/>
        <d v="2025-12-05T00:00:00"/>
        <d v="2024-07-05T00:00:00"/>
        <d v="2024-01-07T00:00:00"/>
        <d v="2023-10-04T00:00:00"/>
        <d v="2023-05-29T00:00:00"/>
        <d v="2025-02-05T00:00:00"/>
        <d v="2023-02-21T00:00:00"/>
        <d v="2025-06-26T00:00:00"/>
        <d v="2023-07-01T00:00:00"/>
        <d v="2025-10-11T00:00:00"/>
        <d v="2024-03-17T00:00:00"/>
        <d v="2025-10-05T00:00:00"/>
        <d v="2025-07-23T00:00:00"/>
        <d v="2023-12-19T00:00:00"/>
        <d v="2024-03-29T00:00:00"/>
        <d v="2024-02-13T00:00:00"/>
        <d v="2024-03-05T00:00:00"/>
        <d v="2023-03-07T00:00:00"/>
        <d v="2024-12-25T00:00:00"/>
        <d v="2025-07-15T00:00:00"/>
        <d v="2023-02-28T00:00:00"/>
        <d v="2023-06-09T00:00:00"/>
        <d v="2025-11-18T00:00:00"/>
        <d v="2024-03-28T00:00:00"/>
        <d v="2023-05-27T00:00:00"/>
        <d v="2023-09-23T00:00:00"/>
        <d v="2024-08-26T00:00:00"/>
        <d v="2025-11-30T00:00:00"/>
        <d v="2024-05-20T00:00:00"/>
        <d v="2023-08-16T00:00:00"/>
        <d v="2024-01-25T00:00:00"/>
        <d v="2025-03-04T00:00:00"/>
        <d v="2024-01-20T00:00:00"/>
        <d v="2023-07-03T00:00:00"/>
        <d v="2024-06-02T00:00:00"/>
        <d v="2024-10-12T00:00:00"/>
        <d v="2024-07-28T00:00:00"/>
        <d v="2023-02-24T00:00:00"/>
        <d v="2024-06-11T00:00:00"/>
        <d v="2024-02-04T00:00:00"/>
        <d v="2023-05-31T00:00:00"/>
        <d v="2024-02-03T00:00:00"/>
        <d v="2025-03-17T00:00:00"/>
        <d v="2025-11-10T00:00:00"/>
        <d v="2023-07-27T00:00:00"/>
        <d v="2023-02-16T00:00:00"/>
        <d v="2024-08-19T00:00:00"/>
        <d v="2024-03-16T00:00:00"/>
        <d v="2023-07-09T00:00:00"/>
        <d v="2025-06-07T00:00:00"/>
        <d v="2025-12-15T00:00:00"/>
        <d v="2023-02-02T00:00:00"/>
        <d v="2025-12-01T00:00:00"/>
        <d v="2024-11-03T00:00:00"/>
        <d v="2024-06-12T00:00:00"/>
        <d v="2024-05-13T00:00:00"/>
        <d v="2023-04-13T00:00:00"/>
        <d v="2025-08-16T00:00:00"/>
        <d v="2025-10-27T00:00:00"/>
        <d v="2024-03-30T00:00:00"/>
        <d v="2025-04-01T00:00:00"/>
        <d v="2024-12-14T00:00:00"/>
        <d v="2024-10-16T00:00:00"/>
        <d v="2023-11-17T00:00:00"/>
        <d v="2023-08-19T00:00:00"/>
        <d v="2025-06-19T00:00:00"/>
        <d v="2023-07-17T00:00:00"/>
        <d v="2024-03-31T00:00:00"/>
        <d v="2025-12-11T00:00:00"/>
        <d v="2024-10-07T00:00:00"/>
        <d v="2023-09-07T00:00:00"/>
        <d v="2024-05-15T00:00:00"/>
        <d v="2024-03-10T00:00:00"/>
        <d v="2025-10-19T00:00:00"/>
        <d v="2024-02-06T00:00:00"/>
        <d v="2024-06-15T00:00:00"/>
        <d v="2023-08-09T00:00:00"/>
        <d v="2024-08-10T00:00:00"/>
        <d v="2023-06-28T00:00:00"/>
        <d v="2023-01-14T00:00:00"/>
        <d v="2024-06-14T00:00:00"/>
        <d v="2024-04-18T00:00:00"/>
        <d v="2024-03-23T00:00:00"/>
        <d v="2025-06-04T00:00:00"/>
        <d v="2023-12-07T00:00:00"/>
        <d v="2024-07-31T00:00:00"/>
        <d v="2024-06-17T00:00:00"/>
        <d v="2025-11-16T00:00:00"/>
        <d v="2024-06-28T00:00:00"/>
        <d v="2025-07-02T00:00:00"/>
        <d v="2023-03-08T00:00:00"/>
        <d v="2023-10-29T00:00:00"/>
        <d v="2025-03-03T00:00:00"/>
        <d v="2025-02-26T00:00:00"/>
        <d v="2025-07-20T00:00:00"/>
        <d v="2025-10-04T00:00:00"/>
        <d v="2024-03-20T00:00:00"/>
        <d v="2025-07-27T00:00:00"/>
        <d v="2025-12-30T00:00:00"/>
        <d v="2023-01-24T00:00:00"/>
        <d v="2024-05-14T00:00:00"/>
        <d v="2024-04-20T00:00:00"/>
        <d v="2023-04-28T00:00:00"/>
        <d v="2024-02-08T00:00:00"/>
        <d v="2025-03-19T00:00:00"/>
        <d v="2025-07-08T00:00:00"/>
        <d v="2023-05-08T00:00:00"/>
        <d v="2024-10-03T00:00:00"/>
        <d v="2023-12-14T00:00:00"/>
        <d v="2023-07-04T00:00:00"/>
        <d v="2024-05-28T00:00:00"/>
        <d v="2025-07-12T00:00:00"/>
        <d v="2024-05-04T00:00:00"/>
        <d v="2025-04-24T00:00:00"/>
        <d v="2023-02-15T00:00:00"/>
        <d v="2023-03-09T00:00:00"/>
        <d v="2025-03-20T00:00:00"/>
        <d v="2023-11-10T00:00:00"/>
        <d v="2024-02-24T00:00:00"/>
        <d v="2024-09-06T00:00:00"/>
        <d v="2023-10-26T00:00:00"/>
        <d v="2023-10-25T00:00:00"/>
        <d v="2025-05-10T00:00:00"/>
        <d v="2024-08-13T00:00:00"/>
        <d v="2024-12-05T00:00:00"/>
        <d v="2023-07-06T00:00:00"/>
        <d v="2023-08-02T00:00:00"/>
        <d v="2025-05-20T00:00:00"/>
        <d v="2024-09-28T00:00:00"/>
        <d v="2023-06-16T00:00:00"/>
        <d v="2024-08-05T00:00:00"/>
        <d v="2023-07-30T00:00:00"/>
        <d v="2024-08-27T00:00:00"/>
        <d v="2024-03-22T00:00:00"/>
        <d v="2025-05-09T00:00:00"/>
        <d v="2025-06-09T00:00:00"/>
        <d v="2023-11-22T00:00:00"/>
        <d v="2023-11-27T00:00:00"/>
        <d v="2025-10-22T00:00:00"/>
        <d v="2025-11-27T00:00:00"/>
        <d v="2024-05-12T00:00:00"/>
        <d v="2024-12-22T00:00:00"/>
        <d v="2024-10-19T00:00:00"/>
        <d v="2025-12-07T00:00:00"/>
        <d v="2023-01-26T00:00:00"/>
        <d v="2023-04-04T00:00:00"/>
        <d v="2025-10-26T00:00:00"/>
        <d v="2023-04-09T00:00:00"/>
        <d v="2025-12-13T00:00:00"/>
        <d v="2023-01-03T00:00:00"/>
        <d v="2024-05-23T00:00:00"/>
        <d v="2025-02-19T00:00:00"/>
        <d v="2025-06-08T00:00:00"/>
        <d v="2024-08-17T00:00:00"/>
        <d v="2023-07-16T00:00:00"/>
        <d v="2025-03-24T00:00:00"/>
        <d v="2024-02-14T00:00:00"/>
        <d v="2025-02-12T00:00:00"/>
        <d v="2023-09-18T00:00:00"/>
        <d v="2023-06-26T00:00:00"/>
        <d v="2025-01-04T00:00:00"/>
        <d v="2023-12-11T00:00:00"/>
        <d v="2023-12-20T00:00:00"/>
        <d v="2023-01-16T00:00:00"/>
        <d v="2023-04-30T00:00:00"/>
        <d v="2025-02-15T00:00:00"/>
        <d v="2023-07-07T00:00:00"/>
        <d v="2025-10-31T00:00:00"/>
        <d v="2024-06-16T00:00:00"/>
        <d v="2023-09-29T00:00:00"/>
        <d v="2025-01-11T00:00:00"/>
        <d v="2025-05-23T00:00:00"/>
        <d v="2023-07-05T00:00:00"/>
        <d v="2023-04-14T00:00:00"/>
        <d v="2025-07-31T00:00:00"/>
        <d v="2025-03-10T00:00:00"/>
        <d v="2024-10-06T00:00:00"/>
        <d v="2025-03-29T00:00:00"/>
        <d v="2023-04-26T00:00:00"/>
        <d v="2025-12-23T00:00:00"/>
        <d v="2025-11-17T00:00:00"/>
        <d v="2025-09-12T00:00:00"/>
        <d v="2025-01-10T00:00:00"/>
        <d v="2024-03-04T00:00:00"/>
        <d v="2025-06-15T00:00:00"/>
        <d v="2024-11-24T00:00:00"/>
        <d v="2023-02-23T00:00:00"/>
        <d v="2025-09-26T00:00:00"/>
        <d v="2023-03-18T00:00:00"/>
        <d v="2024-06-10T00:00:00"/>
        <d v="2023-02-17T00:00:00"/>
        <d v="2023-01-20T00:00:00"/>
        <d v="2025-12-08T00:00:00"/>
        <d v="2025-06-14T00:00:00"/>
        <d v="2023-12-16T00:00:00"/>
        <d v="2025-02-09T00:00:00"/>
        <d v="2025-02-14T00:00:00"/>
        <d v="2024-12-10T00:00:00"/>
        <d v="2023-03-26T00:00:00"/>
        <d v="2024-02-18T00:00:00"/>
        <d v="2023-09-27T00:00:00"/>
        <d v="2025-08-17T00:00:00"/>
        <d v="2025-09-01T00:00:00"/>
        <d v="2023-03-31T00:00:00"/>
        <d v="2025-07-03T00:00:00"/>
        <d v="2023-01-18T00:00:00"/>
        <d v="2023-09-20T00:00:00"/>
        <d v="2025-08-28T00:00:00"/>
        <d v="2023-05-09T00:00:00"/>
        <d v="2024-11-12T00:00:00"/>
        <d v="2023-06-23T00:00:00"/>
        <d v="2023-05-01T00:00:00"/>
        <d v="2023-10-30T00:00:00"/>
        <d v="2023-03-23T00:00:00"/>
        <d v="2024-09-11T00:00:00"/>
        <d v="2024-12-18T00:00:00"/>
        <d v="2024-07-14T00:00:00"/>
        <d v="2024-05-19T00:00:00"/>
        <d v="2024-11-09T00:00:00"/>
        <d v="2024-06-13T00:00:00"/>
        <d v="2023-09-17T00:00:00"/>
        <d v="2025-10-17T00:00:00"/>
        <d v="2024-09-04T00:00:00"/>
        <d v="2023-01-17T00:00:00"/>
        <d v="2025-03-15T00:00:00"/>
        <d v="2023-12-08T00:00:00"/>
        <d v="2024-07-11T00:00:00"/>
        <d v="2024-11-05T00:00:00"/>
        <d v="2023-01-31T00:00:00"/>
        <d v="2024-07-24T00:00:00"/>
        <d v="2023-11-29T00:00:00"/>
        <d v="2024-01-21T00:00:00"/>
        <d v="2023-10-05T00:00:00"/>
        <d v="2023-02-18T00:00:00"/>
        <d v="2023-11-20T00:00:00"/>
        <d v="2023-02-05T00:00:00"/>
        <d v="2024-12-28T00:00:00"/>
        <d v="2025-07-25T00:00:00"/>
        <d v="2023-03-19T00:00:00"/>
        <d v="2024-11-02T00:00:00"/>
        <d v="2023-07-02T00:00:00"/>
        <d v="2023-07-28T00:00:00"/>
        <d v="2023-10-17T00:00:00"/>
        <d v="2025-02-11T00:00:00"/>
        <d v="2025-09-23T00:00:00"/>
        <d v="2024-10-11T00:00:00"/>
        <d v="2024-08-02T00:00:00"/>
        <d v="2024-05-01T00:00:00"/>
        <d v="2025-04-21T00:00:00"/>
        <d v="2024-12-21T00:00:00"/>
        <d v="2024-01-10T00:00:00"/>
        <d v="2023-06-19T00:00:00"/>
        <d v="2025-12-24T00:00:00"/>
        <d v="2023-04-15T00:00:00"/>
        <d v="2025-01-14T00:00:00"/>
        <d v="2023-10-12T00:00:00"/>
        <d v="2025-02-24T00:00:00"/>
        <d v="2024-05-11T00:00:00"/>
        <d v="2024-09-22T00:00:00"/>
        <d v="2023-08-29T00:00:00"/>
        <d v="2023-01-10T00:00:00"/>
        <d v="2024-03-24T00:00:00"/>
        <d v="2023-01-22T00:00:00"/>
        <d v="2025-01-25T00:00:00"/>
        <d v="2025-12-22T00:00:00"/>
        <d v="2024-06-05T00:00:00"/>
        <d v="2025-07-24T00:00:00"/>
        <d v="2023-10-01T00:00:00"/>
        <d v="2025-02-10T00:00:00"/>
        <d v="2024-08-12T00:00:00"/>
        <d v="2024-04-25T00:00:00"/>
        <d v="2023-01-28T00:00:00"/>
        <d v="2023-06-17T00:00:00"/>
        <d v="2023-12-30T00:00:00"/>
        <d v="2025-09-13T00:00:00"/>
        <d v="2023-11-13T00:00:00"/>
        <d v="2025-10-09T00:00:00"/>
        <d v="2024-01-12T00:00:00"/>
        <d v="2024-02-21T00:00:00"/>
        <d v="2025-08-22T00:00:00"/>
        <d v="2025-06-16T00:00:00"/>
        <d v="2023-06-24T00:00:00"/>
        <d v="2023-07-26T00:00:00"/>
        <d v="2023-03-29T00:00:00"/>
        <d v="2025-02-13T00:00:00"/>
        <d v="2023-01-05T00:00:00"/>
        <d v="2025-10-30T00:00:00"/>
        <d v="2024-12-01T00:00:00"/>
        <d v="2023-07-29T00:00:00"/>
        <d v="2025-10-23T00:00:00"/>
        <d v="2024-06-26T00:00:00"/>
        <d v="2023-03-02T00:00:00"/>
        <d v="2023-01-09T00:00:00"/>
        <d v="2023-08-03T00:00:00"/>
        <d v="2024-04-10T00:00:00"/>
        <d v="2025-04-23T00:00:00"/>
        <d v="2023-04-27T00:00:00"/>
        <d v="2024-12-30T00:00:00"/>
        <d v="2023-08-25T00:00:00"/>
        <d v="2023-07-21T00:00:00"/>
        <d v="2025-11-07T00:00:00"/>
        <d v="2025-07-14T00:00:00"/>
        <d v="2023-12-28T00:00:00"/>
        <d v="2023-12-27T00:00:00"/>
        <d v="2025-04-18T00:00:00"/>
        <d v="2025-02-17T00:00:00"/>
        <d v="2024-10-05T00:00:00"/>
        <d v="2023-05-28T00:00:00"/>
        <d v="2025-04-29T00:00:00"/>
        <d v="2025-05-28T00:00:00"/>
        <d v="2025-10-16T00:00:00"/>
        <d v="2025-06-24T00:00:00"/>
        <d v="2025-08-20T00:00:00"/>
        <d v="2023-10-08T00:00:00"/>
        <d v="2023-09-26T00:00:00"/>
        <d v="2023-09-25T00:00:00"/>
        <d v="2025-06-01T00:00:00"/>
        <d v="2025-02-03T00:00:00"/>
        <d v="2024-06-19T00:00:00"/>
        <d v="2025-04-20T00:00:00"/>
        <d v="2024-02-10T00:00:00"/>
        <d v="2024-01-17T00:00:00"/>
        <d v="2024-07-07T00:00:00"/>
        <d v="2023-01-25T00:00:00"/>
        <d v="2024-09-10T00:00:00"/>
        <d v="2025-01-17T00:00:00"/>
        <d v="2025-04-13T00:00:00"/>
        <d v="2023-04-07T00:00:00"/>
        <d v="2024-11-15T00:00:00"/>
        <d v="2023-06-01T00:00:00"/>
        <d v="2025-03-22T00:00:00"/>
        <d v="2024-02-15T00:00:00"/>
        <d v="2024-08-25T00:00:00"/>
        <d v="2024-10-24T00:00:00"/>
        <d v="2024-01-08T00:00:00"/>
        <d v="2023-12-15T00:00:00"/>
        <d v="2024-02-25T00:00:00"/>
        <d v="2023-06-12T00:00:00"/>
        <d v="2024-09-03T00:00:00"/>
        <d v="2025-03-26T00:00:00"/>
        <d v="2025-04-28T00:00:00"/>
        <d v="2025-06-28T00:00:00"/>
        <d v="2025-01-29T00:00:00"/>
        <d v="2023-08-30T00:00:00"/>
        <d v="2024-11-07T00:00:00"/>
        <d v="2023-09-05T00:00:00"/>
        <d v="2023-01-21T00:00:00"/>
        <d v="2024-07-12T00:00:00"/>
        <d v="2023-11-18T00:00:00"/>
        <d v="2023-10-09T00:00:00"/>
        <d v="2024-10-09T00:00:00"/>
        <d v="2025-03-21T00:00:00"/>
        <d v="2024-01-14T00:00:00"/>
        <d v="2024-12-29T00:00:00"/>
        <d v="2025-01-06T00:00:00"/>
        <d v="2025-03-18T00:00:00"/>
        <d v="2023-09-28T00:00:00"/>
        <d v="2023-04-22T00:00:00"/>
        <d v="2024-02-22T00:00:00"/>
        <d v="2025-09-07T00:00:00"/>
        <d v="2024-09-30T00:00:00"/>
        <d v="2025-01-13T00:00:00"/>
        <d v="2024-10-21T00:00:00"/>
        <d v="2025-02-20T00:00:00"/>
        <d v="2024-12-20T00:00:00"/>
        <d v="2023-11-28T00:00:00"/>
        <d v="2024-05-27T00:00:00"/>
        <d v="2024-11-28T00:00:00"/>
        <d v="2024-04-21T00:00:00"/>
        <d v="2024-01-05T00:00:00"/>
        <d v="2025-03-07T00:00:00"/>
        <d v="2025-07-18T00:00:00"/>
        <d v="2023-04-23T00:00:00"/>
        <d v="2025-01-23T00:00:00"/>
        <d v="2023-10-31T00:00:00"/>
        <d v="2023-02-26T00:00:00"/>
        <d v="2025-01-18T00:00:00"/>
        <m/>
      </sharedItems>
      <fieldGroup par="19" base="2">
        <rangePr groupBy="months" startDate="2023-01-01T00:00:00" endDate="2025-12-31T00:00:00"/>
        <groupItems count="14">
          <s v="(blank)"/>
          <s v="Jan"/>
          <s v="Feb"/>
          <s v="Mar"/>
          <s v="Apr"/>
          <s v="May"/>
          <s v="Jun"/>
          <s v="Jul"/>
          <s v="Aug"/>
          <s v="Sep"/>
          <s v="Oct"/>
          <s v="Nov"/>
          <s v="Dec"/>
          <s v="&gt;2025-12-31"/>
        </groupItems>
      </fieldGroup>
    </cacheField>
    <cacheField name="quantity_sold " numFmtId="0">
      <sharedItems containsString="0" containsBlank="1" containsNumber="1" containsInteger="1" minValue="1" maxValue="50"/>
    </cacheField>
    <cacheField name="discount_percent" numFmtId="0">
      <sharedItems containsString="0" containsBlank="1" containsNumber="1" containsInteger="1" minValue="2" maxValue="10"/>
    </cacheField>
    <cacheField name="final_sale_price" numFmtId="2">
      <sharedItems containsString="0" containsBlank="1" containsNumber="1" minValue="121.67100000000001" maxValue="8267.2309999999998"/>
    </cacheField>
    <cacheField name="product_name" numFmtId="0">
      <sharedItems containsBlank="1" count="152">
        <s v="Washing Machine 90"/>
        <s v="Refrigerator 117"/>
        <s v="Action Figure 27"/>
        <s v="Water Purifier 48"/>
        <s v="Self Help Book 121"/>
        <s v="Jacket 101"/>
        <s v="Dress 22"/>
        <s v="Yoga Mat 82"/>
        <s v="Cricket Bat 94"/>
        <s v="Dress 40"/>
        <s v="Doll 50"/>
        <s v="Fiction Novel 32"/>
        <s v="Remote Car 103"/>
        <s v="Running Shoes 138"/>
        <s v="Smartphone 149"/>
        <s v="Laptop 87"/>
        <s v="Remote Car 11"/>
        <s v="Smartwatch 56"/>
        <s v="Bluetooth Speaker 51"/>
        <s v="Lipstick 112"/>
        <s v="Air Conditioner 9"/>
        <s v="T-Shirt 100"/>
        <s v="Air Conditioner 125"/>
        <s v="Doll 34"/>
        <s v="Handbag 7"/>
        <s v="Jacket 139"/>
        <s v="Biography 78"/>
        <s v="Tennis Racket 15"/>
        <s v="Foundation 83"/>
        <s v="Puzzle Set 150"/>
        <s v="Handbag 136"/>
        <s v="Children Story Book 64"/>
        <s v="Rice Pack 24"/>
        <s v="Jacket 10"/>
        <s v="Microwave 6"/>
        <s v="Sunglasses 91"/>
        <s v="Biography 60"/>
        <s v="Cricket Bat 147"/>
        <s v="Tennis Racket 25"/>
        <s v="Building Blocks 86"/>
        <s v="Puzzle Set 133"/>
        <s v="Sugar 63"/>
        <s v="Handbag 85"/>
        <s v="Smartwatch 59"/>
        <s v="Children Story Book 104"/>
        <s v="Wheat Flour 119"/>
        <s v="Coffee Beans 18"/>
        <s v="Face Wash 55"/>
        <s v="Coffee Beans 77"/>
        <s v="Perfume 39"/>
        <s v="Cookbook 54"/>
        <s v="Coffee Beans 95"/>
        <s v="Bluetooth Speaker 31"/>
        <s v="Lipstick 68"/>
        <s v="Self Help Book 71"/>
        <s v="Face Wash 57"/>
        <s v="Smartwatch 29"/>
        <s v="Refrigerator 36"/>
        <s v="Building Blocks 116"/>
        <s v="Cricket Bat 126"/>
        <s v="Action Figure 46"/>
        <s v="Green Tea 20"/>
        <s v="Gym Gloves 4"/>
        <s v="Laptop 76"/>
        <s v="Air Conditioner 2"/>
        <s v="Smartwatch 72"/>
        <s v="Cookbook 93"/>
        <s v="Water Purifier 21"/>
        <s v="Smartphone 129"/>
        <s v="Doll 45"/>
        <s v="Water Purifier 28"/>
        <s v="Children Story Book 115"/>
        <s v="Olive Oil 41"/>
        <s v="Washing Machine 97"/>
        <s v="Doll 106"/>
        <s v="Cookbook 52"/>
        <s v="Perfume 67"/>
        <s v="Air Conditioner 144"/>
        <s v="Sneakers 74"/>
        <s v="Olive Oil 62"/>
        <s v="Moisturizer 84"/>
        <s v="Olive Oil 66"/>
        <s v="Lipstick 108"/>
        <s v="Action Figure 73"/>
        <s v="Washing Machine 33"/>
        <s v="Action Figure 105"/>
        <s v="Puzzle Set 141"/>
        <s v="Green Tea 113"/>
        <s v="Puzzle Set 92"/>
        <s v="Shampoo 122"/>
        <s v="Biography 65"/>
        <s v="Cookbook 110"/>
        <s v="Remote Car 140"/>
        <s v="Football 13"/>
        <s v="Fiction Novel 109"/>
        <s v="Air Conditioner 19"/>
        <s v="Sugar 37"/>
        <s v="Wheat Flour 1"/>
        <s v="Green Tea 70"/>
        <s v="Smartwatch 114"/>
        <s v="Rice Pack 26"/>
        <s v="Gym Gloves 127"/>
        <s v="Doll 69"/>
        <s v="Wheat Flour 58"/>
        <s v="Sneakers 35"/>
        <s v="Gym Gloves 96"/>
        <s v="Sneakers 99"/>
        <s v="Self Help Book 145"/>
        <s v="Remote Car 89"/>
        <s v="Lipstick 131"/>
        <s v="Perfume 111"/>
        <s v="Gym Gloves 130"/>
        <s v="Cookbook 47"/>
        <s v="Moisturizer 5"/>
        <s v="Puzzle Set 8"/>
        <s v="Coffee Beans 44"/>
        <s v="Tablet 88"/>
        <s v="Coffee Beans 128"/>
        <s v="Bluetooth Speaker 23"/>
        <s v="Jeans 43"/>
        <s v="Cookbook 53"/>
        <s v="Headphones 134"/>
        <s v="Running Shoes 12"/>
        <s v="Doll 30"/>
        <s v="Puzzle Set 98"/>
        <s v="Vacuum Cleaner 120"/>
        <s v="Jeans 38"/>
        <s v="Gym Gloves 148"/>
        <s v="Sneakers 75"/>
        <s v="Biography 3"/>
        <s v="Washing Machine 80"/>
        <s v="Doll 118"/>
        <s v="Action Figure 42"/>
        <s v="Moisturizer 137"/>
        <s v="Biography 79"/>
        <s v="Yoga Mat 17"/>
        <s v="Foundation 49"/>
        <s v="Face Wash 107"/>
        <s v="Coffee Beans 14"/>
        <s v="Remote Car 143"/>
        <s v="Water Purifier 135"/>
        <s v="Jeans 142"/>
        <s v="Cookbook 16"/>
        <s v="Action Figure 102"/>
        <s v="Cookbook 146"/>
        <s v="Cricket Bat 132"/>
        <s v="Green Tea 61"/>
        <s v="Water Purifier 81"/>
        <s v="Sunglasses 123"/>
        <s v="Sunglasses 124"/>
        <m/>
        <e v="#N/A" u="1"/>
      </sharedItems>
    </cacheField>
    <cacheField name="category" numFmtId="0">
      <sharedItems containsBlank="1" count="10">
        <s v="Home Appliances"/>
        <s v="Toys"/>
        <s v="Books"/>
        <s v="Fashion"/>
        <s v="Sports"/>
        <s v="Electronics"/>
        <s v="Beauty"/>
        <s v="Grocery"/>
        <m/>
        <e v="#N/A" u="1"/>
      </sharedItems>
    </cacheField>
    <cacheField name="cost_price" numFmtId="0">
      <sharedItems containsString="0" containsBlank="1" containsNumber="1" minValue="81.11399999999999" maxValue="5061.5700000000006"/>
    </cacheField>
    <cacheField name="base_price" numFmtId="0">
      <sharedItems containsString="0" containsBlank="1" containsNumber="1" minValue="135.19" maxValue="8435.9500000000007"/>
    </cacheField>
    <cacheField name="rating  " numFmtId="0">
      <sharedItems containsString="0" containsBlank="1" containsNumber="1" containsInteger="1" minValue="1" maxValue="5" count="6">
        <n v="4"/>
        <n v="1"/>
        <n v="2"/>
        <n v="3"/>
        <n v="5"/>
        <m/>
      </sharedItems>
      <fieldGroup par="18"/>
    </cacheField>
    <cacheField name="competitor_price" numFmtId="2">
      <sharedItems containsString="0" containsBlank="1" containsNumber="1" minValue="138.43829863318425" maxValue="10746.349470772069"/>
    </cacheField>
    <cacheField name="avg_comp_price" numFmtId="2">
      <sharedItems containsString="0" containsBlank="1" containsNumber="1" minValue="197.005" maxValue="9555.6079999999984"/>
    </cacheField>
    <cacheField name="Revenue" numFmtId="2">
      <sharedItems containsString="0" containsBlank="1" containsNumber="1" minValue="262.26859999999999" maxValue="363525.5808"/>
    </cacheField>
    <cacheField name="Profit" numFmtId="2">
      <sharedItems containsString="0" containsBlank="1" containsNumber="1" minValue="100.04060000000001" maxValue="138664.39679999999"/>
    </cacheField>
    <cacheField name="Price Difference" numFmtId="2">
      <sharedItems containsString="0" containsBlank="1" containsNumber="1" minValue="-6670.9632000000001" maxValue="7162.5595999999996"/>
    </cacheField>
    <cacheField name="Price Difference %" numFmtId="9">
      <sharedItems containsString="0" containsBlank="1" containsNumber="1" minValue="-0.95134263778947548" maxValue="24.671767810026388"/>
    </cacheField>
    <cacheField name="Profit_margin" numFmtId="2">
      <sharedItems containsMixedTypes="1" containsNumber="1" minValue="0.33333333333333331" maxValue="0.38775510204081642"/>
    </cacheField>
    <cacheField name="rating  2" numFmtId="0" databaseField="0">
      <fieldGroup base="10">
        <discretePr count="6">
          <x v="0"/>
          <x v="0"/>
          <x v="0"/>
          <x v="0"/>
          <x v="0"/>
          <x v="1"/>
        </discretePr>
        <groupItems count="2">
          <s v="Group1"/>
          <m/>
        </groupItems>
      </fieldGroup>
    </cacheField>
    <cacheField name="Years" numFmtId="0" databaseField="0">
      <fieldGroup base="2">
        <rangePr groupBy="years" startDate="2023-01-01T00:00:00" endDate="2025-12-31T00:00:00"/>
        <groupItems count="5">
          <s v="&lt;2023-01-01"/>
          <s v="2023"/>
          <s v="2024"/>
          <s v="2025"/>
          <s v="&gt;2025-12-3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n v="90"/>
    <d v="2025-08-09T00:00:00"/>
    <n v="12"/>
    <n v="4"/>
    <n v="1321.6415999999999"/>
    <x v="0"/>
    <x v="0"/>
    <n v="826.02599999999995"/>
    <n v="1376.71"/>
    <n v="4"/>
    <n v="1699.0295056587011"/>
    <n v="2414.7550000000001"/>
    <n v="15859.699199999999"/>
    <n v="5947.3871999999992"/>
    <n v="-1093.1134000000002"/>
    <n v="-0.45268087238663968"/>
  </r>
  <r>
    <n v="2"/>
    <n v="117"/>
    <d v="2024-03-21T00:00:00"/>
    <n v="35"/>
    <n v="2"/>
    <n v="2084.6363999999999"/>
    <x v="1"/>
    <x v="0"/>
    <n v="1276.3079999999998"/>
    <n v="2127.1799999999998"/>
    <n v="1"/>
    <n v="2180.6767120645877"/>
    <n v="892.9766666666668"/>
    <n v="72962.27399999999"/>
    <n v="28291.494000000002"/>
    <n v="1191.659733333333"/>
    <n v="1.3344802589093401"/>
  </r>
  <r>
    <n v="3"/>
    <n v="27"/>
    <d v="2024-02-17T00:00:00"/>
    <n v="14"/>
    <n v="2"/>
    <n v="1590.442"/>
    <x v="2"/>
    <x v="1"/>
    <n v="973.74"/>
    <n v="1622.9"/>
    <n v="1"/>
    <n v="1917.2435766720898"/>
    <n v="4440.416666666667"/>
    <n v="22266.188000000002"/>
    <n v="8633.8279999999995"/>
    <n v="-2849.974666666667"/>
    <n v="-0.64182595477151172"/>
  </r>
  <r>
    <n v="4"/>
    <n v="48"/>
    <d v="2025-01-03T00:00:00"/>
    <n v="9"/>
    <n v="3"/>
    <n v="3577.6219000000001"/>
    <x v="3"/>
    <x v="0"/>
    <n v="2212.962"/>
    <n v="3688.27"/>
    <n v="4"/>
    <n v="4431.3785900419116"/>
    <n v="1050.3625000000002"/>
    <n v="32198.597099999999"/>
    <n v="12281.939100000001"/>
    <n v="2527.2593999999999"/>
    <n v="2.4060830427590472"/>
  </r>
  <r>
    <n v="5"/>
    <n v="121"/>
    <d v="2023-07-08T00:00:00"/>
    <n v="49"/>
    <n v="6"/>
    <n v="1422.3892000000001"/>
    <x v="4"/>
    <x v="2"/>
    <n v="907.90800000000002"/>
    <n v="1513.18"/>
    <n v="2"/>
    <n v="1861.0268517288393"/>
    <n v="2967.0200000000004"/>
    <n v="69697.070800000001"/>
    <n v="25209.578800000003"/>
    <n v="-1544.6308000000004"/>
    <n v="-0.52060006336323994"/>
  </r>
  <r>
    <n v="6"/>
    <n v="101"/>
    <d v="2023-06-20T00:00:00"/>
    <n v="48"/>
    <n v="5"/>
    <n v="4484.2754999999997"/>
    <x v="5"/>
    <x v="3"/>
    <n v="2832.174"/>
    <n v="4720.29"/>
    <n v="2"/>
    <n v="5898.9922553366441"/>
    <n v="6068.0179999999991"/>
    <n v="215245.22399999999"/>
    <n v="79300.871999999988"/>
    <n v="-1583.7424999999994"/>
    <n v="-0.26099831938534124"/>
  </r>
  <r>
    <n v="7"/>
    <n v="117"/>
    <d v="2024-04-29T00:00:00"/>
    <n v="47"/>
    <n v="2"/>
    <n v="2084.6363999999999"/>
    <x v="1"/>
    <x v="0"/>
    <n v="1276.3079999999998"/>
    <n v="2127.1799999999998"/>
    <n v="1"/>
    <n v="2707.9822271587777"/>
    <n v="892.9766666666668"/>
    <n v="97977.910799999998"/>
    <n v="37991.434800000003"/>
    <n v="1191.659733333333"/>
    <n v="1.3344802589093401"/>
  </r>
  <r>
    <n v="8"/>
    <n v="22"/>
    <d v="2023-10-16T00:00:00"/>
    <n v="5"/>
    <n v="10"/>
    <n v="1471.05"/>
    <x v="6"/>
    <x v="3"/>
    <n v="980.69999999999993"/>
    <n v="1634.5"/>
    <n v="1"/>
    <n v="2000.6675032512262"/>
    <n v="3187.4450000000002"/>
    <n v="7355.25"/>
    <n v="2451.75"/>
    <n v="-1716.3950000000002"/>
    <n v="-0.5384861542708973"/>
  </r>
  <r>
    <n v="9"/>
    <n v="82"/>
    <d v="2025-05-18T00:00:00"/>
    <n v="50"/>
    <n v="4"/>
    <n v="1220.3712"/>
    <x v="7"/>
    <x v="4"/>
    <n v="762.73199999999997"/>
    <n v="1271.22"/>
    <n v="2"/>
    <n v="1619.9943907723007"/>
    <n v="2617.7080000000001"/>
    <n v="61018.560000000005"/>
    <n v="22881.960000000003"/>
    <n v="-1397.3368"/>
    <n v="-0.53380163104517386"/>
  </r>
  <r>
    <n v="10"/>
    <n v="94"/>
    <d v="2023-05-21T00:00:00"/>
    <n v="16"/>
    <n v="5"/>
    <n v="4420.1409999999996"/>
    <x v="8"/>
    <x v="4"/>
    <n v="2791.6679999999997"/>
    <n v="4652.78"/>
    <n v="1"/>
    <n v="6003.687204656112"/>
    <n v="6485.5883333333331"/>
    <n v="70722.255999999994"/>
    <n v="26055.567999999999"/>
    <n v="-2065.4473333333335"/>
    <n v="-0.31846722720863413"/>
  </r>
  <r>
    <n v="11"/>
    <n v="40"/>
    <d v="2025-04-08T00:00:00"/>
    <n v="3"/>
    <n v="7"/>
    <n v="457.81109999999995"/>
    <x v="9"/>
    <x v="3"/>
    <n v="295.36199999999997"/>
    <n v="492.27"/>
    <n v="1"/>
    <n v="564.49762636894377"/>
    <n v="603.70600000000002"/>
    <n v="1373.4332999999999"/>
    <n v="487.34729999999996"/>
    <n v="-145.89490000000006"/>
    <n v="-0.24166547955461776"/>
  </r>
  <r>
    <n v="12"/>
    <n v="50"/>
    <d v="2025-05-07T00:00:00"/>
    <n v="47"/>
    <n v="9"/>
    <n v="1234.597"/>
    <x v="10"/>
    <x v="1"/>
    <n v="814.02"/>
    <n v="1356.7"/>
    <n v="3"/>
    <n v="1594.9774542225766"/>
    <n v="4909.6483333333335"/>
    <n v="58026.059000000001"/>
    <n v="19767.118999999999"/>
    <n v="-3675.0513333333338"/>
    <n v="-0.74853657203553958"/>
  </r>
  <r>
    <n v="13"/>
    <n v="32"/>
    <d v="2024-03-26T00:00:00"/>
    <n v="28"/>
    <n v="4"/>
    <n v="911.00160000000005"/>
    <x v="11"/>
    <x v="2"/>
    <n v="569.37599999999998"/>
    <n v="948.96"/>
    <n v="4"/>
    <n v="1086.3976234088668"/>
    <n v="2168.4866666666671"/>
    <n v="25508.044800000003"/>
    <n v="9565.5168000000012"/>
    <n v="-1257.4850666666671"/>
    <n v="-0.57989061496035643"/>
  </r>
  <r>
    <n v="14"/>
    <n v="103"/>
    <d v="2025-03-05T00:00:00"/>
    <n v="48"/>
    <n v="6"/>
    <n v="6029.2069999999994"/>
    <x v="12"/>
    <x v="1"/>
    <n v="3848.43"/>
    <n v="6414.05"/>
    <n v="4"/>
    <n v="7552.4105149473226"/>
    <n v="6457.8324999999995"/>
    <n v="289401.93599999999"/>
    <n v="104677.29599999997"/>
    <n v="-428.6255000000001"/>
    <n v="-6.6372966471335407E-2"/>
  </r>
  <r>
    <n v="15"/>
    <n v="90"/>
    <d v="2025-07-04T00:00:00"/>
    <n v="39"/>
    <n v="10"/>
    <n v="1239.039"/>
    <x v="0"/>
    <x v="0"/>
    <n v="826.02599999999995"/>
    <n v="1376.71"/>
    <n v="4"/>
    <n v="1644.1659856048841"/>
    <n v="2414.7550000000001"/>
    <n v="48322.521000000001"/>
    <n v="16107.507000000001"/>
    <n v="-1175.7160000000001"/>
    <n v="-0.48688831786247466"/>
  </r>
  <r>
    <n v="16"/>
    <n v="138"/>
    <d v="2023-10-14T00:00:00"/>
    <n v="38"/>
    <n v="7"/>
    <n v="2875.0856999999996"/>
    <x v="13"/>
    <x v="4"/>
    <n v="1854.8939999999998"/>
    <n v="3091.49"/>
    <n v="5"/>
    <n v="3519.954309712492"/>
    <n v="4980.4933333333329"/>
    <n v="109253.25659999999"/>
    <n v="38767.284599999992"/>
    <n v="-2105.4076333333333"/>
    <n v="-0.42273074019441181"/>
  </r>
  <r>
    <n v="17"/>
    <n v="149"/>
    <d v="2024-12-09T00:00:00"/>
    <n v="8"/>
    <n v="8"/>
    <n v="5637.5576000000001"/>
    <x v="14"/>
    <x v="5"/>
    <n v="3676.6679999999997"/>
    <n v="6127.78"/>
    <n v="4"/>
    <n v="6278.6229134007526"/>
    <n v="3159.4639999999999"/>
    <n v="45100.460800000001"/>
    <n v="15687.116800000003"/>
    <n v="2478.0936000000002"/>
    <n v="0.78433987537126559"/>
  </r>
  <r>
    <n v="18"/>
    <n v="87"/>
    <d v="2024-04-05T00:00:00"/>
    <n v="29"/>
    <n v="2"/>
    <n v="4012.2375999999999"/>
    <x v="15"/>
    <x v="5"/>
    <n v="2456.4719999999998"/>
    <n v="4094.12"/>
    <n v="2"/>
    <n v="5273.0848006779634"/>
    <n v="493.79250000000002"/>
    <n v="116354.8904"/>
    <n v="45117.202400000002"/>
    <n v="3518.4450999999999"/>
    <n v="7.1253514381040617"/>
  </r>
  <r>
    <n v="19"/>
    <n v="11"/>
    <d v="2024-08-21T00:00:00"/>
    <n v="41"/>
    <n v="8"/>
    <n v="2944.1839999999997"/>
    <x v="16"/>
    <x v="1"/>
    <n v="1920.12"/>
    <n v="3200.2"/>
    <n v="1"/>
    <n v="3867.3816197861242"/>
    <n v="7089.33"/>
    <n v="120711.54399999999"/>
    <n v="41986.623999999996"/>
    <n v="-4145.1460000000006"/>
    <n v="-0.58470208045047989"/>
  </r>
  <r>
    <n v="20"/>
    <n v="56"/>
    <d v="2025-06-11T00:00:00"/>
    <n v="27"/>
    <n v="4"/>
    <n v="7662.5280000000002"/>
    <x v="17"/>
    <x v="5"/>
    <n v="4789.08"/>
    <n v="7981.8"/>
    <n v="5"/>
    <n v="8646.4864141835442"/>
    <n v="3458.9274999999998"/>
    <n v="206888.25599999999"/>
    <n v="77583.096000000005"/>
    <n v="4203.6005000000005"/>
    <n v="1.2152901441270454"/>
  </r>
  <r>
    <n v="21"/>
    <n v="51"/>
    <d v="2025-07-26T00:00:00"/>
    <n v="19"/>
    <n v="9"/>
    <n v="958.11169999999993"/>
    <x v="18"/>
    <x v="5"/>
    <n v="631.72199999999987"/>
    <n v="1052.8699999999999"/>
    <n v="2"/>
    <n v="1191.177403714194"/>
    <n v="5383.6833333333334"/>
    <n v="18204.122299999999"/>
    <n v="6201.4043000000011"/>
    <n v="-4425.571633333333"/>
    <n v="-0.82203416496141113"/>
  </r>
  <r>
    <n v="22"/>
    <n v="112"/>
    <d v="2024-01-27T00:00:00"/>
    <n v="15"/>
    <n v="2"/>
    <n v="2679.7217999999998"/>
    <x v="19"/>
    <x v="6"/>
    <n v="1640.646"/>
    <n v="2734.41"/>
    <n v="1"/>
    <n v="3529.7057069167877"/>
    <n v="7409.5025000000005"/>
    <n v="40195.826999999997"/>
    <n v="15586.136999999997"/>
    <n v="-4729.7807000000012"/>
    <n v="-0.63833984805322641"/>
  </r>
  <r>
    <n v="23"/>
    <n v="9"/>
    <d v="2024-11-19T00:00:00"/>
    <n v="2"/>
    <n v="2"/>
    <n v="2806.5729999999999"/>
    <x v="20"/>
    <x v="0"/>
    <n v="1718.31"/>
    <n v="2863.85"/>
    <n v="5"/>
    <n v="2889.339709162"/>
    <n v="6325.1699999999992"/>
    <n v="5613.1459999999997"/>
    <n v="2176.5259999999998"/>
    <n v="-3518.5969999999993"/>
    <n v="-0.55628496941584171"/>
  </r>
  <r>
    <n v="24"/>
    <n v="90"/>
    <d v="2023-03-12T00:00:00"/>
    <n v="35"/>
    <n v="4"/>
    <n v="1321.6415999999999"/>
    <x v="0"/>
    <x v="0"/>
    <n v="826.02599999999995"/>
    <n v="1376.71"/>
    <n v="4"/>
    <n v="1463.8996313463581"/>
    <n v="2414.7550000000001"/>
    <n v="46257.455999999998"/>
    <n v="17346.545999999998"/>
    <n v="-1093.1134000000002"/>
    <n v="-0.45268087238663968"/>
  </r>
  <r>
    <n v="25"/>
    <n v="100"/>
    <d v="2025-07-17T00:00:00"/>
    <n v="42"/>
    <n v="3"/>
    <n v="3961.3442"/>
    <x v="21"/>
    <x v="3"/>
    <n v="2450.3159999999998"/>
    <n v="4083.86"/>
    <n v="3"/>
    <n v="5167.3688742198956"/>
    <n v="3659.5875000000001"/>
    <n v="166376.4564"/>
    <n v="63463.184400000006"/>
    <n v="301.75669999999991"/>
    <n v="8.2456479043061526E-2"/>
  </r>
  <r>
    <n v="26"/>
    <n v="125"/>
    <d v="2025-04-05T00:00:00"/>
    <n v="10"/>
    <n v="10"/>
    <n v="3915.9629999999997"/>
    <x v="22"/>
    <x v="0"/>
    <n v="2610.6419999999998"/>
    <n v="4351.07"/>
    <n v="5"/>
    <n v="4602.4790969098358"/>
    <n v="5094.8040000000001"/>
    <n v="39159.629999999997"/>
    <n v="13053.21"/>
    <n v="-1178.8410000000003"/>
    <n v="-0.23138103055583695"/>
  </r>
  <r>
    <n v="27"/>
    <n v="34"/>
    <d v="2024-04-08T00:00:00"/>
    <n v="50"/>
    <n v="10"/>
    <n v="1173.0510000000002"/>
    <x v="23"/>
    <x v="1"/>
    <n v="782.03399999999999"/>
    <n v="1303.3900000000001"/>
    <n v="2"/>
    <n v="1411.9481890241295"/>
    <n v="4145.4440000000004"/>
    <n v="58652.55000000001"/>
    <n v="19550.850000000009"/>
    <n v="-2972.393"/>
    <n v="-0.71702645120763897"/>
  </r>
  <r>
    <n v="28"/>
    <n v="7"/>
    <d v="2024-10-31T00:00:00"/>
    <n v="33"/>
    <n v="4"/>
    <n v="8030.2079999999987"/>
    <x v="24"/>
    <x v="3"/>
    <n v="5018.8799999999992"/>
    <n v="8364.7999999999993"/>
    <n v="1"/>
    <n v="8959.6505068265269"/>
    <n v="1679.8333333333333"/>
    <n v="264996.86399999994"/>
    <n v="99373.823999999979"/>
    <n v="6350.3746666666657"/>
    <n v="3.7803599563448751"/>
  </r>
  <r>
    <n v="29"/>
    <n v="139"/>
    <d v="2023-12-09T00:00:00"/>
    <n v="36"/>
    <n v="4"/>
    <n v="2487.4367999999999"/>
    <x v="25"/>
    <x v="3"/>
    <n v="1554.6479999999999"/>
    <n v="2591.08"/>
    <n v="5"/>
    <n v="2896.6437403686587"/>
    <n v="2839.1733333333336"/>
    <n v="89547.724799999996"/>
    <n v="33580.396800000002"/>
    <n v="-351.73653333333368"/>
    <n v="-0.12388695300979639"/>
  </r>
  <r>
    <n v="30"/>
    <n v="56"/>
    <d v="2023-08-27T00:00:00"/>
    <n v="48"/>
    <n v="7"/>
    <n v="7423.0739999999996"/>
    <x v="17"/>
    <x v="5"/>
    <n v="4789.08"/>
    <n v="7981.8"/>
    <n v="5"/>
    <n v="8609.6429505551496"/>
    <n v="3458.9274999999998"/>
    <n v="356307.55199999997"/>
    <n v="126431.71199999998"/>
    <n v="3964.1464999999998"/>
    <n v="1.146062327123075"/>
  </r>
  <r>
    <n v="31"/>
    <n v="78"/>
    <d v="2024-12-17T00:00:00"/>
    <n v="13"/>
    <n v="8"/>
    <n v="796.48080000000004"/>
    <x v="26"/>
    <x v="2"/>
    <n v="519.44399999999996"/>
    <n v="865.74"/>
    <n v="4"/>
    <n v="990.75602535731639"/>
    <n v="398.392"/>
    <n v="10354.250400000001"/>
    <n v="3601.4784000000009"/>
    <n v="398.08880000000005"/>
    <n v="0.99923894054097484"/>
  </r>
  <r>
    <n v="32"/>
    <n v="15"/>
    <d v="2023-08-14T00:00:00"/>
    <n v="11"/>
    <n v="10"/>
    <n v="4357.3319999999994"/>
    <x v="27"/>
    <x v="4"/>
    <n v="2904.8879999999995"/>
    <n v="4841.4799999999996"/>
    <n v="4"/>
    <n v="5684.322129519609"/>
    <n v="5242.3433333333332"/>
    <n v="47930.651999999995"/>
    <n v="15976.884"/>
    <n v="-885.01133333333382"/>
    <n v="-0.16881979623616167"/>
  </r>
  <r>
    <n v="33"/>
    <n v="15"/>
    <d v="2025-12-29T00:00:00"/>
    <n v="12"/>
    <n v="10"/>
    <n v="4357.3319999999994"/>
    <x v="27"/>
    <x v="4"/>
    <n v="2904.8879999999995"/>
    <n v="4841.4799999999996"/>
    <n v="4"/>
    <n v="5835.1126196461673"/>
    <n v="5242.3433333333332"/>
    <n v="52287.983999999997"/>
    <n v="17429.328000000001"/>
    <n v="-885.01133333333382"/>
    <n v="-0.16881979623616167"/>
  </r>
  <r>
    <n v="34"/>
    <n v="83"/>
    <d v="2025-12-20T00:00:00"/>
    <n v="33"/>
    <n v="4"/>
    <n v="3663.7727999999997"/>
    <x v="28"/>
    <x v="6"/>
    <n v="2289.8579999999997"/>
    <n v="3816.43"/>
    <n v="2"/>
    <n v="4399.3974956996908"/>
    <n v="2990.2349999999997"/>
    <n v="120904.5024"/>
    <n v="45339.188399999999"/>
    <n v="673.53780000000006"/>
    <n v="0.22524577499761728"/>
  </r>
  <r>
    <n v="35"/>
    <n v="150"/>
    <d v="2025-08-03T00:00:00"/>
    <n v="1"/>
    <n v="6"/>
    <n v="2152.3367999999996"/>
    <x v="29"/>
    <x v="1"/>
    <n v="1373.8319999999999"/>
    <n v="2289.7199999999998"/>
    <n v="3"/>
    <n v="2435.8314442435199"/>
    <n v="1810.3166666666666"/>
    <n v="2152.3367999999996"/>
    <n v="778.5047999999997"/>
    <n v="342.02013333333298"/>
    <n v="0.18892834586950699"/>
  </r>
  <r>
    <n v="36"/>
    <n v="136"/>
    <d v="2024-08-01T00:00:00"/>
    <n v="45"/>
    <n v="6"/>
    <n v="4846.9877999999999"/>
    <x v="30"/>
    <x v="3"/>
    <n v="3093.8219999999997"/>
    <n v="5156.37"/>
    <n v="3"/>
    <n v="6438.1803309003426"/>
    <n v="5805.195999999999"/>
    <n v="218114.451"/>
    <n v="78892.46100000001"/>
    <n v="-958.20819999999912"/>
    <n v="-0.16506043895847777"/>
  </r>
  <r>
    <n v="37"/>
    <n v="64"/>
    <d v="2024-02-19T00:00:00"/>
    <n v="24"/>
    <n v="10"/>
    <n v="2880"/>
    <x v="31"/>
    <x v="2"/>
    <n v="1920"/>
    <n v="3200"/>
    <n v="2"/>
    <n v="3784.714342506802"/>
    <n v="3782.0099999999998"/>
    <n v="69120"/>
    <n v="23040"/>
    <n v="-902.00999999999976"/>
    <n v="-0.2385001626119444"/>
  </r>
  <r>
    <n v="38"/>
    <n v="9"/>
    <d v="2023-11-26T00:00:00"/>
    <n v="10"/>
    <n v="2"/>
    <n v="2806.5729999999999"/>
    <x v="20"/>
    <x v="0"/>
    <n v="1718.31"/>
    <n v="2863.85"/>
    <n v="5"/>
    <n v="3013.7214708972192"/>
    <n v="6325.1699999999992"/>
    <n v="28065.73"/>
    <n v="10882.63"/>
    <n v="-3518.5969999999993"/>
    <n v="-0.55628496941584171"/>
  </r>
  <r>
    <n v="39"/>
    <n v="24"/>
    <d v="2025-05-15T00:00:00"/>
    <n v="10"/>
    <n v="5"/>
    <n v="3796.694"/>
    <x v="32"/>
    <x v="7"/>
    <n v="2397.9119999999998"/>
    <n v="3996.52"/>
    <n v="4"/>
    <n v="4325.1856137396662"/>
    <n v="3028.7733333333331"/>
    <n v="37966.94"/>
    <n v="13987.820000000002"/>
    <n v="767.92066666666688"/>
    <n v="0.25354180790463032"/>
  </r>
  <r>
    <n v="40"/>
    <n v="64"/>
    <d v="2024-12-13T00:00:00"/>
    <n v="22"/>
    <n v="10"/>
    <n v="2880"/>
    <x v="31"/>
    <x v="2"/>
    <n v="1920"/>
    <n v="3200"/>
    <n v="2"/>
    <n v="3550.6331518739089"/>
    <n v="3782.0099999999998"/>
    <n v="63360"/>
    <n v="21120"/>
    <n v="-902.00999999999976"/>
    <n v="-0.2385001626119444"/>
  </r>
  <r>
    <n v="41"/>
    <n v="10"/>
    <d v="2024-08-30T00:00:00"/>
    <n v="27"/>
    <n v="6"/>
    <n v="2629.4525999999996"/>
    <x v="33"/>
    <x v="3"/>
    <n v="1678.374"/>
    <n v="2797.29"/>
    <n v="4"/>
    <n v="3134.9333696643325"/>
    <n v="6310.5433333333322"/>
    <n v="70995.220199999996"/>
    <n v="25679.122199999991"/>
    <n v="-3681.0907333333325"/>
    <n v="-0.58332389762529691"/>
  </r>
  <r>
    <n v="42"/>
    <n v="112"/>
    <d v="2025-02-28T00:00:00"/>
    <n v="27"/>
    <n v="10"/>
    <n v="2460.9690000000001"/>
    <x v="19"/>
    <x v="6"/>
    <n v="1640.646"/>
    <n v="2734.41"/>
    <n v="1"/>
    <n v="3353.8592969232068"/>
    <n v="7409.5025000000005"/>
    <n v="66446.163"/>
    <n v="22148.721000000001"/>
    <n v="-4948.5335000000005"/>
    <n v="-0.66786312576316698"/>
  </r>
  <r>
    <n v="43"/>
    <n v="6"/>
    <d v="2024-11-16T00:00:00"/>
    <n v="50"/>
    <n v="3"/>
    <n v="4001.4246000000003"/>
    <x v="34"/>
    <x v="0"/>
    <n v="2475.1080000000002"/>
    <n v="4125.18"/>
    <n v="5"/>
    <n v="4948.0726964442483"/>
    <n v="6862.0275000000001"/>
    <n v="200071.23"/>
    <n v="76315.83"/>
    <n v="-2860.6028999999999"/>
    <n v="-0.41687429844896423"/>
  </r>
  <r>
    <n v="44"/>
    <n v="91"/>
    <d v="2023-02-04T00:00:00"/>
    <n v="24"/>
    <n v="9"/>
    <n v="2878.33"/>
    <x v="35"/>
    <x v="3"/>
    <n v="1897.8"/>
    <n v="3163"/>
    <n v="2"/>
    <n v="3564.1936419637168"/>
    <n v="4782.2433333333329"/>
    <n v="69079.92"/>
    <n v="23532.720000000001"/>
    <n v="-1903.913333333333"/>
    <n v="-0.3981213837578319"/>
  </r>
  <r>
    <n v="45"/>
    <n v="60"/>
    <d v="2025-09-10T00:00:00"/>
    <n v="4"/>
    <n v="9"/>
    <n v="2523.0751"/>
    <x v="36"/>
    <x v="2"/>
    <n v="1663.566"/>
    <n v="2772.61"/>
    <n v="2"/>
    <n v="2802.0788128058703"/>
    <n v="3047.7533333333336"/>
    <n v="10092.3004"/>
    <n v="3438.0364"/>
    <n v="-524.67823333333354"/>
    <n v="-0.17215245984473815"/>
  </r>
  <r>
    <n v="46"/>
    <n v="125"/>
    <d v="2024-03-11T00:00:00"/>
    <n v="14"/>
    <n v="7"/>
    <n v="4046.4950999999996"/>
    <x v="22"/>
    <x v="0"/>
    <n v="2610.6419999999998"/>
    <n v="4351.07"/>
    <n v="5"/>
    <n v="4688.0643522763348"/>
    <n v="5094.8040000000001"/>
    <n v="56650.931399999994"/>
    <n v="20101.943399999996"/>
    <n v="-1048.3089000000004"/>
    <n v="-0.20576039824103154"/>
  </r>
  <r>
    <n v="47"/>
    <n v="147"/>
    <d v="2024-01-15T00:00:00"/>
    <n v="17"/>
    <n v="4"/>
    <n v="4400.9471999999996"/>
    <x v="37"/>
    <x v="4"/>
    <n v="2750.5919999999996"/>
    <n v="4584.32"/>
    <n v="1"/>
    <n v="5277.8889389916885"/>
    <n v="769.14"/>
    <n v="74816.102399999989"/>
    <n v="28056.038399999998"/>
    <n v="3631.8071999999997"/>
    <n v="4.7219065449723061"/>
  </r>
  <r>
    <n v="48"/>
    <n v="78"/>
    <d v="2024-04-29T00:00:00"/>
    <n v="3"/>
    <n v="7"/>
    <n v="805.13819999999998"/>
    <x v="26"/>
    <x v="2"/>
    <n v="519.44399999999996"/>
    <n v="865.74"/>
    <n v="4"/>
    <n v="962.74127951312835"/>
    <n v="398.392"/>
    <n v="2415.4146000000001"/>
    <n v="857.08260000000007"/>
    <n v="406.74619999999999"/>
    <n v="1.0209697985903332"/>
  </r>
  <r>
    <n v="49"/>
    <n v="138"/>
    <d v="2025-05-08T00:00:00"/>
    <n v="42"/>
    <n v="10"/>
    <n v="2782.3409999999999"/>
    <x v="13"/>
    <x v="4"/>
    <n v="1854.8939999999998"/>
    <n v="3091.49"/>
    <n v="5"/>
    <n v="3153.8614469437111"/>
    <n v="4980.4933333333329"/>
    <n v="116858.322"/>
    <n v="38952.774000000005"/>
    <n v="-2198.152333333333"/>
    <n v="-0.44135232922039846"/>
  </r>
  <r>
    <n v="50"/>
    <n v="25"/>
    <d v="2024-01-06T00:00:00"/>
    <n v="11"/>
    <n v="4"/>
    <n v="545.44319999999993"/>
    <x v="38"/>
    <x v="4"/>
    <n v="340.90199999999999"/>
    <n v="568.16999999999996"/>
    <n v="1"/>
    <n v="681.85416908000354"/>
    <n v="2024.2300000000002"/>
    <n v="5999.8751999999995"/>
    <n v="2249.9531999999995"/>
    <n v="-1478.7868000000003"/>
    <n v="-0.73054287309248467"/>
  </r>
  <r>
    <n v="51"/>
    <n v="86"/>
    <d v="2023-05-14T00:00:00"/>
    <n v="4"/>
    <n v="3"/>
    <n v="3029.2226999999998"/>
    <x v="39"/>
    <x v="1"/>
    <n v="1873.7459999999999"/>
    <n v="3122.91"/>
    <n v="4"/>
    <n v="3941.7149074100921"/>
    <n v="2919.076"/>
    <n v="12116.890799999999"/>
    <n v="4621.9067999999997"/>
    <n v="110.14669999999978"/>
    <n v="3.7733412901890799E-2"/>
  </r>
  <r>
    <n v="52"/>
    <n v="133"/>
    <d v="2024-06-22T00:00:00"/>
    <n v="22"/>
    <n v="8"/>
    <n v="6076.5079999999998"/>
    <x v="40"/>
    <x v="1"/>
    <n v="3962.9399999999996"/>
    <n v="6604.9"/>
    <n v="4"/>
    <n v="6922.120712923107"/>
    <n v="4666.1933333333336"/>
    <n v="133683.17600000001"/>
    <n v="46498.496000000006"/>
    <n v="1410.3146666666662"/>
    <n v="0.30224094158121739"/>
  </r>
  <r>
    <n v="53"/>
    <n v="63"/>
    <d v="2025-10-07T00:00:00"/>
    <n v="38"/>
    <n v="4"/>
    <n v="6721.6992"/>
    <x v="41"/>
    <x v="7"/>
    <n v="4201.0619999999999"/>
    <n v="7001.77"/>
    <n v="4"/>
    <n v="8552.5376828962453"/>
    <n v="4859.22"/>
    <n v="255424.56959999999"/>
    <n v="95784.213600000003"/>
    <n v="1862.4791999999998"/>
    <n v="0.38328768814748038"/>
  </r>
  <r>
    <n v="54"/>
    <n v="85"/>
    <d v="2024-06-23T00:00:00"/>
    <n v="21"/>
    <n v="6"/>
    <n v="3527.8481999999999"/>
    <x v="42"/>
    <x v="3"/>
    <n v="2251.8180000000002"/>
    <n v="3753.03"/>
    <n v="1"/>
    <n v="4127.6575495593706"/>
    <n v="3340.25"/>
    <n v="74084.8122"/>
    <n v="26796.634199999993"/>
    <n v="187.59819999999991"/>
    <n v="5.6162921936980734E-2"/>
  </r>
  <r>
    <n v="55"/>
    <n v="59"/>
    <d v="2023-05-03T00:00:00"/>
    <n v="26"/>
    <n v="4"/>
    <n v="3984.4895999999999"/>
    <x v="43"/>
    <x v="5"/>
    <n v="2490.306"/>
    <n v="4150.51"/>
    <n v="3"/>
    <n v="4880.7409081700916"/>
    <n v="6105.9674999999997"/>
    <n v="103596.72959999999"/>
    <n v="38848.773599999993"/>
    <n v="-2121.4778999999999"/>
    <n v="-0.34744336585479696"/>
  </r>
  <r>
    <n v="56"/>
    <n v="104"/>
    <d v="2024-12-11T00:00:00"/>
    <n v="34"/>
    <n v="7"/>
    <n v="3007.2015000000001"/>
    <x v="44"/>
    <x v="2"/>
    <n v="1940.13"/>
    <n v="3233.55"/>
    <n v="1"/>
    <n v="3875.5372944373962"/>
    <n v="5121.3466666666664"/>
    <n v="102244.85100000001"/>
    <n v="36280.430999999997"/>
    <n v="-2114.1451666666662"/>
    <n v="-0.41281040012913262"/>
  </r>
  <r>
    <n v="57"/>
    <n v="119"/>
    <d v="2023-01-08T00:00:00"/>
    <n v="27"/>
    <n v="7"/>
    <n v="1805.9763"/>
    <x v="45"/>
    <x v="7"/>
    <n v="1165.146"/>
    <n v="1941.91"/>
    <n v="4"/>
    <n v="2278.0249643119819"/>
    <n v="4902.3539999999994"/>
    <n v="48761.360099999998"/>
    <n v="17302.418100000003"/>
    <n v="-3096.3776999999991"/>
    <n v="-0.63161038554131332"/>
  </r>
  <r>
    <n v="58"/>
    <n v="18"/>
    <d v="2024-12-12T00:00:00"/>
    <n v="40"/>
    <n v="9"/>
    <n v="7676.714500000001"/>
    <x v="46"/>
    <x v="7"/>
    <n v="5061.5700000000006"/>
    <n v="8435.9500000000007"/>
    <n v="3"/>
    <n v="10746.349470772069"/>
    <n v="1552.9240000000002"/>
    <n v="307068.58"/>
    <n v="104605.78000000001"/>
    <n v="6123.790500000001"/>
    <n v="3.9433935595045218"/>
  </r>
  <r>
    <n v="59"/>
    <n v="94"/>
    <d v="2023-03-05T00:00:00"/>
    <n v="15"/>
    <n v="10"/>
    <n v="4187.5019999999995"/>
    <x v="8"/>
    <x v="4"/>
    <n v="2791.6679999999997"/>
    <n v="4652.78"/>
    <n v="1"/>
    <n v="5405.4495165566495"/>
    <n v="6485.5883333333331"/>
    <n v="62812.529999999992"/>
    <n v="20937.509999999998"/>
    <n v="-2298.0863333333336"/>
    <n v="-0.35433737314502184"/>
  </r>
  <r>
    <n v="60"/>
    <n v="55"/>
    <d v="2024-09-14T00:00:00"/>
    <n v="19"/>
    <n v="4"/>
    <n v="925.71839999999997"/>
    <x v="47"/>
    <x v="6"/>
    <n v="578.57399999999996"/>
    <n v="964.29"/>
    <n v="2"/>
    <n v="1001.1952774425527"/>
    <n v="1508.7675000000002"/>
    <n v="17588.649600000001"/>
    <n v="6595.7436000000007"/>
    <n v="-583.04910000000018"/>
    <n v="-0.38644065437517716"/>
  </r>
  <r>
    <n v="61"/>
    <n v="77"/>
    <d v="2023-08-12T00:00:00"/>
    <n v="45"/>
    <n v="10"/>
    <n v="1805.3820000000001"/>
    <x v="48"/>
    <x v="7"/>
    <n v="1203.588"/>
    <n v="2005.98"/>
    <n v="1"/>
    <n v="2576.8295930966124"/>
    <n v="4139.2699999999995"/>
    <n v="81242.19"/>
    <n v="27080.730000000003"/>
    <n v="-2333.8879999999995"/>
    <n v="-0.56384048395006847"/>
  </r>
  <r>
    <n v="62"/>
    <n v="39"/>
    <d v="2024-01-29T00:00:00"/>
    <n v="43"/>
    <n v="2"/>
    <n v="3143.4283999999998"/>
    <x v="49"/>
    <x v="6"/>
    <n v="1924.5479999999998"/>
    <n v="3207.58"/>
    <n v="1"/>
    <n v="4134.8487595159449"/>
    <n v="9555.6079999999984"/>
    <n v="135167.42119999998"/>
    <n v="52411.857199999999"/>
    <n v="-6412.1795999999986"/>
    <n v="-0.671038368254537"/>
  </r>
  <r>
    <n v="63"/>
    <n v="54"/>
    <d v="2024-10-26T00:00:00"/>
    <n v="21"/>
    <n v="4"/>
    <n v="892.36799999999994"/>
    <x v="50"/>
    <x v="2"/>
    <n v="557.7299999999999"/>
    <n v="929.55"/>
    <n v="3"/>
    <n v="999.93451222733222"/>
    <n v="2958.2974999999997"/>
    <n v="18739.727999999999"/>
    <n v="7027.398000000001"/>
    <n v="-2065.9294999999997"/>
    <n v="-0.69835082509450108"/>
  </r>
  <r>
    <n v="64"/>
    <n v="103"/>
    <d v="2024-08-29T00:00:00"/>
    <n v="6"/>
    <n v="10"/>
    <n v="5772.6450000000004"/>
    <x v="12"/>
    <x v="1"/>
    <n v="3848.43"/>
    <n v="6414.05"/>
    <n v="4"/>
    <n v="6417.5200217033835"/>
    <n v="6457.8324999999995"/>
    <n v="34635.870000000003"/>
    <n v="11545.290000000005"/>
    <n v="-685.18749999999909"/>
    <n v="-0.10610177640872524"/>
  </r>
  <r>
    <n v="65"/>
    <n v="125"/>
    <d v="2025-02-04T00:00:00"/>
    <n v="24"/>
    <n v="4"/>
    <n v="4177.0271999999995"/>
    <x v="22"/>
    <x v="0"/>
    <n v="2610.6419999999998"/>
    <n v="4351.07"/>
    <n v="5"/>
    <n v="5469.9757295197842"/>
    <n v="5094.8040000000001"/>
    <n v="100248.65279999998"/>
    <n v="37593.244799999993"/>
    <n v="-917.77680000000055"/>
    <n v="-0.18013976592622613"/>
  </r>
  <r>
    <n v="66"/>
    <n v="95"/>
    <d v="2025-12-03T00:00:00"/>
    <n v="21"/>
    <n v="4"/>
    <n v="6689.9232000000002"/>
    <x v="51"/>
    <x v="7"/>
    <n v="4181.2020000000002"/>
    <n v="6968.67"/>
    <n v="2"/>
    <n v="8658.1771764859641"/>
    <n v="2797.7239999999997"/>
    <n v="140488.3872"/>
    <n v="52683.145199999999"/>
    <n v="3892.1992000000005"/>
    <n v="1.3912019913329552"/>
  </r>
  <r>
    <n v="67"/>
    <n v="31"/>
    <d v="2025-01-07T00:00:00"/>
    <n v="50"/>
    <n v="8"/>
    <n v="941.38080000000002"/>
    <x v="52"/>
    <x v="5"/>
    <n v="613.94399999999996"/>
    <n v="1023.24"/>
    <n v="2"/>
    <n v="1032.6482069924298"/>
    <n v="1065.8219999999999"/>
    <n v="47069.04"/>
    <n v="16371.840000000004"/>
    <n v="-124.44119999999987"/>
    <n v="-0.11675608122181741"/>
  </r>
  <r>
    <n v="68"/>
    <n v="68"/>
    <d v="2024-04-15T00:00:00"/>
    <n v="13"/>
    <n v="2"/>
    <n v="5922.6201999999994"/>
    <x v="53"/>
    <x v="6"/>
    <n v="3626.0939999999996"/>
    <n v="6043.49"/>
    <n v="2"/>
    <n v="6146.6667638192603"/>
    <n v="796.21333333333325"/>
    <n v="76994.06259999999"/>
    <n v="29854.840599999996"/>
    <n v="5126.4068666666662"/>
    <n v="6.4384840746198675"/>
  </r>
  <r>
    <n v="69"/>
    <n v="71"/>
    <d v="2024-07-09T00:00:00"/>
    <n v="44"/>
    <n v="5"/>
    <n v="4684.6970000000001"/>
    <x v="54"/>
    <x v="2"/>
    <n v="2958.7559999999999"/>
    <n v="4931.26"/>
    <n v="3"/>
    <n v="6354.707145794564"/>
    <n v="2482.0633333333335"/>
    <n v="206126.66800000001"/>
    <n v="75941.40400000001"/>
    <n v="2202.6336666666666"/>
    <n v="0.88742041231824587"/>
  </r>
  <r>
    <n v="70"/>
    <n v="57"/>
    <d v="2025-10-08T00:00:00"/>
    <n v="19"/>
    <n v="5"/>
    <n v="6471.1624999999995"/>
    <x v="55"/>
    <x v="6"/>
    <n v="4087.0499999999997"/>
    <n v="6811.75"/>
    <n v="2"/>
    <n v="7447.361504546474"/>
    <n v="1836.9825000000001"/>
    <n v="122952.08749999999"/>
    <n v="45298.137499999997"/>
    <n v="4634.1799999999994"/>
    <n v="2.5227131994997225"/>
  </r>
  <r>
    <n v="71"/>
    <n v="29"/>
    <d v="2024-01-03T00:00:00"/>
    <n v="18"/>
    <n v="2"/>
    <n v="7323.54"/>
    <x v="56"/>
    <x v="5"/>
    <n v="4483.8"/>
    <n v="7473"/>
    <n v="2"/>
    <n v="9128.7916098731075"/>
    <n v="1925.7060000000001"/>
    <n v="131823.72"/>
    <n v="51115.319999999992"/>
    <n v="5397.8339999999998"/>
    <n v="2.8030415857872382"/>
  </r>
  <r>
    <n v="72"/>
    <n v="40"/>
    <d v="2024-10-02T00:00:00"/>
    <n v="7"/>
    <n v="5"/>
    <n v="467.65649999999994"/>
    <x v="9"/>
    <x v="3"/>
    <n v="295.36199999999997"/>
    <n v="492.27"/>
    <n v="1"/>
    <n v="518.8678332283497"/>
    <n v="603.70600000000002"/>
    <n v="3273.5954999999994"/>
    <n v="1206.0614999999998"/>
    <n v="-136.04950000000008"/>
    <n v="-0.22535721029772782"/>
  </r>
  <r>
    <n v="73"/>
    <n v="36"/>
    <d v="2024-06-30T00:00:00"/>
    <n v="33"/>
    <n v="3"/>
    <n v="142.97800000000001"/>
    <x v="57"/>
    <x v="0"/>
    <n v="88.44"/>
    <n v="147.4"/>
    <n v="3"/>
    <n v="154.01868928397144"/>
    <n v="2726.4116666666664"/>
    <n v="4718.2740000000003"/>
    <n v="1799.7540000000004"/>
    <n v="-2583.4336666666663"/>
    <n v="-0.94755817628421235"/>
  </r>
  <r>
    <n v="74"/>
    <n v="136"/>
    <d v="2025-09-11T00:00:00"/>
    <n v="50"/>
    <n v="7"/>
    <n v="4795.4240999999993"/>
    <x v="30"/>
    <x v="3"/>
    <n v="3093.8219999999997"/>
    <n v="5156.37"/>
    <n v="3"/>
    <n v="5953.4595274069889"/>
    <n v="5805.195999999999"/>
    <n v="239771.20499999996"/>
    <n v="85080.104999999981"/>
    <n v="-1009.7718999999997"/>
    <n v="-0.17394277471423875"/>
  </r>
  <r>
    <n v="75"/>
    <n v="116"/>
    <d v="2025-06-20T00:00:00"/>
    <n v="30"/>
    <n v="9"/>
    <n v="2150.4665"/>
    <x v="58"/>
    <x v="1"/>
    <n v="1417.89"/>
    <n v="2363.15"/>
    <n v="5"/>
    <n v="2681.421864678653"/>
    <n v="4469.4999999999991"/>
    <n v="64513.995000000003"/>
    <n v="21977.294999999998"/>
    <n v="-2319.0334999999991"/>
    <n v="-0.51885747846515262"/>
  </r>
  <r>
    <n v="76"/>
    <n v="126"/>
    <d v="2023-01-11T00:00:00"/>
    <n v="40"/>
    <n v="9"/>
    <n v="922.03930000000003"/>
    <x v="59"/>
    <x v="4"/>
    <n v="607.93799999999999"/>
    <n v="1013.23"/>
    <n v="5"/>
    <n v="1054.7528431800156"/>
    <n v="7593.0025000000005"/>
    <n v="36881.572"/>
    <n v="12564.052000000001"/>
    <n v="-6670.9632000000001"/>
    <n v="-0.87856723344948195"/>
  </r>
  <r>
    <n v="77"/>
    <n v="46"/>
    <d v="2023-02-09T00:00:00"/>
    <n v="48"/>
    <n v="5"/>
    <n v="1537.7270000000001"/>
    <x v="60"/>
    <x v="1"/>
    <n v="971.19600000000003"/>
    <n v="1618.66"/>
    <n v="4"/>
    <n v="2075.195926050892"/>
    <n v="4497.6779999999999"/>
    <n v="73810.896000000008"/>
    <n v="27193.488000000005"/>
    <n v="-2959.951"/>
    <n v="-0.65810647182835236"/>
  </r>
  <r>
    <n v="78"/>
    <n v="20"/>
    <d v="2023-09-15T00:00:00"/>
    <n v="1"/>
    <n v="4"/>
    <n v="2909.9327999999996"/>
    <x v="61"/>
    <x v="7"/>
    <n v="1818.7079999999999"/>
    <n v="3031.18"/>
    <n v="4"/>
    <n v="3674.3240977245491"/>
    <n v="4553.9966666666669"/>
    <n v="2909.9327999999996"/>
    <n v="1091.2247999999997"/>
    <n v="-1644.0638666666673"/>
    <n v="-0.36101560607202915"/>
  </r>
  <r>
    <n v="79"/>
    <n v="4"/>
    <d v="2024-10-29T00:00:00"/>
    <n v="41"/>
    <n v="4"/>
    <n v="6801.9647999999997"/>
    <x v="62"/>
    <x v="4"/>
    <n v="4251.2280000000001"/>
    <n v="7085.38"/>
    <n v="4"/>
    <n v="8524.9724133573145"/>
    <n v="3570.2466666666674"/>
    <n v="278880.55679999996"/>
    <n v="104580.20879999999"/>
    <n v="3231.7181333333324"/>
    <n v="0.90518063177707564"/>
  </r>
  <r>
    <n v="80"/>
    <n v="90"/>
    <d v="2025-08-15T00:00:00"/>
    <n v="33"/>
    <n v="10"/>
    <n v="1239.039"/>
    <x v="0"/>
    <x v="0"/>
    <n v="826.02599999999995"/>
    <n v="1376.71"/>
    <n v="4"/>
    <n v="1706.7894606014095"/>
    <n v="2414.7550000000001"/>
    <n v="40888.286999999997"/>
    <n v="13629.429000000002"/>
    <n v="-1175.7160000000001"/>
    <n v="-0.48688831786247466"/>
  </r>
  <r>
    <n v="81"/>
    <n v="76"/>
    <d v="2023-11-11T00:00:00"/>
    <n v="15"/>
    <n v="2"/>
    <n v="3004.2586000000001"/>
    <x v="63"/>
    <x v="5"/>
    <n v="1839.3420000000001"/>
    <n v="3065.57"/>
    <n v="1"/>
    <n v="3195.2947075831153"/>
    <n v="831.92600000000004"/>
    <n v="45063.879000000001"/>
    <n v="17473.749"/>
    <n v="2172.3326000000002"/>
    <n v="2.6112089296403767"/>
  </r>
  <r>
    <n v="82"/>
    <n v="20"/>
    <d v="2024-04-22T00:00:00"/>
    <n v="37"/>
    <n v="9"/>
    <n v="2758.3737999999998"/>
    <x v="61"/>
    <x v="7"/>
    <n v="1818.7079999999999"/>
    <n v="3031.18"/>
    <n v="4"/>
    <n v="3594.4974093166047"/>
    <n v="4553.9966666666669"/>
    <n v="102059.8306"/>
    <n v="34767.634599999998"/>
    <n v="-1795.6228666666671"/>
    <n v="-0.39429604325577761"/>
  </r>
  <r>
    <n v="83"/>
    <n v="29"/>
    <d v="2025-08-19T00:00:00"/>
    <n v="29"/>
    <n v="2"/>
    <n v="7323.54"/>
    <x v="56"/>
    <x v="5"/>
    <n v="4483.8"/>
    <n v="7473"/>
    <n v="2"/>
    <n v="7782.0528660720329"/>
    <n v="1925.7060000000001"/>
    <n v="212382.66"/>
    <n v="82352.459999999992"/>
    <n v="5397.8339999999998"/>
    <n v="2.8030415857872382"/>
  </r>
  <r>
    <n v="84"/>
    <n v="2"/>
    <d v="2023-11-23T00:00:00"/>
    <n v="21"/>
    <n v="3"/>
    <n v="4292.0365999999995"/>
    <x v="64"/>
    <x v="0"/>
    <n v="2654.8679999999999"/>
    <n v="4424.78"/>
    <n v="4"/>
    <n v="5089.0969699049274"/>
    <n v="1807.3"/>
    <n v="90132.768599999981"/>
    <n v="34380.540599999993"/>
    <n v="2484.7365999999993"/>
    <n v="1.3748335085486634"/>
  </r>
  <r>
    <n v="85"/>
    <n v="7"/>
    <d v="2023-11-11T00:00:00"/>
    <n v="20"/>
    <n v="4"/>
    <n v="8030.2079999999987"/>
    <x v="24"/>
    <x v="3"/>
    <n v="5018.8799999999992"/>
    <n v="8364.7999999999993"/>
    <n v="1"/>
    <n v="8615.5661302780172"/>
    <n v="1679.8333333333333"/>
    <n v="160604.15999999997"/>
    <n v="60226.55999999999"/>
    <n v="6350.3746666666657"/>
    <n v="3.7803599563448751"/>
  </r>
  <r>
    <n v="86"/>
    <n v="150"/>
    <d v="2023-05-14T00:00:00"/>
    <n v="22"/>
    <n v="8"/>
    <n v="2106.5423999999998"/>
    <x v="29"/>
    <x v="1"/>
    <n v="1373.8319999999999"/>
    <n v="2289.7199999999998"/>
    <n v="3"/>
    <n v="2694.6149007741824"/>
    <n v="1810.3166666666666"/>
    <n v="46343.932799999995"/>
    <n v="16119.628799999999"/>
    <n v="296.22573333333321"/>
    <n v="0.16363199808504952"/>
  </r>
  <r>
    <n v="87"/>
    <n v="72"/>
    <d v="2025-12-18T00:00:00"/>
    <n v="13"/>
    <n v="4"/>
    <n v="5569.3439999999991"/>
    <x v="65"/>
    <x v="5"/>
    <n v="3480.8399999999997"/>
    <n v="5801.4"/>
    <n v="3"/>
    <n v="6848.9331038301343"/>
    <n v="5210.5919999999996"/>
    <n v="72401.471999999994"/>
    <n v="27150.551999999992"/>
    <n v="358.7519999999995"/>
    <n v="6.885052600549027E-2"/>
  </r>
  <r>
    <n v="88"/>
    <n v="36"/>
    <d v="2024-11-19T00:00:00"/>
    <n v="19"/>
    <n v="8"/>
    <n v="135.608"/>
    <x v="57"/>
    <x v="0"/>
    <n v="88.44"/>
    <n v="147.4"/>
    <n v="3"/>
    <n v="174.94481737779807"/>
    <n v="2726.4116666666664"/>
    <n v="2576.5520000000001"/>
    <n v="896.19200000000012"/>
    <n v="-2590.8036666666662"/>
    <n v="-0.95026136307368592"/>
  </r>
  <r>
    <n v="89"/>
    <n v="93"/>
    <d v="2023-09-12T00:00:00"/>
    <n v="10"/>
    <n v="5"/>
    <n v="7279.441499999999"/>
    <x v="66"/>
    <x v="2"/>
    <n v="4597.5419999999995"/>
    <n v="7662.57"/>
    <n v="3"/>
    <n v="8398.4115320547535"/>
    <n v="991.00333333333344"/>
    <n v="72794.414999999994"/>
    <n v="26818.994999999995"/>
    <n v="6288.4381666666659"/>
    <n v="6.345526755712223"/>
  </r>
  <r>
    <n v="90"/>
    <n v="21"/>
    <d v="2025-01-28T00:00:00"/>
    <n v="37"/>
    <n v="9"/>
    <n v="2620.1630000000005"/>
    <x v="67"/>
    <x v="0"/>
    <n v="1727.5800000000002"/>
    <n v="2879.3"/>
    <n v="3"/>
    <n v="3249.2922157187622"/>
    <n v="4150.0079999999998"/>
    <n v="96946.031000000017"/>
    <n v="33025.571000000011"/>
    <n v="-1529.8449999999993"/>
    <n v="-0.36863663877274438"/>
  </r>
  <r>
    <n v="91"/>
    <n v="129"/>
    <d v="2024-04-29T00:00:00"/>
    <n v="49"/>
    <n v="3"/>
    <n v="1223.4222"/>
    <x v="68"/>
    <x v="5"/>
    <n v="756.75599999999997"/>
    <n v="1261.26"/>
    <n v="4"/>
    <n v="1415.7136109627115"/>
    <n v="4881.2166666666662"/>
    <n v="59947.6878"/>
    <n v="22866.643800000002"/>
    <n v="-3657.7944666666663"/>
    <n v="-0.74936121800234234"/>
  </r>
  <r>
    <n v="92"/>
    <n v="6"/>
    <d v="2024-08-21T00:00:00"/>
    <n v="32"/>
    <n v="10"/>
    <n v="3712.6620000000003"/>
    <x v="34"/>
    <x v="0"/>
    <n v="2475.1080000000002"/>
    <n v="4125.18"/>
    <n v="5"/>
    <n v="4882.4191886245362"/>
    <n v="6862.0275000000001"/>
    <n v="118805.18400000001"/>
    <n v="39601.728000000003"/>
    <n v="-3149.3654999999999"/>
    <n v="-0.45895553464336886"/>
  </r>
  <r>
    <n v="93"/>
    <n v="45"/>
    <d v="2024-11-21T00:00:00"/>
    <n v="14"/>
    <n v="8"/>
    <n v="4900.278800000001"/>
    <x v="69"/>
    <x v="1"/>
    <n v="3195.8340000000003"/>
    <n v="5326.39"/>
    <n v="1"/>
    <n v="5348.2147774767363"/>
    <n v="4436.1279999999997"/>
    <n v="68603.903200000015"/>
    <n v="23862.227200000008"/>
    <n v="464.15080000000125"/>
    <n v="0.10462971311918892"/>
  </r>
  <r>
    <n v="94"/>
    <n v="27"/>
    <d v="2025-06-02T00:00:00"/>
    <n v="49"/>
    <n v="4"/>
    <n v="1557.9839999999999"/>
    <x v="2"/>
    <x v="1"/>
    <n v="973.74"/>
    <n v="1622.9"/>
    <n v="1"/>
    <n v="1676.3666361518494"/>
    <n v="4440.416666666667"/>
    <n v="76341.216"/>
    <n v="28627.955999999995"/>
    <n v="-2882.432666666667"/>
    <n v="-0.64913562916392986"/>
  </r>
  <r>
    <n v="95"/>
    <n v="28"/>
    <d v="2023-02-10T00:00:00"/>
    <n v="34"/>
    <n v="10"/>
    <n v="5144.9579999999996"/>
    <x v="70"/>
    <x v="0"/>
    <n v="3429.9719999999998"/>
    <n v="5716.62"/>
    <n v="5"/>
    <n v="7151.4023257542167"/>
    <n v="3542.9559999999997"/>
    <n v="174928.57199999999"/>
    <n v="58309.523999999998"/>
    <n v="1602.002"/>
    <n v="0.45216536699863052"/>
  </r>
  <r>
    <n v="96"/>
    <n v="115"/>
    <d v="2025-09-15T00:00:00"/>
    <n v="49"/>
    <n v="2"/>
    <n v="4597.4543999999996"/>
    <x v="71"/>
    <x v="2"/>
    <n v="2814.7679999999996"/>
    <n v="4691.28"/>
    <n v="2"/>
    <n v="5288.6877746402033"/>
    <n v="4456.5325000000003"/>
    <n v="225275.26559999998"/>
    <n v="87351.633600000001"/>
    <n v="140.92189999999937"/>
    <n v="3.1621423158026865E-2"/>
  </r>
  <r>
    <n v="97"/>
    <n v="104"/>
    <d v="2023-05-26T00:00:00"/>
    <n v="49"/>
    <n v="8"/>
    <n v="2974.8660000000004"/>
    <x v="44"/>
    <x v="2"/>
    <n v="1940.13"/>
    <n v="3233.55"/>
    <n v="1"/>
    <n v="4017.3166803494951"/>
    <n v="5121.3466666666664"/>
    <n v="145768.43400000001"/>
    <n v="50702.064000000013"/>
    <n v="-2146.4806666666659"/>
    <n v="-0.41912426679441073"/>
  </r>
  <r>
    <n v="98"/>
    <n v="41"/>
    <d v="2025-10-03T00:00:00"/>
    <n v="29"/>
    <n v="2"/>
    <n v="3019.8405999999995"/>
    <x v="72"/>
    <x v="7"/>
    <n v="1848.8819999999998"/>
    <n v="3081.47"/>
    <n v="1"/>
    <n v="3537.5320656049948"/>
    <n v="1589.1249999999998"/>
    <n v="87575.377399999983"/>
    <n v="33957.799399999989"/>
    <n v="1430.7155999999998"/>
    <n v="0.90031658931802094"/>
  </r>
  <r>
    <n v="99"/>
    <n v="97"/>
    <d v="2025-08-06T00:00:00"/>
    <n v="43"/>
    <n v="10"/>
    <n v="829.476"/>
    <x v="73"/>
    <x v="0"/>
    <n v="552.98399999999992"/>
    <n v="921.64"/>
    <n v="3"/>
    <n v="1156.8213398972653"/>
    <n v="2464.87"/>
    <n v="35667.468000000001"/>
    <n v="11889.156000000003"/>
    <n v="-1635.3939999999998"/>
    <n v="-0.66348083266054592"/>
  </r>
  <r>
    <n v="100"/>
    <n v="32"/>
    <d v="2023-08-22T00:00:00"/>
    <n v="36"/>
    <n v="10"/>
    <n v="854.06400000000008"/>
    <x v="11"/>
    <x v="2"/>
    <n v="569.37599999999998"/>
    <n v="948.96"/>
    <n v="4"/>
    <n v="963.76972723360484"/>
    <n v="2168.4866666666671"/>
    <n v="30746.304000000004"/>
    <n v="10248.768000000004"/>
    <n v="-1314.4226666666671"/>
    <n v="-0.60614745152533411"/>
  </r>
  <r>
    <n v="101"/>
    <n v="104"/>
    <d v="2023-03-20T00:00:00"/>
    <n v="44"/>
    <n v="3"/>
    <n v="3136.5435000000002"/>
    <x v="44"/>
    <x v="2"/>
    <n v="1940.13"/>
    <n v="3233.55"/>
    <n v="1"/>
    <n v="3765.3756334287204"/>
    <n v="5121.3466666666664"/>
    <n v="138007.91400000002"/>
    <n v="52642.194000000003"/>
    <n v="-1984.8031666666661"/>
    <n v="-0.38755493346802006"/>
  </r>
  <r>
    <n v="102"/>
    <n v="106"/>
    <d v="2024-07-22T00:00:00"/>
    <n v="50"/>
    <n v="5"/>
    <n v="1362.3284999999998"/>
    <x v="74"/>
    <x v="1"/>
    <n v="860.41800000000001"/>
    <n v="1434.03"/>
    <n v="2"/>
    <n v="1449.2246498436778"/>
    <n v="695.38400000000001"/>
    <n v="68116.424999999988"/>
    <n v="25095.524999999991"/>
    <n v="666.94449999999983"/>
    <n v="0.95910245274553318"/>
  </r>
  <r>
    <n v="103"/>
    <n v="76"/>
    <d v="2024-05-07T00:00:00"/>
    <n v="48"/>
    <n v="4"/>
    <n v="2942.9472000000001"/>
    <x v="63"/>
    <x v="5"/>
    <n v="1839.3420000000001"/>
    <n v="3065.57"/>
    <n v="1"/>
    <n v="3269.6717752940699"/>
    <n v="831.92600000000004"/>
    <n v="141261.4656"/>
    <n v="52973.049599999998"/>
    <n v="2111.0212000000001"/>
    <n v="2.5375107882191443"/>
  </r>
  <r>
    <n v="104"/>
    <n v="22"/>
    <d v="2024-09-23T00:00:00"/>
    <n v="41"/>
    <n v="6"/>
    <n v="1536.4299999999998"/>
    <x v="6"/>
    <x v="3"/>
    <n v="980.69999999999993"/>
    <n v="1634.5"/>
    <n v="1"/>
    <n v="2042.2480462808776"/>
    <n v="3187.4450000000002"/>
    <n v="62993.62999999999"/>
    <n v="22784.929999999997"/>
    <n v="-1651.0150000000003"/>
    <n v="-0.51797442779404834"/>
  </r>
  <r>
    <n v="105"/>
    <n v="126"/>
    <d v="2025-11-14T00:00:00"/>
    <n v="47"/>
    <n v="7"/>
    <n v="942.3039"/>
    <x v="59"/>
    <x v="4"/>
    <n v="607.93799999999999"/>
    <n v="1013.23"/>
    <n v="5"/>
    <n v="1290.8411885327321"/>
    <n v="7593.0025000000005"/>
    <n v="44288.283300000003"/>
    <n v="15715.1973"/>
    <n v="-6650.6986000000006"/>
    <n v="-0.87589838143738263"/>
  </r>
  <r>
    <n v="106"/>
    <n v="93"/>
    <d v="2025-01-03T00:00:00"/>
    <n v="2"/>
    <n v="5"/>
    <n v="7279.441499999999"/>
    <x v="66"/>
    <x v="2"/>
    <n v="4597.5419999999995"/>
    <n v="7662.57"/>
    <n v="3"/>
    <n v="9628.6310393828808"/>
    <n v="991.00333333333344"/>
    <n v="14558.882999999998"/>
    <n v="5363.7989999999991"/>
    <n v="6288.4381666666659"/>
    <n v="6.345526755712223"/>
  </r>
  <r>
    <n v="107"/>
    <n v="104"/>
    <d v="2025-09-24T00:00:00"/>
    <n v="35"/>
    <n v="4"/>
    <n v="3104.2080000000001"/>
    <x v="44"/>
    <x v="2"/>
    <n v="1940.13"/>
    <n v="3233.55"/>
    <n v="1"/>
    <n v="4011.054927526136"/>
    <n v="5121.3466666666664"/>
    <n v="108647.28"/>
    <n v="40742.729999999996"/>
    <n v="-2017.1386666666663"/>
    <n v="-0.39386880013329822"/>
  </r>
  <r>
    <n v="108"/>
    <n v="52"/>
    <d v="2024-03-01T00:00:00"/>
    <n v="5"/>
    <n v="3"/>
    <n v="4325.4045999999998"/>
    <x v="75"/>
    <x v="2"/>
    <n v="2675.5080000000003"/>
    <n v="4459.18"/>
    <n v="3"/>
    <n v="5329.4370720087209"/>
    <n v="6258.09"/>
    <n v="21627.023000000001"/>
    <n v="8249.4829999999984"/>
    <n v="-1932.6854000000003"/>
    <n v="-0.30882991455859538"/>
  </r>
  <r>
    <n v="109"/>
    <n v="83"/>
    <d v="2025-05-24T00:00:00"/>
    <n v="32"/>
    <n v="4"/>
    <n v="3663.7727999999997"/>
    <x v="28"/>
    <x v="6"/>
    <n v="2289.8579999999997"/>
    <n v="3816.43"/>
    <n v="2"/>
    <n v="4469.2280838586084"/>
    <n v="2990.2349999999997"/>
    <n v="117240.72959999999"/>
    <n v="43965.2736"/>
    <n v="673.53780000000006"/>
    <n v="0.22524577499761728"/>
  </r>
  <r>
    <n v="110"/>
    <n v="67"/>
    <d v="2023-02-01T00:00:00"/>
    <n v="27"/>
    <n v="2"/>
    <n v="1127.6958"/>
    <x v="76"/>
    <x v="6"/>
    <n v="690.42600000000004"/>
    <n v="1150.71"/>
    <n v="4"/>
    <n v="1341.6605694967284"/>
    <n v="7069.7"/>
    <n v="30447.786599999999"/>
    <n v="11806.284599999997"/>
    <n v="-5942.0041999999994"/>
    <n v="-0.84048887505834757"/>
  </r>
  <r>
    <n v="111"/>
    <n v="97"/>
    <d v="2025-11-05T00:00:00"/>
    <n v="26"/>
    <n v="7"/>
    <n v="857.12519999999995"/>
    <x v="73"/>
    <x v="0"/>
    <n v="552.98399999999992"/>
    <n v="921.64"/>
    <n v="3"/>
    <n v="1176.2473335542591"/>
    <n v="2464.87"/>
    <n v="22285.2552"/>
    <n v="7907.6712000000007"/>
    <n v="-1607.7447999999999"/>
    <n v="-0.65226352708256419"/>
  </r>
  <r>
    <n v="112"/>
    <n v="48"/>
    <d v="2025-11-06T00:00:00"/>
    <n v="34"/>
    <n v="7"/>
    <n v="3430.0910999999996"/>
    <x v="3"/>
    <x v="0"/>
    <n v="2212.962"/>
    <n v="3688.27"/>
    <n v="4"/>
    <n v="4497.8374552696196"/>
    <n v="1050.3625000000002"/>
    <n v="116623.09739999998"/>
    <n v="41382.389399999985"/>
    <n v="2379.7285999999995"/>
    <n v="2.2656260100679519"/>
  </r>
  <r>
    <n v="113"/>
    <n v="144"/>
    <d v="2025-01-19T00:00:00"/>
    <n v="28"/>
    <n v="2"/>
    <n v="1546.6556"/>
    <x v="77"/>
    <x v="0"/>
    <n v="946.93200000000002"/>
    <n v="1578.22"/>
    <n v="2"/>
    <n v="1590.3232965394957"/>
    <n v="6414.0239999999994"/>
    <n v="43306.356800000001"/>
    <n v="16792.2608"/>
    <n v="-4867.3683999999994"/>
    <n v="-0.75886345295870417"/>
  </r>
  <r>
    <n v="114"/>
    <n v="74"/>
    <d v="2024-04-07T00:00:00"/>
    <n v="38"/>
    <n v="2"/>
    <n v="1867.1058"/>
    <x v="78"/>
    <x v="3"/>
    <n v="1143.126"/>
    <n v="1905.21"/>
    <n v="5"/>
    <n v="2462.524656141477"/>
    <n v="2585.9039999999995"/>
    <n v="70950.020400000009"/>
    <n v="27511.232400000001"/>
    <n v="-718.7981999999995"/>
    <n v="-0.27796785959571568"/>
  </r>
  <r>
    <n v="115"/>
    <n v="139"/>
    <d v="2025-02-16T00:00:00"/>
    <n v="41"/>
    <n v="3"/>
    <n v="2513.3476000000001"/>
    <x v="25"/>
    <x v="3"/>
    <n v="1554.6479999999999"/>
    <n v="2591.08"/>
    <n v="5"/>
    <n v="3118.8918857614367"/>
    <n v="2839.1733333333336"/>
    <n v="103047.2516"/>
    <n v="39306.683600000004"/>
    <n v="-325.82573333333357"/>
    <n v="-0.11476077543698172"/>
  </r>
  <r>
    <n v="116"/>
    <n v="62"/>
    <d v="2023-08-20T00:00:00"/>
    <n v="2"/>
    <n v="9"/>
    <n v="3146.7254000000003"/>
    <x v="79"/>
    <x v="7"/>
    <n v="2074.7640000000001"/>
    <n v="3457.94"/>
    <n v="4"/>
    <n v="4439.8241004402735"/>
    <n v="5560.3266666666668"/>
    <n v="6293.4508000000005"/>
    <n v="2143.9228000000003"/>
    <n v="-2413.6012666666666"/>
    <n v="-0.43407544400868531"/>
  </r>
  <r>
    <n v="117"/>
    <n v="63"/>
    <d v="2024-03-12T00:00:00"/>
    <n v="4"/>
    <n v="3"/>
    <n v="6791.7169000000004"/>
    <x v="41"/>
    <x v="7"/>
    <n v="4201.0619999999999"/>
    <n v="7001.77"/>
    <n v="4"/>
    <n v="7887.7982029102268"/>
    <n v="4859.22"/>
    <n v="27166.867600000001"/>
    <n v="10362.619600000002"/>
    <n v="1932.4969000000001"/>
    <n v="0.3976969348990167"/>
  </r>
  <r>
    <n v="118"/>
    <n v="125"/>
    <d v="2025-12-04T00:00:00"/>
    <n v="45"/>
    <n v="9"/>
    <n v="3959.4737"/>
    <x v="22"/>
    <x v="0"/>
    <n v="2610.6419999999998"/>
    <n v="4351.07"/>
    <n v="5"/>
    <n v="5465.1512604095496"/>
    <n v="5094.8040000000001"/>
    <n v="178176.31649999999"/>
    <n v="60697.426500000009"/>
    <n v="-1135.3303000000001"/>
    <n v="-0.22284081978423509"/>
  </r>
  <r>
    <n v="119"/>
    <n v="84"/>
    <d v="2023-05-22T00:00:00"/>
    <n v="2"/>
    <n v="3"/>
    <n v="7527.3552"/>
    <x v="80"/>
    <x v="6"/>
    <n v="4656.0959999999995"/>
    <n v="7760.16"/>
    <n v="1"/>
    <n v="9175.2473866050696"/>
    <n v="2588.9250000000002"/>
    <n v="15054.7104"/>
    <n v="5742.5184000000008"/>
    <n v="4938.4301999999998"/>
    <n v="1.9075215388626552"/>
  </r>
  <r>
    <n v="120"/>
    <n v="66"/>
    <d v="2024-09-20T00:00:00"/>
    <n v="6"/>
    <n v="8"/>
    <n v="5359.0092000000004"/>
    <x v="81"/>
    <x v="7"/>
    <n v="3495.0059999999999"/>
    <n v="5825.01"/>
    <n v="1"/>
    <n v="6734.6258017153459"/>
    <n v="6051.7379999999994"/>
    <n v="32154.055200000003"/>
    <n v="11184.019200000002"/>
    <n v="-692.72879999999896"/>
    <n v="-0.11446774463798648"/>
  </r>
  <r>
    <n v="121"/>
    <n v="64"/>
    <d v="2024-10-18T00:00:00"/>
    <n v="24"/>
    <n v="6"/>
    <n v="3008"/>
    <x v="31"/>
    <x v="2"/>
    <n v="1920"/>
    <n v="3200"/>
    <n v="2"/>
    <n v="3956.7749330368342"/>
    <n v="3782.0099999999998"/>
    <n v="72192"/>
    <n v="26112"/>
    <n v="-774.00999999999976"/>
    <n v="-0.20465572539469748"/>
  </r>
  <r>
    <n v="122"/>
    <n v="63"/>
    <d v="2024-06-27T00:00:00"/>
    <n v="47"/>
    <n v="9"/>
    <n v="6371.6107000000002"/>
    <x v="41"/>
    <x v="7"/>
    <n v="4201.0619999999999"/>
    <n v="7001.77"/>
    <n v="4"/>
    <n v="7056.671437090944"/>
    <n v="4859.22"/>
    <n v="299465.70290000003"/>
    <n v="102015.78890000001"/>
    <n v="1512.3906999999999"/>
    <n v="0.31124145438979917"/>
  </r>
  <r>
    <n v="123"/>
    <n v="108"/>
    <d v="2024-12-15T00:00:00"/>
    <n v="26"/>
    <n v="8"/>
    <n v="773.29679999999996"/>
    <x v="82"/>
    <x v="6"/>
    <n v="504.32399999999996"/>
    <n v="840.54"/>
    <n v="3"/>
    <n v="993.29763226588477"/>
    <n v="5163.7120000000004"/>
    <n v="20105.716799999998"/>
    <n v="6993.2928000000002"/>
    <n v="-4390.4152000000004"/>
    <n v="-0.85024401051026854"/>
  </r>
  <r>
    <n v="124"/>
    <n v="28"/>
    <d v="2024-01-18T00:00:00"/>
    <n v="48"/>
    <n v="5"/>
    <n v="5430.7889999999998"/>
    <x v="70"/>
    <x v="0"/>
    <n v="3429.9719999999998"/>
    <n v="5716.62"/>
    <n v="5"/>
    <n v="6024.3320121330389"/>
    <n v="3542.9559999999997"/>
    <n v="260677.87199999997"/>
    <n v="96039.216"/>
    <n v="1887.8330000000001"/>
    <n v="0.53284122072077678"/>
  </r>
  <r>
    <n v="125"/>
    <n v="18"/>
    <d v="2025-10-12T00:00:00"/>
    <n v="14"/>
    <n v="7"/>
    <n v="7845.4335000000001"/>
    <x v="46"/>
    <x v="7"/>
    <n v="5061.5700000000006"/>
    <n v="8435.9500000000007"/>
    <n v="3"/>
    <n v="8738.9681396462383"/>
    <n v="1552.9240000000002"/>
    <n v="109836.069"/>
    <n v="38974.088999999993"/>
    <n v="6292.5095000000001"/>
    <n v="4.0520395718013242"/>
  </r>
  <r>
    <n v="126"/>
    <n v="62"/>
    <d v="2024-05-06T00:00:00"/>
    <n v="6"/>
    <n v="5"/>
    <n v="3285.0430000000001"/>
    <x v="79"/>
    <x v="7"/>
    <n v="2074.7640000000001"/>
    <n v="3457.94"/>
    <n v="4"/>
    <n v="3638.4030393751527"/>
    <n v="5560.3266666666668"/>
    <n v="19710.258000000002"/>
    <n v="7261.674"/>
    <n v="-2275.2836666666667"/>
    <n v="-0.40919963934972647"/>
  </r>
  <r>
    <n v="127"/>
    <n v="73"/>
    <d v="2025-12-14T00:00:00"/>
    <n v="28"/>
    <n v="7"/>
    <n v="4218.0986999999996"/>
    <x v="83"/>
    <x v="1"/>
    <n v="2721.3539999999998"/>
    <n v="4535.59"/>
    <n v="1"/>
    <n v="5595.4253765184258"/>
    <n v="5380.9516666666668"/>
    <n v="118106.76359999999"/>
    <n v="41908.851599999995"/>
    <n v="-1162.8529666666673"/>
    <n v="-0.21610544727063469"/>
  </r>
  <r>
    <n v="128"/>
    <n v="46"/>
    <d v="2025-03-05T00:00:00"/>
    <n v="45"/>
    <n v="3"/>
    <n v="1570.1002000000001"/>
    <x v="60"/>
    <x v="1"/>
    <n v="971.19600000000003"/>
    <n v="1618.66"/>
    <n v="4"/>
    <n v="1765.804741807219"/>
    <n v="4497.6779999999999"/>
    <n v="70654.509000000005"/>
    <n v="26950.689000000002"/>
    <n v="-2927.5778"/>
    <n v="-0.65090871334052813"/>
  </r>
  <r>
    <n v="129"/>
    <n v="82"/>
    <d v="2023-03-15T00:00:00"/>
    <n v="47"/>
    <n v="4"/>
    <n v="1220.3712"/>
    <x v="7"/>
    <x v="4"/>
    <n v="762.73199999999997"/>
    <n v="1271.22"/>
    <n v="2"/>
    <n v="1362.7510823944738"/>
    <n v="2617.7080000000001"/>
    <n v="57357.446400000001"/>
    <n v="21509.042400000002"/>
    <n v="-1397.3368"/>
    <n v="-0.53380163104517386"/>
  </r>
  <r>
    <n v="130"/>
    <n v="116"/>
    <d v="2023-11-04T00:00:00"/>
    <n v="29"/>
    <n v="9"/>
    <n v="2150.4665"/>
    <x v="58"/>
    <x v="1"/>
    <n v="1417.89"/>
    <n v="2363.15"/>
    <n v="5"/>
    <n v="2796.3804908417233"/>
    <n v="4469.4999999999991"/>
    <n v="62363.5285"/>
    <n v="21244.718499999995"/>
    <n v="-2319.0334999999991"/>
    <n v="-0.51885747846515262"/>
  </r>
  <r>
    <n v="131"/>
    <n v="149"/>
    <d v="2025-04-27T00:00:00"/>
    <n v="35"/>
    <n v="9"/>
    <n v="5576.2798000000003"/>
    <x v="14"/>
    <x v="5"/>
    <n v="3676.6679999999997"/>
    <n v="6127.78"/>
    <n v="4"/>
    <n v="7231.8093261526392"/>
    <n v="3159.4639999999999"/>
    <n v="195169.79300000001"/>
    <n v="66486.413000000015"/>
    <n v="2416.8158000000003"/>
    <n v="0.76494487672592582"/>
  </r>
  <r>
    <n v="132"/>
    <n v="33"/>
    <d v="2023-04-02T00:00:00"/>
    <n v="17"/>
    <n v="5"/>
    <n v="4800.3404999999993"/>
    <x v="84"/>
    <x v="0"/>
    <n v="3031.7939999999999"/>
    <n v="5052.99"/>
    <n v="3"/>
    <n v="5576.2225734579433"/>
    <n v="2776.7875000000004"/>
    <n v="81605.788499999995"/>
    <n v="30065.290499999992"/>
    <n v="2023.552999999999"/>
    <n v="0.72873887540908289"/>
  </r>
  <r>
    <n v="133"/>
    <n v="101"/>
    <d v="2024-12-09T00:00:00"/>
    <n v="42"/>
    <n v="8"/>
    <n v="4342.6668"/>
    <x v="5"/>
    <x v="3"/>
    <n v="2832.174"/>
    <n v="4720.29"/>
    <n v="2"/>
    <n v="4832.0605992436713"/>
    <n v="6068.0179999999991"/>
    <n v="182392.0056"/>
    <n v="63440.6976"/>
    <n v="-1725.3511999999992"/>
    <n v="-0.28433521456264621"/>
  </r>
  <r>
    <n v="134"/>
    <n v="105"/>
    <d v="2025-09-08T00:00:00"/>
    <n v="29"/>
    <n v="6"/>
    <n v="3894.4951999999998"/>
    <x v="85"/>
    <x v="1"/>
    <n v="2485.848"/>
    <n v="4143.08"/>
    <n v="3"/>
    <n v="5354.9779214739037"/>
    <n v="4778.8849999999993"/>
    <n v="112940.36079999999"/>
    <n v="40850.768799999998"/>
    <n v="-884.38979999999947"/>
    <n v="-0.18506195482837515"/>
  </r>
  <r>
    <n v="135"/>
    <n v="141"/>
    <d v="2025-02-27T00:00:00"/>
    <n v="33"/>
    <n v="3"/>
    <n v="7629.2342999999992"/>
    <x v="86"/>
    <x v="1"/>
    <n v="4719.1139999999996"/>
    <n v="7865.19"/>
    <n v="5"/>
    <n v="8883.6060969308855"/>
    <n v="7586.8133333333344"/>
    <n v="251764.73189999998"/>
    <n v="96033.969899999982"/>
    <n v="42.420966666664754"/>
    <n v="5.5914077232247818E-3"/>
  </r>
  <r>
    <n v="136"/>
    <n v="104"/>
    <d v="2025-02-22T00:00:00"/>
    <n v="43"/>
    <n v="10"/>
    <n v="2910.1950000000002"/>
    <x v="44"/>
    <x v="2"/>
    <n v="1940.13"/>
    <n v="3233.55"/>
    <n v="1"/>
    <n v="3629.063079368218"/>
    <n v="5121.3466666666664"/>
    <n v="125138.38500000001"/>
    <n v="41712.795000000006"/>
    <n v="-2211.1516666666662"/>
    <n v="-0.43175200012496706"/>
  </r>
  <r>
    <n v="137"/>
    <n v="113"/>
    <d v="2025-09-27T00:00:00"/>
    <n v="44"/>
    <n v="5"/>
    <n v="4587.7019999999993"/>
    <x v="87"/>
    <x v="7"/>
    <n v="2897.4959999999996"/>
    <n v="4829.16"/>
    <n v="1"/>
    <n v="5599.1960722145868"/>
    <n v="4302.05"/>
    <n v="201858.88799999998"/>
    <n v="74369.063999999984"/>
    <n v="285.65199999999913"/>
    <n v="6.6399042317034696E-2"/>
  </r>
  <r>
    <n v="138"/>
    <n v="92"/>
    <d v="2023-12-03T00:00:00"/>
    <n v="35"/>
    <n v="10"/>
    <n v="3220.2179999999998"/>
    <x v="88"/>
    <x v="1"/>
    <n v="2146.8119999999999"/>
    <n v="3578.02"/>
    <n v="5"/>
    <n v="3836.5910804032846"/>
    <n v="5387.83"/>
    <n v="112707.62999999999"/>
    <n v="37569.21"/>
    <n v="-2167.6120000000001"/>
    <n v="-0.40231633143584711"/>
  </r>
  <r>
    <n v="139"/>
    <n v="46"/>
    <d v="2025-08-19T00:00:00"/>
    <n v="8"/>
    <n v="8"/>
    <n v="1489.1672000000001"/>
    <x v="60"/>
    <x v="1"/>
    <n v="971.19600000000003"/>
    <n v="1618.66"/>
    <n v="4"/>
    <n v="1716.9367958175808"/>
    <n v="4497.6779999999999"/>
    <n v="11913.337600000001"/>
    <n v="4143.7696000000005"/>
    <n v="-3008.5108"/>
    <n v="-0.66890310956008858"/>
  </r>
  <r>
    <n v="140"/>
    <n v="122"/>
    <d v="2023-10-06T00:00:00"/>
    <n v="10"/>
    <n v="10"/>
    <n v="4632.9660000000003"/>
    <x v="89"/>
    <x v="6"/>
    <n v="3088.6439999999998"/>
    <n v="5147.74"/>
    <n v="3"/>
    <n v="5498.8020022108885"/>
    <n v="4724.1475"/>
    <n v="46329.66"/>
    <n v="15443.220000000005"/>
    <n v="-91.181499999999687"/>
    <n v="-1.9301154335253014E-2"/>
  </r>
  <r>
    <n v="141"/>
    <n v="65"/>
    <d v="2024-04-27T00:00:00"/>
    <n v="3"/>
    <n v="5"/>
    <n v="4285.7919999999995"/>
    <x v="90"/>
    <x v="2"/>
    <n v="2706.8159999999998"/>
    <n v="4511.3599999999997"/>
    <n v="1"/>
    <n v="4550.2782235459463"/>
    <n v="1786.8475000000001"/>
    <n v="12857.375999999998"/>
    <n v="4736.927999999999"/>
    <n v="2498.9444999999996"/>
    <n v="1.3985214183079415"/>
  </r>
  <r>
    <n v="142"/>
    <n v="116"/>
    <d v="2023-04-20T00:00:00"/>
    <n v="44"/>
    <n v="4"/>
    <n v="2268.6239999999998"/>
    <x v="58"/>
    <x v="1"/>
    <n v="1417.89"/>
    <n v="2363.15"/>
    <n v="5"/>
    <n v="2596.0878239540257"/>
    <n v="4469.4999999999991"/>
    <n v="99819.455999999991"/>
    <n v="37432.295999999988"/>
    <n v="-2200.8759999999993"/>
    <n v="-0.49242107618301817"/>
  </r>
  <r>
    <n v="143"/>
    <n v="110"/>
    <d v="2023-11-06T00:00:00"/>
    <n v="48"/>
    <n v="8"/>
    <n v="1429.8732"/>
    <x v="91"/>
    <x v="2"/>
    <n v="932.52599999999995"/>
    <n v="1554.21"/>
    <n v="3"/>
    <n v="1732.8967545362618"/>
    <n v="764.66499999999996"/>
    <n v="68633.9136"/>
    <n v="23872.6656"/>
    <n v="665.20820000000003"/>
    <n v="0.86993415417208853"/>
  </r>
  <r>
    <n v="144"/>
    <n v="78"/>
    <d v="2023-04-19T00:00:00"/>
    <n v="49"/>
    <n v="6"/>
    <n v="813.79559999999992"/>
    <x v="26"/>
    <x v="2"/>
    <n v="519.44399999999996"/>
    <n v="865.74"/>
    <n v="4"/>
    <n v="914.54787512309622"/>
    <n v="398.392"/>
    <n v="39875.984399999994"/>
    <n v="14423.228399999998"/>
    <n v="415.40359999999993"/>
    <n v="1.0427006566396915"/>
  </r>
  <r>
    <n v="145"/>
    <n v="140"/>
    <d v="2023-03-16T00:00:00"/>
    <n v="42"/>
    <n v="9"/>
    <n v="813.32159999999999"/>
    <x v="92"/>
    <x v="1"/>
    <n v="536.25599999999997"/>
    <n v="893.76"/>
    <n v="3"/>
    <n v="1082.2847234535923"/>
    <n v="4472.5149999999994"/>
    <n v="34159.5072"/>
    <n v="11636.755200000001"/>
    <n v="-3659.1933999999992"/>
    <n v="-0.81815117445106378"/>
  </r>
  <r>
    <n v="146"/>
    <n v="76"/>
    <d v="2024-01-11T00:00:00"/>
    <n v="50"/>
    <n v="7"/>
    <n v="2850.9800999999998"/>
    <x v="63"/>
    <x v="5"/>
    <n v="1839.3420000000001"/>
    <n v="3065.57"/>
    <n v="1"/>
    <n v="3791.7497221341405"/>
    <n v="831.92600000000004"/>
    <n v="142549.00499999998"/>
    <n v="50581.904999999984"/>
    <n v="2019.0540999999998"/>
    <n v="2.4269635760872958"/>
  </r>
  <r>
    <n v="147"/>
    <n v="13"/>
    <d v="2024-01-29T00:00:00"/>
    <n v="6"/>
    <n v="10"/>
    <n v="1617.354"/>
    <x v="93"/>
    <x v="4"/>
    <n v="1078.2359999999999"/>
    <n v="1797.06"/>
    <n v="5"/>
    <n v="1970.2045742813107"/>
    <n v="1712.5580000000002"/>
    <n v="9704.1239999999998"/>
    <n v="3234.708000000001"/>
    <n v="-95.204000000000178"/>
    <n v="-5.5591693828763854E-2"/>
  </r>
  <r>
    <n v="148"/>
    <n v="92"/>
    <d v="2024-07-13T00:00:00"/>
    <n v="37"/>
    <n v="6"/>
    <n v="3363.3388"/>
    <x v="88"/>
    <x v="1"/>
    <n v="2146.8119999999999"/>
    <n v="3578.02"/>
    <n v="5"/>
    <n v="4096.6057218766773"/>
    <n v="5387.83"/>
    <n v="124443.5356"/>
    <n v="45011.491600000001"/>
    <n v="-2024.4911999999999"/>
    <n v="-0.37575261283299582"/>
  </r>
  <r>
    <n v="149"/>
    <n v="109"/>
    <d v="2025-08-09T00:00:00"/>
    <n v="37"/>
    <n v="6"/>
    <n v="2081.6205999999997"/>
    <x v="94"/>
    <x v="2"/>
    <n v="1328.6939999999997"/>
    <n v="2214.4899999999998"/>
    <n v="2"/>
    <n v="2751.4785858733208"/>
    <n v="6555.1760000000013"/>
    <n v="77019.962199999994"/>
    <n v="27858.284200000002"/>
    <n v="-4473.5554000000011"/>
    <n v="-0.68244626841445599"/>
  </r>
  <r>
    <n v="150"/>
    <n v="97"/>
    <d v="2023-06-30T00:00:00"/>
    <n v="21"/>
    <n v="10"/>
    <n v="829.476"/>
    <x v="73"/>
    <x v="0"/>
    <n v="552.98399999999992"/>
    <n v="921.64"/>
    <n v="3"/>
    <n v="1132.824898406104"/>
    <n v="2464.87"/>
    <n v="17418.995999999999"/>
    <n v="5806.3320000000012"/>
    <n v="-1635.3939999999998"/>
    <n v="-0.66348083266054592"/>
  </r>
  <r>
    <n v="151"/>
    <n v="27"/>
    <d v="2025-05-29T00:00:00"/>
    <n v="27"/>
    <n v="8"/>
    <n v="1493.0680000000002"/>
    <x v="2"/>
    <x v="1"/>
    <n v="973.74"/>
    <n v="1622.9"/>
    <n v="1"/>
    <n v="1875.5060367988328"/>
    <n v="4440.416666666667"/>
    <n v="40312.836000000003"/>
    <n v="14021.856000000005"/>
    <n v="-2947.3486666666668"/>
    <n v="-0.66375497794876603"/>
  </r>
  <r>
    <n v="152"/>
    <n v="19"/>
    <d v="2023-03-28T00:00:00"/>
    <n v="20"/>
    <n v="6"/>
    <n v="3206.1801999999998"/>
    <x v="95"/>
    <x v="0"/>
    <n v="2046.4979999999998"/>
    <n v="3410.83"/>
    <n v="2"/>
    <n v="3950.3816282937014"/>
    <n v="1213.8383333333334"/>
    <n v="64123.603999999992"/>
    <n v="23193.644"/>
    <n v="1992.3418666666664"/>
    <n v="1.6413568528483335"/>
  </r>
  <r>
    <n v="153"/>
    <n v="37"/>
    <d v="2024-06-27T00:00:00"/>
    <n v="44"/>
    <n v="7"/>
    <n v="3591.1670999999997"/>
    <x v="96"/>
    <x v="7"/>
    <n v="2316.8819999999996"/>
    <n v="3861.47"/>
    <n v="1"/>
    <n v="4513.8730931667615"/>
    <n v="2618.5759999999996"/>
    <n v="158011.35239999997"/>
    <n v="56068.544399999999"/>
    <n v="972.5911000000001"/>
    <n v="0.37141984803954525"/>
  </r>
  <r>
    <n v="154"/>
    <n v="104"/>
    <d v="2025-05-11T00:00:00"/>
    <n v="43"/>
    <n v="9"/>
    <n v="2942.5305000000003"/>
    <x v="44"/>
    <x v="2"/>
    <n v="1940.13"/>
    <n v="3233.55"/>
    <n v="1"/>
    <n v="3947.7437830582408"/>
    <n v="5121.3466666666664"/>
    <n v="126528.81150000001"/>
    <n v="43103.221500000007"/>
    <n v="-2178.816166666666"/>
    <n v="-0.42543813345968889"/>
  </r>
  <r>
    <n v="155"/>
    <n v="1"/>
    <d v="2023-02-27T00:00:00"/>
    <n v="12"/>
    <n v="6"/>
    <n v="1796.2929999999999"/>
    <x v="97"/>
    <x v="7"/>
    <n v="1146.57"/>
    <n v="1910.95"/>
    <n v="1"/>
    <n v="2151.8500571798904"/>
    <n v="4785.0083333333332"/>
    <n v="21555.516"/>
    <n v="7796.6759999999995"/>
    <n v="-2988.7153333333335"/>
    <n v="-0.62459981783382479"/>
  </r>
  <r>
    <n v="156"/>
    <n v="70"/>
    <d v="2024-11-06T00:00:00"/>
    <n v="1"/>
    <n v="2"/>
    <n v="3949.1549999999997"/>
    <x v="98"/>
    <x v="7"/>
    <n v="2417.85"/>
    <n v="4029.75"/>
    <n v="1"/>
    <n v="4041.7003971778768"/>
    <n v="2158.7083333333335"/>
    <n v="3949.1549999999997"/>
    <n v="1531.3049999999998"/>
    <n v="1790.4466666666663"/>
    <n v="0.82940647377868681"/>
  </r>
  <r>
    <n v="157"/>
    <n v="15"/>
    <d v="2023-04-17T00:00:00"/>
    <n v="38"/>
    <n v="10"/>
    <n v="4357.3319999999994"/>
    <x v="27"/>
    <x v="4"/>
    <n v="2904.8879999999995"/>
    <n v="4841.4799999999996"/>
    <n v="4"/>
    <n v="5808.3118000837021"/>
    <n v="5242.3433333333332"/>
    <n v="165578.61599999998"/>
    <n v="55192.871999999996"/>
    <n v="-885.01133333333382"/>
    <n v="-0.16881979623616167"/>
  </r>
  <r>
    <n v="158"/>
    <n v="34"/>
    <d v="2024-07-23T00:00:00"/>
    <n v="36"/>
    <n v="9"/>
    <n v="1186.0849000000001"/>
    <x v="23"/>
    <x v="1"/>
    <n v="782.03399999999999"/>
    <n v="1303.3900000000001"/>
    <n v="2"/>
    <n v="1430.4187916177145"/>
    <n v="4145.4440000000004"/>
    <n v="42699.056400000001"/>
    <n v="14545.832400000003"/>
    <n v="-2959.3591000000006"/>
    <n v="-0.71388230066550173"/>
  </r>
  <r>
    <n v="159"/>
    <n v="114"/>
    <d v="2023-04-11T00:00:00"/>
    <n v="26"/>
    <n v="10"/>
    <n v="6879.9690000000001"/>
    <x v="99"/>
    <x v="5"/>
    <n v="4586.6459999999997"/>
    <n v="7644.41"/>
    <n v="2"/>
    <n v="9787.2965998029067"/>
    <n v="6494.3074999999999"/>
    <n v="178879.19399999999"/>
    <n v="59626.398000000008"/>
    <n v="385.66150000000016"/>
    <n v="5.9384545619375145E-2"/>
  </r>
  <r>
    <n v="160"/>
    <n v="125"/>
    <d v="2025-12-18T00:00:00"/>
    <n v="43"/>
    <n v="7"/>
    <n v="4046.4950999999996"/>
    <x v="22"/>
    <x v="0"/>
    <n v="2610.6419999999998"/>
    <n v="4351.07"/>
    <n v="5"/>
    <n v="5269.4162153582156"/>
    <n v="5094.8040000000001"/>
    <n v="173999.28929999997"/>
    <n v="61741.68329999999"/>
    <n v="-1048.3089000000004"/>
    <n v="-0.20576039824103154"/>
  </r>
  <r>
    <n v="161"/>
    <n v="26"/>
    <d v="2023-10-28T00:00:00"/>
    <n v="17"/>
    <n v="10"/>
    <n v="5073.2280000000001"/>
    <x v="100"/>
    <x v="7"/>
    <n v="3382.152"/>
    <n v="5636.92"/>
    <n v="4"/>
    <n v="6977.8988054945021"/>
    <n v="3474.7766666666666"/>
    <n v="86244.876000000004"/>
    <n v="28748.292000000001"/>
    <n v="1598.4513333333334"/>
    <n v="0.46001555975300096"/>
  </r>
  <r>
    <n v="162"/>
    <n v="13"/>
    <d v="2024-06-07T00:00:00"/>
    <n v="16"/>
    <n v="2"/>
    <n v="1761.1188"/>
    <x v="93"/>
    <x v="4"/>
    <n v="1078.2359999999999"/>
    <n v="1797.06"/>
    <n v="5"/>
    <n v="1835.3971952289958"/>
    <n v="1712.5580000000002"/>
    <n v="28177.900799999999"/>
    <n v="10926.124800000001"/>
    <n v="48.560799999999745"/>
    <n v="2.8355711164234867E-2"/>
  </r>
  <r>
    <n v="163"/>
    <n v="114"/>
    <d v="2023-04-10T00:00:00"/>
    <n v="2"/>
    <n v="3"/>
    <n v="7415.0776999999998"/>
    <x v="99"/>
    <x v="5"/>
    <n v="4586.6459999999997"/>
    <n v="7644.41"/>
    <n v="2"/>
    <n v="9627.7104309692495"/>
    <n v="6494.3074999999999"/>
    <n v="14830.1554"/>
    <n v="5656.8634000000002"/>
    <n v="920.77019999999993"/>
    <n v="0.14178112138977095"/>
  </r>
  <r>
    <n v="164"/>
    <n v="113"/>
    <d v="2024-08-09T00:00:00"/>
    <n v="8"/>
    <n v="4"/>
    <n v="4635.9935999999998"/>
    <x v="87"/>
    <x v="7"/>
    <n v="2897.4959999999996"/>
    <n v="4829.16"/>
    <n v="1"/>
    <n v="6195.8673125069554"/>
    <n v="4302.05"/>
    <n v="37087.948799999998"/>
    <n v="13907.980800000001"/>
    <n v="333.94359999999961"/>
    <n v="7.7624295394056228E-2"/>
  </r>
  <r>
    <n v="165"/>
    <n v="62"/>
    <d v="2023-06-11T00:00:00"/>
    <n v="23"/>
    <n v="9"/>
    <n v="3146.7254000000003"/>
    <x v="79"/>
    <x v="7"/>
    <n v="2074.7640000000001"/>
    <n v="3457.94"/>
    <n v="4"/>
    <n v="4444.7690616995933"/>
    <n v="5560.3266666666668"/>
    <n v="72374.684200000003"/>
    <n v="24655.112200000003"/>
    <n v="-2413.6012666666666"/>
    <n v="-0.43407544400868531"/>
  </r>
  <r>
    <n v="166"/>
    <n v="10"/>
    <d v="2025-08-09T00:00:00"/>
    <n v="6"/>
    <n v="9"/>
    <n v="2545.5338999999999"/>
    <x v="33"/>
    <x v="3"/>
    <n v="1678.374"/>
    <n v="2797.29"/>
    <n v="4"/>
    <n v="3318.4413841304945"/>
    <n v="6310.5433333333322"/>
    <n v="15273.203399999999"/>
    <n v="5202.9593999999997"/>
    <n v="-3765.0094333333323"/>
    <n v="-0.5966220711053406"/>
  </r>
  <r>
    <n v="167"/>
    <n v="60"/>
    <d v="2025-06-02T00:00:00"/>
    <n v="29"/>
    <n v="3"/>
    <n v="2689.4317000000001"/>
    <x v="36"/>
    <x v="2"/>
    <n v="1663.566"/>
    <n v="2772.61"/>
    <n v="2"/>
    <n v="3097.3477592969634"/>
    <n v="3047.7533333333336"/>
    <n v="77993.5193"/>
    <n v="29750.105300000003"/>
    <n v="-358.32163333333347"/>
    <n v="-0.11756910554878679"/>
  </r>
  <r>
    <n v="168"/>
    <n v="127"/>
    <d v="2023-08-17T00:00:00"/>
    <n v="12"/>
    <n v="7"/>
    <n v="5106.2208000000001"/>
    <x v="101"/>
    <x v="4"/>
    <n v="3294.3360000000002"/>
    <n v="5490.56"/>
    <n v="1"/>
    <n v="6505.9338435164118"/>
    <n v="5984.333333333333"/>
    <n v="61274.649600000004"/>
    <n v="21742.617599999998"/>
    <n v="-878.11253333333298"/>
    <n v="-0.1467352308806327"/>
  </r>
  <r>
    <n v="169"/>
    <n v="129"/>
    <d v="2024-10-04T00:00:00"/>
    <n v="44"/>
    <n v="7"/>
    <n v="1172.9717999999998"/>
    <x v="68"/>
    <x v="5"/>
    <n v="756.75599999999997"/>
    <n v="1261.26"/>
    <n v="4"/>
    <n v="1458.9314004133264"/>
    <n v="4881.2166666666662"/>
    <n v="51610.759199999993"/>
    <n v="18313.495199999994"/>
    <n v="-3708.2448666666664"/>
    <n v="-0.75969683787853437"/>
  </r>
  <r>
    <n v="170"/>
    <n v="84"/>
    <d v="2023-10-20T00:00:00"/>
    <n v="45"/>
    <n v="7"/>
    <n v="7216.9487999999992"/>
    <x v="80"/>
    <x v="6"/>
    <n v="4656.0959999999995"/>
    <n v="7760.16"/>
    <n v="1"/>
    <n v="8977.5784913468488"/>
    <n v="2588.9250000000002"/>
    <n v="324762.69599999994"/>
    <n v="115238.37599999999"/>
    <n v="4628.023799999999"/>
    <n v="1.7876237434456381"/>
  </r>
  <r>
    <n v="171"/>
    <n v="19"/>
    <d v="2025-11-04T00:00:00"/>
    <n v="6"/>
    <n v="9"/>
    <n v="3103.8553000000002"/>
    <x v="95"/>
    <x v="0"/>
    <n v="2046.4979999999998"/>
    <n v="3410.83"/>
    <n v="2"/>
    <n v="3741.3016558698291"/>
    <n v="1213.8383333333334"/>
    <n v="18623.131800000003"/>
    <n v="6344.1438000000016"/>
    <n v="1890.0169666666668"/>
    <n v="1.557058229885089"/>
  </r>
  <r>
    <n v="172"/>
    <n v="59"/>
    <d v="2023-10-03T00:00:00"/>
    <n v="11"/>
    <n v="6"/>
    <n v="3901.4794000000002"/>
    <x v="43"/>
    <x v="5"/>
    <n v="2490.306"/>
    <n v="4150.51"/>
    <n v="3"/>
    <n v="4528.2663561015188"/>
    <n v="6105.9674999999997"/>
    <n v="42916.273400000005"/>
    <n v="15522.907400000002"/>
    <n v="-2204.4880999999996"/>
    <n v="-0.36103829573282198"/>
  </r>
  <r>
    <n v="173"/>
    <n v="110"/>
    <d v="2025-08-29T00:00:00"/>
    <n v="37"/>
    <n v="7"/>
    <n v="1445.4152999999999"/>
    <x v="91"/>
    <x v="2"/>
    <n v="932.52599999999995"/>
    <n v="1554.21"/>
    <n v="3"/>
    <n v="1948.5207925211669"/>
    <n v="764.66499999999996"/>
    <n v="53480.366099999999"/>
    <n v="18976.904099999996"/>
    <n v="680.75029999999992"/>
    <n v="0.89025952541308928"/>
  </r>
  <r>
    <n v="174"/>
    <n v="69"/>
    <d v="2025-11-09T00:00:00"/>
    <n v="38"/>
    <n v="4"/>
    <n v="7160.3519999999999"/>
    <x v="102"/>
    <x v="1"/>
    <n v="4475.2199999999993"/>
    <n v="7458.7"/>
    <n v="3"/>
    <n v="8908.4237599322551"/>
    <n v="809.57599999999991"/>
    <n v="272093.37599999999"/>
    <n v="102035.01600000002"/>
    <n v="6350.7759999999998"/>
    <n v="7.8445704912200958"/>
  </r>
  <r>
    <n v="175"/>
    <n v="94"/>
    <d v="2024-01-29T00:00:00"/>
    <n v="28"/>
    <n v="3"/>
    <n v="4513.1965999999993"/>
    <x v="8"/>
    <x v="4"/>
    <n v="2791.6679999999997"/>
    <n v="4652.78"/>
    <n v="1"/>
    <n v="4838.047250567528"/>
    <n v="6485.5883333333331"/>
    <n v="126369.50479999998"/>
    <n v="48202.80079999999"/>
    <n v="-1972.3917333333338"/>
    <n v="-0.30411916883407913"/>
  </r>
  <r>
    <n v="176"/>
    <n v="25"/>
    <d v="2024-11-25T00:00:00"/>
    <n v="3"/>
    <n v="8"/>
    <n v="522.71640000000002"/>
    <x v="38"/>
    <x v="4"/>
    <n v="340.90199999999999"/>
    <n v="568.16999999999996"/>
    <n v="1"/>
    <n v="706.13792165337202"/>
    <n v="2024.2300000000002"/>
    <n v="1568.1492000000001"/>
    <n v="545.44320000000016"/>
    <n v="-1501.5136000000002"/>
    <n v="-0.74177025338029767"/>
  </r>
  <r>
    <n v="177"/>
    <n v="58"/>
    <d v="2023-06-25T00:00:00"/>
    <n v="34"/>
    <n v="3"/>
    <n v="1104.4225999999999"/>
    <x v="103"/>
    <x v="7"/>
    <n v="683.14799999999991"/>
    <n v="1138.58"/>
    <n v="2"/>
    <n v="1460.3516625506591"/>
    <n v="1439.8525"/>
    <n v="37550.368399999992"/>
    <n v="14323.336399999998"/>
    <n v="-335.42990000000009"/>
    <n v="-0.23296129291021136"/>
  </r>
  <r>
    <n v="178"/>
    <n v="57"/>
    <d v="2025-08-11T00:00:00"/>
    <n v="25"/>
    <n v="10"/>
    <n v="6130.5749999999998"/>
    <x v="55"/>
    <x v="6"/>
    <n v="4087.0499999999997"/>
    <n v="6811.75"/>
    <n v="2"/>
    <n v="8475.124810229825"/>
    <n v="1836.9825000000001"/>
    <n v="153264.375"/>
    <n v="51088.125"/>
    <n v="4293.5924999999997"/>
    <n v="2.3373072416313163"/>
  </r>
  <r>
    <n v="179"/>
    <n v="71"/>
    <d v="2023-04-18T00:00:00"/>
    <n v="42"/>
    <n v="3"/>
    <n v="4783.3222000000005"/>
    <x v="54"/>
    <x v="2"/>
    <n v="2958.7559999999999"/>
    <n v="4931.26"/>
    <n v="3"/>
    <n v="5958.9551188873129"/>
    <n v="2482.0633333333335"/>
    <n v="200899.53240000003"/>
    <n v="76631.780400000032"/>
    <n v="2301.258866666667"/>
    <n v="0.92715557889336697"/>
  </r>
  <r>
    <n v="180"/>
    <n v="126"/>
    <d v="2024-06-30T00:00:00"/>
    <n v="25"/>
    <n v="4"/>
    <n v="972.70079999999996"/>
    <x v="59"/>
    <x v="4"/>
    <n v="607.93799999999999"/>
    <n v="1013.23"/>
    <n v="5"/>
    <n v="1068.7498672575164"/>
    <n v="7593.0025000000005"/>
    <n v="24317.52"/>
    <n v="9119.07"/>
    <n v="-6620.3017000000009"/>
    <n v="-0.87189510341923371"/>
  </r>
  <r>
    <n v="181"/>
    <n v="35"/>
    <d v="2025-02-28T00:00:00"/>
    <n v="49"/>
    <n v="9"/>
    <n v="123.02290000000001"/>
    <x v="104"/>
    <x v="3"/>
    <n v="81.11399999999999"/>
    <n v="135.19"/>
    <n v="3"/>
    <n v="162.3593380091321"/>
    <n v="2089.5899999999997"/>
    <n v="6028.1221000000005"/>
    <n v="2053.5361000000007"/>
    <n v="-1966.5670999999998"/>
    <n v="-0.94112581894055769"/>
  </r>
  <r>
    <n v="182"/>
    <n v="31"/>
    <d v="2024-10-20T00:00:00"/>
    <n v="18"/>
    <n v="9"/>
    <n v="931.14840000000004"/>
    <x v="52"/>
    <x v="5"/>
    <n v="613.94399999999996"/>
    <n v="1023.24"/>
    <n v="2"/>
    <n v="1108.4201121197073"/>
    <n v="1065.8219999999999"/>
    <n v="16760.671200000001"/>
    <n v="5709.6792000000014"/>
    <n v="-134.67359999999985"/>
    <n v="-0.12635655859984113"/>
  </r>
  <r>
    <n v="183"/>
    <n v="39"/>
    <d v="2025-10-29T00:00:00"/>
    <n v="15"/>
    <n v="10"/>
    <n v="2886.8220000000001"/>
    <x v="49"/>
    <x v="6"/>
    <n v="1924.5479999999998"/>
    <n v="3207.58"/>
    <n v="1"/>
    <n v="4137.5376417509888"/>
    <n v="9555.6079999999984"/>
    <n v="43302.33"/>
    <n v="14434.110000000004"/>
    <n v="-6668.7859999999982"/>
    <n v="-0.69789237900926859"/>
  </r>
  <r>
    <n v="184"/>
    <n v="55"/>
    <d v="2025-03-05T00:00:00"/>
    <n v="23"/>
    <n v="2"/>
    <n v="945.00419999999997"/>
    <x v="47"/>
    <x v="6"/>
    <n v="578.57399999999996"/>
    <n v="964.29"/>
    <n v="2"/>
    <n v="1172.8198607116815"/>
    <n v="1508.7675000000002"/>
    <n v="21735.096600000001"/>
    <n v="8427.8945999999996"/>
    <n v="-563.76330000000019"/>
    <n v="-0.37365816800799334"/>
  </r>
  <r>
    <n v="185"/>
    <n v="96"/>
    <d v="2023-04-18T00:00:00"/>
    <n v="45"/>
    <n v="5"/>
    <n v="5115.2179999999989"/>
    <x v="105"/>
    <x v="4"/>
    <n v="3230.6639999999998"/>
    <n v="5384.44"/>
    <n v="3"/>
    <n v="5542.357160031399"/>
    <n v="3578.9180000000001"/>
    <n v="230184.80999999994"/>
    <n v="84804.929999999964"/>
    <n v="1536.2999999999988"/>
    <n v="0.42926381660602414"/>
  </r>
  <r>
    <n v="186"/>
    <n v="126"/>
    <d v="2024-04-23T00:00:00"/>
    <n v="17"/>
    <n v="4"/>
    <n v="972.70079999999996"/>
    <x v="59"/>
    <x v="4"/>
    <n v="607.93799999999999"/>
    <n v="1013.23"/>
    <n v="5"/>
    <n v="1080.609467675105"/>
    <n v="7593.0025000000005"/>
    <n v="16535.9136"/>
    <n v="6200.9675999999999"/>
    <n v="-6620.3017000000009"/>
    <n v="-0.87189510341923371"/>
  </r>
  <r>
    <n v="187"/>
    <n v="99"/>
    <d v="2025-04-22T00:00:00"/>
    <n v="31"/>
    <n v="3"/>
    <n v="1982.6605999999999"/>
    <x v="106"/>
    <x v="3"/>
    <n v="1226.3879999999999"/>
    <n v="2043.98"/>
    <n v="2"/>
    <n v="2210.0889908481399"/>
    <n v="958.76666666666654"/>
    <n v="61462.478599999995"/>
    <n v="23444.4506"/>
    <n v="1023.8939333333334"/>
    <n v="1.0679281716093594"/>
  </r>
  <r>
    <n v="188"/>
    <n v="78"/>
    <d v="2023-05-05T00:00:00"/>
    <n v="20"/>
    <n v="6"/>
    <n v="813.79559999999992"/>
    <x v="26"/>
    <x v="2"/>
    <n v="519.44399999999996"/>
    <n v="865.74"/>
    <n v="4"/>
    <n v="913.00078947847635"/>
    <n v="398.392"/>
    <n v="16275.911999999998"/>
    <n v="5887.0319999999992"/>
    <n v="415.40359999999993"/>
    <n v="1.0427006566396915"/>
  </r>
  <r>
    <n v="189"/>
    <n v="139"/>
    <d v="2024-11-23T00:00:00"/>
    <n v="18"/>
    <n v="3"/>
    <n v="2513.3476000000001"/>
    <x v="25"/>
    <x v="3"/>
    <n v="1554.6479999999999"/>
    <n v="2591.08"/>
    <n v="5"/>
    <n v="2793.2407967938229"/>
    <n v="2839.1733333333336"/>
    <n v="45240.256800000003"/>
    <n v="17256.592800000002"/>
    <n v="-325.82573333333357"/>
    <n v="-0.11476077543698172"/>
  </r>
  <r>
    <n v="190"/>
    <n v="145"/>
    <d v="2025-07-21T00:00:00"/>
    <n v="9"/>
    <n v="8"/>
    <n v="5946.4660000000003"/>
    <x v="107"/>
    <x v="2"/>
    <n v="3878.13"/>
    <n v="6463.55"/>
    <n v="5"/>
    <n v="7568.3575531057959"/>
    <n v="699.73666666666668"/>
    <n v="53518.194000000003"/>
    <n v="18615.024000000001"/>
    <n v="5246.7293333333337"/>
    <n v="7.4981483510463462"/>
  </r>
  <r>
    <n v="191"/>
    <n v="87"/>
    <d v="2023-07-18T00:00:00"/>
    <n v="28"/>
    <n v="7"/>
    <n v="3807.5315999999998"/>
    <x v="15"/>
    <x v="5"/>
    <n v="2456.4719999999998"/>
    <n v="4094.12"/>
    <n v="2"/>
    <n v="4864.7093287218086"/>
    <n v="493.79250000000002"/>
    <n v="106610.8848"/>
    <n v="37829.668799999999"/>
    <n v="3313.7390999999998"/>
    <n v="6.7107926912620171"/>
  </r>
  <r>
    <n v="192"/>
    <n v="93"/>
    <d v="2024-08-06T00:00:00"/>
    <n v="26"/>
    <n v="5"/>
    <n v="7279.441499999999"/>
    <x v="66"/>
    <x v="2"/>
    <n v="4597.5419999999995"/>
    <n v="7662.57"/>
    <n v="3"/>
    <n v="8017.1975072652003"/>
    <n v="991.00333333333344"/>
    <n v="189265.47899999996"/>
    <n v="69729.386999999988"/>
    <n v="6288.4381666666659"/>
    <n v="6.345526755712223"/>
  </r>
  <r>
    <n v="193"/>
    <n v="70"/>
    <d v="2023-10-13T00:00:00"/>
    <n v="10"/>
    <n v="10"/>
    <n v="3626.7750000000001"/>
    <x v="98"/>
    <x v="7"/>
    <n v="2417.85"/>
    <n v="4029.75"/>
    <n v="1"/>
    <n v="4735.3592454989966"/>
    <n v="2158.7083333333335"/>
    <n v="36267.75"/>
    <n v="12089.250000000002"/>
    <n v="1468.0666666666666"/>
    <n v="0.68006716979675341"/>
  </r>
  <r>
    <n v="194"/>
    <n v="109"/>
    <d v="2023-12-23T00:00:00"/>
    <n v="14"/>
    <n v="7"/>
    <n v="2059.4756999999995"/>
    <x v="94"/>
    <x v="2"/>
    <n v="1328.6939999999997"/>
    <n v="2214.4899999999998"/>
    <n v="2"/>
    <n v="2439.8238020674939"/>
    <n v="6555.1760000000013"/>
    <n v="28832.659799999994"/>
    <n v="10230.943799999997"/>
    <n v="-4495.7003000000022"/>
    <n v="-0.68582449960153646"/>
  </r>
  <r>
    <n v="195"/>
    <n v="104"/>
    <d v="2025-01-01T00:00:00"/>
    <n v="36"/>
    <n v="5"/>
    <n v="3071.8724999999999"/>
    <x v="44"/>
    <x v="2"/>
    <n v="1940.13"/>
    <n v="3233.55"/>
    <n v="1"/>
    <n v="3811.3905818250541"/>
    <n v="5121.3466666666664"/>
    <n v="110587.41"/>
    <n v="40742.729999999996"/>
    <n v="-2049.4741666666664"/>
    <n v="-0.40018266679857639"/>
  </r>
  <r>
    <n v="196"/>
    <n v="20"/>
    <d v="2024-08-18T00:00:00"/>
    <n v="30"/>
    <n v="2"/>
    <n v="2970.5563999999999"/>
    <x v="61"/>
    <x v="7"/>
    <n v="1818.7079999999999"/>
    <n v="3031.18"/>
    <n v="4"/>
    <n v="3641.419665838921"/>
    <n v="4553.9966666666669"/>
    <n v="89116.691999999995"/>
    <n v="34555.452000000005"/>
    <n v="-1583.440266666667"/>
    <n v="-0.3477034311985297"/>
  </r>
  <r>
    <n v="197"/>
    <n v="25"/>
    <d v="2025-05-16T00:00:00"/>
    <n v="1"/>
    <n v="10"/>
    <n v="511.35299999999995"/>
    <x v="38"/>
    <x v="4"/>
    <n v="340.90199999999999"/>
    <n v="568.16999999999996"/>
    <n v="1"/>
    <n v="632.18476736130333"/>
    <n v="2024.2300000000002"/>
    <n v="511.35299999999995"/>
    <n v="170.45099999999996"/>
    <n v="-1512.8770000000004"/>
    <n v="-0.74738394352420434"/>
  </r>
  <r>
    <n v="198"/>
    <n v="60"/>
    <d v="2023-05-02T00:00:00"/>
    <n v="34"/>
    <n v="9"/>
    <n v="2523.0751"/>
    <x v="36"/>
    <x v="2"/>
    <n v="1663.566"/>
    <n v="2772.61"/>
    <n v="2"/>
    <n v="3549.1361211709814"/>
    <n v="3047.7533333333336"/>
    <n v="85784.553400000004"/>
    <n v="29223.309399999998"/>
    <n v="-524.67823333333354"/>
    <n v="-0.17215245984473815"/>
  </r>
  <r>
    <n v="199"/>
    <n v="117"/>
    <d v="2023-04-25T00:00:00"/>
    <n v="15"/>
    <n v="2"/>
    <n v="2084.6363999999999"/>
    <x v="1"/>
    <x v="0"/>
    <n v="1276.3079999999998"/>
    <n v="2127.1799999999998"/>
    <n v="1"/>
    <n v="2417.7867069884678"/>
    <n v="892.9766666666668"/>
    <n v="31269.545999999998"/>
    <n v="12124.926000000001"/>
    <n v="1191.659733333333"/>
    <n v="1.3344802589093401"/>
  </r>
  <r>
    <n v="200"/>
    <n v="89"/>
    <d v="2024-05-03T00:00:00"/>
    <n v="44"/>
    <n v="10"/>
    <n v="907.53300000000002"/>
    <x v="108"/>
    <x v="1"/>
    <n v="605.02199999999993"/>
    <n v="1008.37"/>
    <n v="4"/>
    <n v="1274.3835263001329"/>
    <n v="913.02"/>
    <n v="39931.451999999997"/>
    <n v="13310.484000000004"/>
    <n v="-5.4869999999999663"/>
    <n v="-6.0097259643819047E-3"/>
  </r>
  <r>
    <n v="201"/>
    <n v="84"/>
    <d v="2025-03-14T00:00:00"/>
    <n v="39"/>
    <n v="8"/>
    <n v="7139.3472000000002"/>
    <x v="80"/>
    <x v="6"/>
    <n v="4656.0959999999995"/>
    <n v="7760.16"/>
    <n v="1"/>
    <n v="8156.58974094312"/>
    <n v="2588.9250000000002"/>
    <n v="278434.54080000002"/>
    <n v="96846.796800000026"/>
    <n v="4550.4222"/>
    <n v="1.7576492945913844"/>
  </r>
  <r>
    <n v="202"/>
    <n v="131"/>
    <d v="2025-09-28T00:00:00"/>
    <n v="40"/>
    <n v="4"/>
    <n v="5944.8768"/>
    <x v="109"/>
    <x v="6"/>
    <n v="3715.5479999999998"/>
    <n v="6192.58"/>
    <n v="3"/>
    <n v="6727.5166410412485"/>
    <n v="1795.3133333333335"/>
    <n v="237795.07199999999"/>
    <n v="89173.152000000002"/>
    <n v="4149.5634666666665"/>
    <n v="2.3113310582739501"/>
  </r>
  <r>
    <n v="203"/>
    <n v="111"/>
    <d v="2025-04-05T00:00:00"/>
    <n v="48"/>
    <n v="10"/>
    <n v="678.798"/>
    <x v="110"/>
    <x v="6"/>
    <n v="452.53199999999998"/>
    <n v="754.22"/>
    <n v="3"/>
    <n v="817.03055261921043"/>
    <n v="3824.0450000000001"/>
    <n v="32582.304"/>
    <n v="10860.768"/>
    <n v="-3145.2470000000003"/>
    <n v="-0.82249215163524492"/>
  </r>
  <r>
    <n v="204"/>
    <n v="70"/>
    <d v="2023-04-11T00:00:00"/>
    <n v="1"/>
    <n v="4"/>
    <n v="3868.56"/>
    <x v="98"/>
    <x v="7"/>
    <n v="2417.85"/>
    <n v="4029.75"/>
    <n v="1"/>
    <n v="4602.290163807701"/>
    <n v="2158.7083333333335"/>
    <n v="3868.56"/>
    <n v="1450.71"/>
    <n v="1709.8516666666665"/>
    <n v="0.79207164778320349"/>
  </r>
  <r>
    <n v="205"/>
    <n v="130"/>
    <d v="2024-08-20T00:00:00"/>
    <n v="43"/>
    <n v="3"/>
    <n v="3089.9252999999999"/>
    <x v="111"/>
    <x v="4"/>
    <n v="1911.2939999999999"/>
    <n v="3185.49"/>
    <n v="5"/>
    <n v="3502.3826967079076"/>
    <n v="3865.1374999999998"/>
    <n v="132866.7879"/>
    <n v="50681.145900000003"/>
    <n v="-775.21219999999994"/>
    <n v="-0.20056523215538904"/>
  </r>
  <r>
    <n v="206"/>
    <n v="47"/>
    <d v="2023-01-30T00:00:00"/>
    <n v="42"/>
    <n v="4"/>
    <n v="3277.0367999999999"/>
    <x v="112"/>
    <x v="2"/>
    <n v="2048.1479999999997"/>
    <n v="3413.58"/>
    <n v="5"/>
    <n v="4387.3890586410125"/>
    <n v="2051.0440000000003"/>
    <n v="137635.54559999998"/>
    <n v="51613.329600000005"/>
    <n v="1225.9927999999995"/>
    <n v="0.5977408578265504"/>
  </r>
  <r>
    <n v="207"/>
    <n v="29"/>
    <d v="2025-10-12T00:00:00"/>
    <n v="39"/>
    <n v="3"/>
    <n v="7248.8099999999995"/>
    <x v="56"/>
    <x v="5"/>
    <n v="4483.8"/>
    <n v="7473"/>
    <n v="2"/>
    <n v="8457.8988700228074"/>
    <n v="1925.7060000000001"/>
    <n v="282703.58999999997"/>
    <n v="107835.38999999997"/>
    <n v="5323.1039999999994"/>
    <n v="2.7642350389934909"/>
  </r>
  <r>
    <n v="208"/>
    <n v="111"/>
    <d v="2025-07-04T00:00:00"/>
    <n v="35"/>
    <n v="2"/>
    <n v="739.13560000000007"/>
    <x v="110"/>
    <x v="6"/>
    <n v="452.53199999999998"/>
    <n v="754.22"/>
    <n v="3"/>
    <n v="949.41623832347807"/>
    <n v="3824.0450000000001"/>
    <n v="25869.746000000003"/>
    <n v="10031.126000000004"/>
    <n v="-3084.9094"/>
    <n v="-0.80671367622504442"/>
  </r>
  <r>
    <n v="209"/>
    <n v="31"/>
    <d v="2024-09-02T00:00:00"/>
    <n v="35"/>
    <n v="7"/>
    <n v="951.61319999999989"/>
    <x v="52"/>
    <x v="5"/>
    <n v="613.94399999999996"/>
    <n v="1023.24"/>
    <n v="2"/>
    <n v="1319.9739145070002"/>
    <n v="1065.8219999999999"/>
    <n v="33306.462"/>
    <n v="11818.421999999997"/>
    <n v="-114.2088"/>
    <n v="-0.10715560384379381"/>
  </r>
  <r>
    <n v="210"/>
    <n v="66"/>
    <d v="2024-02-01T00:00:00"/>
    <n v="24"/>
    <n v="3"/>
    <n v="5650.2596999999996"/>
    <x v="81"/>
    <x v="7"/>
    <n v="3495.0059999999999"/>
    <n v="5825.01"/>
    <n v="1"/>
    <n v="7260.8187047906213"/>
    <n v="6051.7379999999994"/>
    <n v="135606.2328"/>
    <n v="51726.088799999998"/>
    <n v="-401.47829999999976"/>
    <n v="-6.6340991629181528E-2"/>
  </r>
  <r>
    <n v="211"/>
    <n v="28"/>
    <d v="2023-07-23T00:00:00"/>
    <n v="27"/>
    <n v="8"/>
    <n v="5259.2903999999999"/>
    <x v="70"/>
    <x v="0"/>
    <n v="3429.9719999999998"/>
    <n v="5716.62"/>
    <n v="5"/>
    <n v="7312.2106326626144"/>
    <n v="3542.9559999999997"/>
    <n v="142000.84080000001"/>
    <n v="49391.596799999999"/>
    <n v="1716.3344000000002"/>
    <n v="0.48443570848748907"/>
  </r>
  <r>
    <n v="212"/>
    <n v="110"/>
    <d v="2024-06-04T00:00:00"/>
    <n v="11"/>
    <n v="2"/>
    <n v="1523.1258"/>
    <x v="91"/>
    <x v="2"/>
    <n v="932.52599999999995"/>
    <n v="1554.21"/>
    <n v="3"/>
    <n v="1585.5345701349747"/>
    <n v="764.66499999999996"/>
    <n v="16754.3838"/>
    <n v="6496.5978000000005"/>
    <n v="758.46080000000006"/>
    <n v="0.99188638161809428"/>
  </r>
  <r>
    <n v="213"/>
    <n v="145"/>
    <d v="2023-01-07T00:00:00"/>
    <n v="13"/>
    <n v="10"/>
    <n v="5817.1950000000006"/>
    <x v="107"/>
    <x v="2"/>
    <n v="3878.13"/>
    <n v="6463.55"/>
    <n v="5"/>
    <n v="6613.3015621297427"/>
    <n v="699.73666666666668"/>
    <n v="75623.535000000003"/>
    <n v="25207.845000000008"/>
    <n v="5117.4583333333339"/>
    <n v="7.3134059955888171"/>
  </r>
  <r>
    <n v="214"/>
    <n v="5"/>
    <d v="2024-08-23T00:00:00"/>
    <n v="46"/>
    <n v="10"/>
    <n v="747.22500000000002"/>
    <x v="113"/>
    <x v="6"/>
    <n v="498.15"/>
    <n v="830.25"/>
    <n v="5"/>
    <n v="927.46017291489659"/>
    <n v="7010.5333333333328"/>
    <n v="34372.35"/>
    <n v="11457.450000000003"/>
    <n v="-6263.3083333333325"/>
    <n v="-0.89341395804408597"/>
  </r>
  <r>
    <n v="215"/>
    <n v="33"/>
    <d v="2023-06-27T00:00:00"/>
    <n v="23"/>
    <n v="8"/>
    <n v="4648.7507999999998"/>
    <x v="84"/>
    <x v="0"/>
    <n v="3031.7939999999999"/>
    <n v="5052.99"/>
    <n v="3"/>
    <n v="6236.090121995926"/>
    <n v="2776.7875000000004"/>
    <n v="106921.2684"/>
    <n v="37190.006399999998"/>
    <n v="1871.9632999999994"/>
    <n v="0.67414712144879618"/>
  </r>
  <r>
    <n v="216"/>
    <n v="22"/>
    <d v="2023-06-25T00:00:00"/>
    <n v="34"/>
    <n v="8"/>
    <n v="1503.74"/>
    <x v="6"/>
    <x v="3"/>
    <n v="980.69999999999993"/>
    <n v="1634.5"/>
    <n v="1"/>
    <n v="1782.1347637465376"/>
    <n v="3187.4450000000002"/>
    <n v="51127.16"/>
    <n v="17783.360000000004"/>
    <n v="-1683.7050000000002"/>
    <n v="-0.52823029103247277"/>
  </r>
  <r>
    <n v="217"/>
    <n v="36"/>
    <d v="2024-12-08T00:00:00"/>
    <n v="37"/>
    <n v="3"/>
    <n v="142.97800000000001"/>
    <x v="57"/>
    <x v="0"/>
    <n v="88.44"/>
    <n v="147.4"/>
    <n v="3"/>
    <n v="174.54227215724484"/>
    <n v="2726.4116666666664"/>
    <n v="5290.1860000000006"/>
    <n v="2017.9060000000004"/>
    <n v="-2583.4336666666663"/>
    <n v="-0.94755817628421235"/>
  </r>
  <r>
    <n v="218"/>
    <n v="8"/>
    <d v="2025-02-21T00:00:00"/>
    <n v="13"/>
    <n v="6"/>
    <n v="5305.3035999999993"/>
    <x v="114"/>
    <x v="1"/>
    <n v="3386.3639999999996"/>
    <n v="5643.94"/>
    <n v="2"/>
    <n v="5685.2141897654346"/>
    <n v="2853.6650000000004"/>
    <n v="68968.946799999991"/>
    <n v="24946.214799999994"/>
    <n v="2451.6385999999989"/>
    <n v="0.85911927293497958"/>
  </r>
  <r>
    <n v="219"/>
    <n v="28"/>
    <d v="2023-08-08T00:00:00"/>
    <n v="7"/>
    <n v="5"/>
    <n v="5430.7889999999998"/>
    <x v="70"/>
    <x v="0"/>
    <n v="3429.9719999999998"/>
    <n v="5716.62"/>
    <n v="5"/>
    <n v="6388.3259563028532"/>
    <n v="3542.9559999999997"/>
    <n v="38015.523000000001"/>
    <n v="14005.719000000001"/>
    <n v="1887.8330000000001"/>
    <n v="0.53284122072077678"/>
  </r>
  <r>
    <n v="220"/>
    <n v="150"/>
    <d v="2023-02-12T00:00:00"/>
    <n v="16"/>
    <n v="3"/>
    <n v="2221.0283999999997"/>
    <x v="29"/>
    <x v="1"/>
    <n v="1373.8319999999999"/>
    <n v="2289.7199999999998"/>
    <n v="3"/>
    <n v="2781.6113452899558"/>
    <n v="1810.3166666666666"/>
    <n v="35536.454399999995"/>
    <n v="13555.142399999997"/>
    <n v="410.71173333333309"/>
    <n v="0.22687286754619346"/>
  </r>
  <r>
    <n v="221"/>
    <n v="45"/>
    <d v="2025-10-18T00:00:00"/>
    <n v="37"/>
    <n v="6"/>
    <n v="5006.8065999999999"/>
    <x v="69"/>
    <x v="1"/>
    <n v="3195.8340000000003"/>
    <n v="5326.39"/>
    <n v="1"/>
    <n v="5978.1563660073216"/>
    <n v="4436.1279999999997"/>
    <n v="185251.84419999999"/>
    <n v="67005.986199999985"/>
    <n v="570.67860000000019"/>
    <n v="0.1286434025348232"/>
  </r>
  <r>
    <n v="222"/>
    <n v="44"/>
    <d v="2025-11-11T00:00:00"/>
    <n v="6"/>
    <n v="10"/>
    <n v="318.24"/>
    <x v="115"/>
    <x v="7"/>
    <n v="212.16"/>
    <n v="353.6"/>
    <n v="4"/>
    <n v="386.7650873765557"/>
    <n v="4064.8233333333333"/>
    <n v="1909.44"/>
    <n v="636.48"/>
    <n v="-3746.583333333333"/>
    <n v="-0.92170877455108746"/>
  </r>
  <r>
    <n v="223"/>
    <n v="35"/>
    <d v="2025-05-29T00:00:00"/>
    <n v="46"/>
    <n v="5"/>
    <n v="128.43049999999999"/>
    <x v="104"/>
    <x v="3"/>
    <n v="81.11399999999999"/>
    <n v="135.19"/>
    <n v="3"/>
    <n v="138.43829863318425"/>
    <n v="2089.5899999999997"/>
    <n v="5907.8029999999999"/>
    <n v="2176.5590000000002"/>
    <n v="-1961.1594999999998"/>
    <n v="-0.93853794285003278"/>
  </r>
  <r>
    <n v="224"/>
    <n v="88"/>
    <d v="2024-10-26T00:00:00"/>
    <n v="16"/>
    <n v="9"/>
    <n v="5675.0603000000001"/>
    <x v="116"/>
    <x v="5"/>
    <n v="3741.7979999999998"/>
    <n v="6236.33"/>
    <n v="5"/>
    <n v="6657.4033628446296"/>
    <n v="4981.5050000000001"/>
    <n v="90800.964800000002"/>
    <n v="30932.196800000005"/>
    <n v="693.55529999999999"/>
    <n v="0.13922605718552927"/>
  </r>
  <r>
    <n v="225"/>
    <n v="117"/>
    <d v="2025-07-07T00:00:00"/>
    <n v="10"/>
    <n v="5"/>
    <n v="2020.8209999999997"/>
    <x v="1"/>
    <x v="0"/>
    <n v="1276.3079999999998"/>
    <n v="2127.1799999999998"/>
    <n v="1"/>
    <n v="2367.5350678820255"/>
    <n v="892.9766666666668"/>
    <n v="20208.209999999995"/>
    <n v="7445.1299999999992"/>
    <n v="1127.844333333333"/>
    <n v="1.2630165775141562"/>
  </r>
  <r>
    <n v="226"/>
    <n v="11"/>
    <d v="2023-12-13T00:00:00"/>
    <n v="21"/>
    <n v="8"/>
    <n v="2944.1839999999997"/>
    <x v="16"/>
    <x v="1"/>
    <n v="1920.12"/>
    <n v="3200.2"/>
    <n v="1"/>
    <n v="3489.7583812907492"/>
    <n v="7089.33"/>
    <n v="61827.863999999994"/>
    <n v="21505.343999999997"/>
    <n v="-4145.1460000000006"/>
    <n v="-0.58470208045047989"/>
  </r>
  <r>
    <n v="227"/>
    <n v="133"/>
    <d v="2023-02-11T00:00:00"/>
    <n v="50"/>
    <n v="4"/>
    <n v="6340.7039999999997"/>
    <x v="40"/>
    <x v="1"/>
    <n v="3962.9399999999996"/>
    <n v="6604.9"/>
    <n v="4"/>
    <n v="8195.4156699201612"/>
    <n v="4666.1933333333336"/>
    <n v="317035.2"/>
    <n v="118888.20000000001"/>
    <n v="1674.5106666666661"/>
    <n v="0.3588601129543138"/>
  </r>
  <r>
    <n v="228"/>
    <n v="88"/>
    <d v="2025-06-13T00:00:00"/>
    <n v="14"/>
    <n v="4"/>
    <n v="5986.8768"/>
    <x v="116"/>
    <x v="5"/>
    <n v="3741.7979999999998"/>
    <n v="6236.33"/>
    <n v="5"/>
    <n v="6630.6949661655135"/>
    <n v="4981.5050000000001"/>
    <n v="83816.275200000004"/>
    <n v="31431.103200000005"/>
    <n v="1005.3717999999999"/>
    <n v="0.20182089549242646"/>
  </r>
  <r>
    <n v="229"/>
    <n v="128"/>
    <d v="2025-03-30T00:00:00"/>
    <n v="21"/>
    <n v="4"/>
    <n v="5052.0960000000005"/>
    <x v="117"/>
    <x v="7"/>
    <n v="3157.56"/>
    <n v="5262.6"/>
    <n v="4"/>
    <n v="6742.4080691864337"/>
    <n v="1349.8883333333335"/>
    <n v="106094.016"/>
    <n v="39785.256000000008"/>
    <n v="3702.2076666666671"/>
    <n v="2.7426029066601805"/>
  </r>
  <r>
    <n v="230"/>
    <n v="103"/>
    <d v="2023-12-31T00:00:00"/>
    <n v="39"/>
    <n v="6"/>
    <n v="6029.2069999999994"/>
    <x v="12"/>
    <x v="1"/>
    <n v="3848.43"/>
    <n v="6414.05"/>
    <n v="4"/>
    <n v="7756.2411495792057"/>
    <n v="6457.8324999999995"/>
    <n v="235139.07299999997"/>
    <n v="85050.302999999985"/>
    <n v="-428.6255000000001"/>
    <n v="-6.6372966471335407E-2"/>
  </r>
  <r>
    <n v="231"/>
    <n v="6"/>
    <d v="2024-10-04T00:00:00"/>
    <n v="26"/>
    <n v="2"/>
    <n v="4042.6764000000003"/>
    <x v="34"/>
    <x v="0"/>
    <n v="2475.1080000000002"/>
    <n v="4125.18"/>
    <n v="5"/>
    <n v="4979.4843375024848"/>
    <n v="6862.0275000000001"/>
    <n v="105109.5864"/>
    <n v="40756.778400000003"/>
    <n v="-2819.3510999999999"/>
    <n v="-0.41086269327833497"/>
  </r>
  <r>
    <n v="232"/>
    <n v="78"/>
    <d v="2025-08-06T00:00:00"/>
    <n v="39"/>
    <n v="8"/>
    <n v="796.48080000000004"/>
    <x v="26"/>
    <x v="2"/>
    <n v="519.44399999999996"/>
    <n v="865.74"/>
    <n v="4"/>
    <n v="995.9389621815759"/>
    <n v="398.392"/>
    <n v="31062.751200000002"/>
    <n v="10804.435200000004"/>
    <n v="398.08880000000005"/>
    <n v="0.99923894054097484"/>
  </r>
  <r>
    <n v="233"/>
    <n v="21"/>
    <d v="2025-05-31T00:00:00"/>
    <n v="22"/>
    <n v="10"/>
    <n v="2591.3700000000003"/>
    <x v="67"/>
    <x v="0"/>
    <n v="1727.5800000000002"/>
    <n v="2879.3"/>
    <n v="3"/>
    <n v="3351.8377680856115"/>
    <n v="4150.0079999999998"/>
    <n v="57010.140000000007"/>
    <n v="19003.380000000005"/>
    <n v="-1558.6379999999995"/>
    <n v="-0.37557469768732965"/>
  </r>
  <r>
    <n v="234"/>
    <n v="96"/>
    <d v="2024-01-29T00:00:00"/>
    <n v="37"/>
    <n v="4"/>
    <n v="5169.0623999999998"/>
    <x v="105"/>
    <x v="4"/>
    <n v="3230.6639999999998"/>
    <n v="5384.44"/>
    <n v="3"/>
    <n v="5849.523262836261"/>
    <n v="3578.9180000000001"/>
    <n v="191255.3088"/>
    <n v="71720.7408"/>
    <n v="1590.1443999999997"/>
    <n v="0.44430869888608782"/>
  </r>
  <r>
    <n v="235"/>
    <n v="68"/>
    <d v="2025-11-19T00:00:00"/>
    <n v="17"/>
    <n v="3"/>
    <n v="5862.1852999999992"/>
    <x v="53"/>
    <x v="6"/>
    <n v="3626.0939999999996"/>
    <n v="6043.49"/>
    <n v="2"/>
    <n v="6445.1162490784254"/>
    <n v="796.21333333333325"/>
    <n v="99657.150099999984"/>
    <n v="38013.552099999994"/>
    <n v="5065.971966666666"/>
    <n v="6.3625811758992565"/>
  </r>
  <r>
    <n v="236"/>
    <n v="56"/>
    <d v="2025-10-14T00:00:00"/>
    <n v="29"/>
    <n v="9"/>
    <n v="7263.4380000000001"/>
    <x v="17"/>
    <x v="5"/>
    <n v="4789.08"/>
    <n v="7981.8"/>
    <n v="5"/>
    <n v="10035.02856932234"/>
    <n v="3458.9274999999998"/>
    <n v="210639.70199999999"/>
    <n v="71756.382000000012"/>
    <n v="3804.5105000000003"/>
    <n v="1.0999104491204283"/>
  </r>
  <r>
    <n v="237"/>
    <n v="7"/>
    <d v="2025-01-19T00:00:00"/>
    <n v="39"/>
    <n v="8"/>
    <n v="7695.616"/>
    <x v="24"/>
    <x v="3"/>
    <n v="5018.8799999999992"/>
    <n v="8364.7999999999993"/>
    <n v="1"/>
    <n v="9598.3486763888923"/>
    <n v="1679.8333333333333"/>
    <n v="300129.02399999998"/>
    <n v="104392.70400000003"/>
    <n v="6015.782666666667"/>
    <n v="3.5811782914971726"/>
  </r>
  <r>
    <n v="238"/>
    <n v="23"/>
    <d v="2023-04-11T00:00:00"/>
    <n v="12"/>
    <n v="8"/>
    <n v="3646.3280000000004"/>
    <x v="118"/>
    <x v="5"/>
    <n v="2378.04"/>
    <n v="3963.4"/>
    <n v="5"/>
    <n v="4768.4511936551789"/>
    <n v="5343.3279999999995"/>
    <n v="43755.936000000002"/>
    <n v="15219.456000000006"/>
    <n v="-1696.9999999999991"/>
    <n v="-0.31759233196988829"/>
  </r>
  <r>
    <n v="239"/>
    <n v="131"/>
    <d v="2025-06-12T00:00:00"/>
    <n v="19"/>
    <n v="2"/>
    <n v="6068.7284"/>
    <x v="109"/>
    <x v="6"/>
    <n v="3715.5479999999998"/>
    <n v="6192.58"/>
    <n v="3"/>
    <n v="7616.0834039747133"/>
    <n v="1795.3133333333335"/>
    <n v="115305.83960000001"/>
    <n v="44710.427600000003"/>
    <n v="4273.4150666666665"/>
    <n v="2.3803171219879906"/>
  </r>
  <r>
    <n v="240"/>
    <n v="8"/>
    <d v="2025-06-11T00:00:00"/>
    <n v="41"/>
    <n v="6"/>
    <n v="5305.3035999999993"/>
    <x v="114"/>
    <x v="1"/>
    <n v="3386.3639999999996"/>
    <n v="5643.94"/>
    <n v="2"/>
    <n v="6659.4547452889592"/>
    <n v="2853.6650000000004"/>
    <n v="217517.44759999996"/>
    <n v="78676.523599999986"/>
    <n v="2451.6385999999989"/>
    <n v="0.85911927293497958"/>
  </r>
  <r>
    <n v="241"/>
    <n v="131"/>
    <d v="2024-02-19T00:00:00"/>
    <n v="12"/>
    <n v="10"/>
    <n v="5573.3220000000001"/>
    <x v="109"/>
    <x v="6"/>
    <n v="3715.5479999999998"/>
    <n v="6192.58"/>
    <n v="3"/>
    <n v="7532.2297424405788"/>
    <n v="1795.3133333333335"/>
    <n v="66879.864000000001"/>
    <n v="22293.288000000004"/>
    <n v="3778.0086666666666"/>
    <n v="2.1043728671318283"/>
  </r>
  <r>
    <n v="242"/>
    <n v="101"/>
    <d v="2025-04-14T00:00:00"/>
    <n v="28"/>
    <n v="8"/>
    <n v="4342.6668"/>
    <x v="5"/>
    <x v="3"/>
    <n v="2832.174"/>
    <n v="4720.29"/>
    <n v="2"/>
    <n v="5928.0438624918979"/>
    <n v="6068.0179999999991"/>
    <n v="121594.6704"/>
    <n v="42293.7984"/>
    <n v="-1725.3511999999992"/>
    <n v="-0.28433521456264621"/>
  </r>
  <r>
    <n v="243"/>
    <n v="48"/>
    <d v="2025-03-23T00:00:00"/>
    <n v="43"/>
    <n v="6"/>
    <n v="3466.9737999999998"/>
    <x v="3"/>
    <x v="0"/>
    <n v="2212.962"/>
    <n v="3688.27"/>
    <n v="4"/>
    <n v="4398.8241749768622"/>
    <n v="1050.3625000000002"/>
    <n v="149079.87339999998"/>
    <n v="53922.507399999988"/>
    <n v="2416.6112999999996"/>
    <n v="2.3007402682407254"/>
  </r>
  <r>
    <n v="244"/>
    <n v="43"/>
    <d v="2025-10-25T00:00:00"/>
    <n v="32"/>
    <n v="6"/>
    <n v="3031.4811999999997"/>
    <x v="119"/>
    <x v="3"/>
    <n v="1934.9879999999998"/>
    <n v="3224.98"/>
    <n v="2"/>
    <n v="3606.5409780835362"/>
    <n v="445.53000000000003"/>
    <n v="97007.398399999991"/>
    <n v="35087.782399999996"/>
    <n v="2585.9511999999995"/>
    <n v="5.8042134087491286"/>
  </r>
  <r>
    <n v="245"/>
    <n v="141"/>
    <d v="2024-11-30T00:00:00"/>
    <n v="40"/>
    <n v="3"/>
    <n v="7629.2342999999992"/>
    <x v="86"/>
    <x v="1"/>
    <n v="4719.1139999999996"/>
    <n v="7865.19"/>
    <n v="5"/>
    <n v="8383.0061378157243"/>
    <n v="7586.8133333333344"/>
    <n v="305169.37199999997"/>
    <n v="116404.81199999998"/>
    <n v="42.420966666664754"/>
    <n v="5.5914077232247818E-3"/>
  </r>
  <r>
    <n v="246"/>
    <n v="106"/>
    <d v="2023-10-27T00:00:00"/>
    <n v="7"/>
    <n v="7"/>
    <n v="1333.6478999999999"/>
    <x v="74"/>
    <x v="1"/>
    <n v="860.41800000000001"/>
    <n v="1434.03"/>
    <n v="2"/>
    <n v="1724.3612793567027"/>
    <n v="695.38400000000001"/>
    <n v="9335.5352999999996"/>
    <n v="3312.6092999999996"/>
    <n v="638.26389999999992"/>
    <n v="0.91785819058246942"/>
  </r>
  <r>
    <n v="247"/>
    <n v="58"/>
    <d v="2023-08-13T00:00:00"/>
    <n v="27"/>
    <n v="8"/>
    <n v="1047.4936"/>
    <x v="103"/>
    <x v="7"/>
    <n v="683.14799999999991"/>
    <n v="1138.58"/>
    <n v="2"/>
    <n v="1467.6313532475879"/>
    <n v="1439.8525"/>
    <n v="28282.3272"/>
    <n v="9837.3312000000024"/>
    <n v="-392.35889999999995"/>
    <n v="-0.27249937059525192"/>
  </r>
  <r>
    <n v="248"/>
    <n v="67"/>
    <d v="2023-11-16T00:00:00"/>
    <n v="14"/>
    <n v="7"/>
    <n v="1070.1603"/>
    <x v="76"/>
    <x v="6"/>
    <n v="690.42600000000004"/>
    <n v="1150.71"/>
    <n v="4"/>
    <n v="1164.365499149787"/>
    <n v="7069.7"/>
    <n v="14982.244200000001"/>
    <n v="5316.2801999999992"/>
    <n v="-5999.5396999999994"/>
    <n v="-0.84862719775945228"/>
  </r>
  <r>
    <n v="249"/>
    <n v="133"/>
    <d v="2025-01-20T00:00:00"/>
    <n v="2"/>
    <n v="5"/>
    <n v="6274.6549999999997"/>
    <x v="40"/>
    <x v="1"/>
    <n v="3962.9399999999996"/>
    <n v="6604.9"/>
    <n v="4"/>
    <n v="8584.1948181794469"/>
    <n v="4666.1933333333336"/>
    <n v="12549.31"/>
    <n v="4623.43"/>
    <n v="1608.4616666666661"/>
    <n v="0.34470532011103971"/>
  </r>
  <r>
    <n v="250"/>
    <n v="48"/>
    <d v="2024-06-01T00:00:00"/>
    <n v="47"/>
    <n v="4"/>
    <n v="3540.7392"/>
    <x v="3"/>
    <x v="0"/>
    <n v="2212.962"/>
    <n v="3688.27"/>
    <n v="4"/>
    <n v="4713.1491694565948"/>
    <n v="1050.3625000000002"/>
    <n v="166414.74239999999"/>
    <n v="62405.528400000003"/>
    <n v="2490.3766999999998"/>
    <n v="2.3709687845862732"/>
  </r>
  <r>
    <n v="251"/>
    <n v="8"/>
    <d v="2025-12-26T00:00:00"/>
    <n v="39"/>
    <n v="10"/>
    <n v="5079.5459999999994"/>
    <x v="114"/>
    <x v="1"/>
    <n v="3386.3639999999996"/>
    <n v="5643.94"/>
    <n v="2"/>
    <n v="6157.0373921784594"/>
    <n v="2853.6650000000004"/>
    <n v="198102.29399999997"/>
    <n v="66034.097999999998"/>
    <n v="2225.8809999999989"/>
    <n v="0.78000781451221446"/>
  </r>
  <r>
    <n v="252"/>
    <n v="117"/>
    <d v="2024-12-06T00:00:00"/>
    <n v="15"/>
    <n v="6"/>
    <n v="1999.5491999999997"/>
    <x v="1"/>
    <x v="0"/>
    <n v="1276.3079999999998"/>
    <n v="2127.1799999999998"/>
    <n v="1"/>
    <n v="2370.3861621494393"/>
    <n v="892.9766666666668"/>
    <n v="29993.237999999994"/>
    <n v="10848.617999999999"/>
    <n v="1106.572533333333"/>
    <n v="1.2391953503824282"/>
  </r>
  <r>
    <n v="253"/>
    <n v="64"/>
    <d v="2025-04-02T00:00:00"/>
    <n v="49"/>
    <n v="10"/>
    <n v="2880"/>
    <x v="31"/>
    <x v="2"/>
    <n v="1920"/>
    <n v="3200"/>
    <n v="2"/>
    <n v="3924.7262595109519"/>
    <n v="3782.0099999999998"/>
    <n v="141120"/>
    <n v="47040"/>
    <n v="-902.00999999999976"/>
    <n v="-0.2385001626119444"/>
  </r>
  <r>
    <n v="254"/>
    <n v="62"/>
    <d v="2025-02-21T00:00:00"/>
    <n v="4"/>
    <n v="10"/>
    <n v="3112.1460000000002"/>
    <x v="79"/>
    <x v="7"/>
    <n v="2074.7640000000001"/>
    <n v="3457.94"/>
    <n v="4"/>
    <n v="3750.4286474391947"/>
    <n v="5560.3266666666668"/>
    <n v="12448.584000000001"/>
    <n v="4149.5280000000002"/>
    <n v="-2448.1806666666666"/>
    <n v="-0.44029439517342506"/>
  </r>
  <r>
    <n v="255"/>
    <n v="53"/>
    <d v="2025-09-24T00:00:00"/>
    <n v="27"/>
    <n v="7"/>
    <n v="3221.9012999999995"/>
    <x v="120"/>
    <x v="2"/>
    <n v="2078.6459999999997"/>
    <n v="3464.41"/>
    <n v="4"/>
    <n v="3572.7353161885076"/>
    <n v="954.33000000000015"/>
    <n v="86991.335099999982"/>
    <n v="30867.893099999994"/>
    <n v="2267.5712999999996"/>
    <n v="2.3760872025400013"/>
  </r>
  <r>
    <n v="256"/>
    <n v="76"/>
    <d v="2025-06-10T00:00:00"/>
    <n v="20"/>
    <n v="7"/>
    <n v="2850.9800999999998"/>
    <x v="63"/>
    <x v="5"/>
    <n v="1839.3420000000001"/>
    <n v="3065.57"/>
    <n v="1"/>
    <n v="3983.3194477213578"/>
    <n v="831.92600000000004"/>
    <n v="57019.601999999999"/>
    <n v="20232.761999999995"/>
    <n v="2019.0540999999998"/>
    <n v="2.4269635760872958"/>
  </r>
  <r>
    <n v="257"/>
    <n v="9"/>
    <d v="2025-01-15T00:00:00"/>
    <n v="32"/>
    <n v="3"/>
    <n v="2777.9344999999998"/>
    <x v="20"/>
    <x v="0"/>
    <n v="1718.31"/>
    <n v="2863.85"/>
    <n v="5"/>
    <n v="2882.6121289134348"/>
    <n v="6325.1699999999992"/>
    <n v="88893.903999999995"/>
    <n v="33907.983999999997"/>
    <n v="-3547.2354999999993"/>
    <n v="-0.56081267380955768"/>
  </r>
  <r>
    <n v="258"/>
    <n v="92"/>
    <d v="2023-11-25T00:00:00"/>
    <n v="22"/>
    <n v="9"/>
    <n v="3255.9982"/>
    <x v="88"/>
    <x v="1"/>
    <n v="2146.8119999999999"/>
    <n v="3578.02"/>
    <n v="5"/>
    <n v="4012.78545881234"/>
    <n v="5387.83"/>
    <n v="71631.960399999996"/>
    <n v="24402.096400000002"/>
    <n v="-2131.8317999999999"/>
    <n v="-0.39567540178513427"/>
  </r>
  <r>
    <n v="259"/>
    <n v="119"/>
    <d v="2025-07-16T00:00:00"/>
    <n v="33"/>
    <n v="3"/>
    <n v="1883.6527000000001"/>
    <x v="45"/>
    <x v="7"/>
    <n v="1165.146"/>
    <n v="1941.91"/>
    <n v="4"/>
    <n v="2120.2304846962165"/>
    <n v="4902.3539999999994"/>
    <n v="62160.539100000002"/>
    <n v="23710.721100000006"/>
    <n v="-3018.7012999999993"/>
    <n v="-0.6157656709409397"/>
  </r>
  <r>
    <n v="260"/>
    <n v="85"/>
    <d v="2024-05-21T00:00:00"/>
    <n v="7"/>
    <n v="3"/>
    <n v="3640.4391000000001"/>
    <x v="42"/>
    <x v="3"/>
    <n v="2251.8180000000002"/>
    <n v="3753.03"/>
    <n v="1"/>
    <n v="3801.0992959239379"/>
    <n v="3340.25"/>
    <n v="25483.073700000001"/>
    <n v="9720.3476999999984"/>
    <n v="300.18910000000005"/>
    <n v="8.987024923284187E-2"/>
  </r>
  <r>
    <n v="261"/>
    <n v="134"/>
    <d v="2025-01-12T00:00:00"/>
    <n v="47"/>
    <n v="10"/>
    <n v="604.98900000000003"/>
    <x v="121"/>
    <x v="5"/>
    <n v="403.32600000000002"/>
    <n v="672.21"/>
    <n v="1"/>
    <n v="703.00515022154025"/>
    <n v="4666.126666666667"/>
    <n v="28434.483"/>
    <n v="9478.1610000000001"/>
    <n v="-4061.137666666667"/>
    <n v="-0.87034449700608219"/>
  </r>
  <r>
    <n v="262"/>
    <n v="12"/>
    <d v="2024-12-15T00:00:00"/>
    <n v="11"/>
    <n v="7"/>
    <n v="1502.1824999999999"/>
    <x v="122"/>
    <x v="4"/>
    <n v="969.15"/>
    <n v="1615.25"/>
    <n v="3"/>
    <n v="1735.8258043772614"/>
    <n v="4365.21"/>
    <n v="16524.0075"/>
    <n v="5863.3574999999992"/>
    <n v="-2863.0275000000001"/>
    <n v="-0.65587394420886969"/>
  </r>
  <r>
    <n v="263"/>
    <n v="130"/>
    <d v="2024-06-06T00:00:00"/>
    <n v="9"/>
    <n v="10"/>
    <n v="2866.9409999999998"/>
    <x v="111"/>
    <x v="4"/>
    <n v="1911.2939999999999"/>
    <n v="3185.49"/>
    <n v="5"/>
    <n v="3201.3875414095055"/>
    <n v="3865.1374999999998"/>
    <n v="25802.468999999997"/>
    <n v="8600.8230000000003"/>
    <n v="-998.19650000000001"/>
    <n v="-0.25825640096891767"/>
  </r>
  <r>
    <n v="264"/>
    <n v="30"/>
    <d v="2023-05-07T00:00:00"/>
    <n v="39"/>
    <n v="6"/>
    <n v="1925.4395999999999"/>
    <x v="123"/>
    <x v="1"/>
    <n v="1229.0040000000001"/>
    <n v="2048.34"/>
    <n v="1"/>
    <n v="2361.3754310087097"/>
    <n v="4153.6075000000001"/>
    <n v="75092.14439999999"/>
    <n v="27160.988399999991"/>
    <n v="-2228.1679000000004"/>
    <n v="-0.53644161129813073"/>
  </r>
  <r>
    <n v="265"/>
    <n v="98"/>
    <d v="2023-12-10T00:00:00"/>
    <n v="47"/>
    <n v="10"/>
    <n v="7026.9120000000003"/>
    <x v="124"/>
    <x v="1"/>
    <n v="4684.6080000000002"/>
    <n v="7807.68"/>
    <n v="3"/>
    <n v="8783.4100924812883"/>
    <n v="6533.69"/>
    <n v="330264.864"/>
    <n v="110088.288"/>
    <n v="493.22200000000066"/>
    <n v="7.5489042179840288E-2"/>
  </r>
  <r>
    <n v="266"/>
    <n v="36"/>
    <d v="2025-09-30T00:00:00"/>
    <n v="27"/>
    <n v="8"/>
    <n v="135.608"/>
    <x v="57"/>
    <x v="0"/>
    <n v="88.44"/>
    <n v="147.4"/>
    <n v="3"/>
    <n v="148.32327906473753"/>
    <n v="2726.4116666666664"/>
    <n v="3661.4160000000002"/>
    <n v="1273.5360000000001"/>
    <n v="-2590.8036666666662"/>
    <n v="-0.95026136307368592"/>
  </r>
  <r>
    <n v="267"/>
    <n v="120"/>
    <d v="2024-08-04T00:00:00"/>
    <n v="37"/>
    <n v="9"/>
    <n v="1798.7059999999999"/>
    <x v="125"/>
    <x v="0"/>
    <n v="1185.9599999999998"/>
    <n v="1976.6"/>
    <n v="2"/>
    <n v="2411.3682819691203"/>
    <n v="1688.8574999999998"/>
    <n v="66552.122000000003"/>
    <n v="22671.602000000003"/>
    <n v="109.84850000000006"/>
    <n v="6.5043083859946782E-2"/>
  </r>
  <r>
    <n v="268"/>
    <n v="64"/>
    <d v="2023-10-21T00:00:00"/>
    <n v="9"/>
    <n v="7"/>
    <n v="2976"/>
    <x v="31"/>
    <x v="2"/>
    <n v="1920"/>
    <n v="3200"/>
    <n v="2"/>
    <n v="3842.6646124163567"/>
    <n v="3782.0099999999998"/>
    <n v="26784"/>
    <n v="9504"/>
    <n v="-806.00999999999976"/>
    <n v="-0.21311683469900922"/>
  </r>
  <r>
    <n v="269"/>
    <n v="39"/>
    <d v="2024-04-01T00:00:00"/>
    <n v="10"/>
    <n v="2"/>
    <n v="3143.4283999999998"/>
    <x v="49"/>
    <x v="6"/>
    <n v="1924.5479999999998"/>
    <n v="3207.58"/>
    <n v="1"/>
    <n v="3615.7745661535519"/>
    <n v="9555.6079999999984"/>
    <n v="31434.284"/>
    <n v="12188.804"/>
    <n v="-6412.1795999999986"/>
    <n v="-0.671038368254537"/>
  </r>
  <r>
    <n v="270"/>
    <n v="120"/>
    <d v="2024-01-24T00:00:00"/>
    <n v="31"/>
    <n v="7"/>
    <n v="1838.2379999999998"/>
    <x v="125"/>
    <x v="0"/>
    <n v="1185.9599999999998"/>
    <n v="1976.6"/>
    <n v="2"/>
    <n v="2491.4266661925253"/>
    <n v="1688.8574999999998"/>
    <n v="56985.377999999997"/>
    <n v="20220.618000000002"/>
    <n v="149.38049999999998"/>
    <n v="8.8450624164560954E-2"/>
  </r>
  <r>
    <n v="271"/>
    <n v="6"/>
    <d v="2024-05-22T00:00:00"/>
    <n v="1"/>
    <n v="7"/>
    <n v="3836.4173999999998"/>
    <x v="34"/>
    <x v="0"/>
    <n v="2475.1080000000002"/>
    <n v="4125.18"/>
    <n v="5"/>
    <n v="4755.3109669504456"/>
    <n v="6862.0275000000001"/>
    <n v="3836.4173999999998"/>
    <n v="1361.3093999999996"/>
    <n v="-3025.6101000000003"/>
    <n v="-0.44092071913148123"/>
  </r>
  <r>
    <n v="272"/>
    <n v="74"/>
    <d v="2025-01-26T00:00:00"/>
    <n v="42"/>
    <n v="3"/>
    <n v="1848.0536999999999"/>
    <x v="78"/>
    <x v="3"/>
    <n v="1143.126"/>
    <n v="1905.21"/>
    <n v="5"/>
    <n v="2381.611905541281"/>
    <n v="2585.9039999999995"/>
    <n v="77618.255399999995"/>
    <n v="29606.963399999997"/>
    <n v="-737.85029999999961"/>
    <n v="-0.2853355344978003"/>
  </r>
  <r>
    <n v="273"/>
    <n v="66"/>
    <d v="2023-02-27T00:00:00"/>
    <n v="2"/>
    <n v="6"/>
    <n v="5475.5093999999999"/>
    <x v="81"/>
    <x v="7"/>
    <n v="3495.0059999999999"/>
    <n v="5825.01"/>
    <n v="1"/>
    <n v="7355.438276315539"/>
    <n v="6051.7379999999994"/>
    <n v="10951.0188"/>
    <n v="3961.0068000000001"/>
    <n v="-576.22859999999946"/>
    <n v="-9.5217043434464535E-2"/>
  </r>
  <r>
    <n v="274"/>
    <n v="88"/>
    <d v="2025-04-03T00:00:00"/>
    <n v="40"/>
    <n v="6"/>
    <n v="5862.1502"/>
    <x v="116"/>
    <x v="5"/>
    <n v="3741.7979999999998"/>
    <n v="6236.33"/>
    <n v="5"/>
    <n v="7405.4608601139744"/>
    <n v="4981.5050000000001"/>
    <n v="234486.008"/>
    <n v="84814.088000000018"/>
    <n v="880.64519999999993"/>
    <n v="0.17678296016966757"/>
  </r>
  <r>
    <n v="275"/>
    <n v="110"/>
    <d v="2023-01-01T00:00:00"/>
    <n v="7"/>
    <n v="4"/>
    <n v="1492.0416"/>
    <x v="91"/>
    <x v="2"/>
    <n v="932.52599999999995"/>
    <n v="1554.21"/>
    <n v="3"/>
    <n v="1835.4360136405326"/>
    <n v="764.66499999999996"/>
    <n v="10444.2912"/>
    <n v="3916.6092000000003"/>
    <n v="727.37660000000005"/>
    <n v="0.95123563913609244"/>
  </r>
  <r>
    <n v="276"/>
    <n v="109"/>
    <d v="2023-04-12T00:00:00"/>
    <n v="42"/>
    <n v="3"/>
    <n v="2148.0552999999995"/>
    <x v="94"/>
    <x v="2"/>
    <n v="1328.6939999999997"/>
    <n v="2214.4899999999998"/>
    <n v="2"/>
    <n v="2646.0388331027134"/>
    <n v="6555.1760000000013"/>
    <n v="90218.322599999985"/>
    <n v="34413.174599999991"/>
    <n v="-4407.1207000000013"/>
    <n v="-0.67231157485321524"/>
  </r>
  <r>
    <n v="277"/>
    <n v="147"/>
    <d v="2023-09-04T00:00:00"/>
    <n v="44"/>
    <n v="6"/>
    <n v="4309.2607999999991"/>
    <x v="37"/>
    <x v="4"/>
    <n v="2750.5919999999996"/>
    <n v="4584.32"/>
    <n v="1"/>
    <n v="4991.3452532017254"/>
    <n v="769.14"/>
    <n v="189607.47519999996"/>
    <n v="68581.427199999976"/>
    <n v="3540.1207999999992"/>
    <n v="4.602700158618716"/>
  </r>
  <r>
    <n v="278"/>
    <n v="40"/>
    <d v="2024-03-06T00:00:00"/>
    <n v="32"/>
    <n v="9"/>
    <n v="447.96570000000003"/>
    <x v="9"/>
    <x v="3"/>
    <n v="295.36199999999997"/>
    <n v="492.27"/>
    <n v="1"/>
    <n v="616.44059307879979"/>
    <n v="603.70600000000002"/>
    <n v="14334.902400000001"/>
    <n v="4883.3184000000019"/>
    <n v="-155.74029999999999"/>
    <n v="-0.25797374881150759"/>
  </r>
  <r>
    <n v="279"/>
    <n v="38"/>
    <d v="2024-04-30T00:00:00"/>
    <n v="41"/>
    <n v="10"/>
    <n v="5935.9409999999998"/>
    <x v="126"/>
    <x v="3"/>
    <n v="3957.2939999999999"/>
    <n v="6595.49"/>
    <n v="5"/>
    <n v="7621.6397759219808"/>
    <n v="517.86"/>
    <n v="243373.58100000001"/>
    <n v="81124.527000000002"/>
    <n v="5418.0810000000001"/>
    <n v="10.462443517553007"/>
  </r>
  <r>
    <n v="280"/>
    <n v="148"/>
    <d v="2024-08-28T00:00:00"/>
    <n v="1"/>
    <n v="2"/>
    <n v="3948.4395999999997"/>
    <x v="127"/>
    <x v="4"/>
    <n v="2417.4119999999998"/>
    <n v="4029.02"/>
    <n v="1"/>
    <n v="4079.082898789718"/>
    <n v="4467.1499999999996"/>
    <n v="3948.4395999999997"/>
    <n v="1531.0275999999999"/>
    <n v="-518.71039999999994"/>
    <n v="-0.11611662917072406"/>
  </r>
  <r>
    <n v="281"/>
    <n v="64"/>
    <d v="2025-10-07T00:00:00"/>
    <n v="42"/>
    <n v="6"/>
    <n v="3008"/>
    <x v="31"/>
    <x v="2"/>
    <n v="1920"/>
    <n v="3200"/>
    <n v="2"/>
    <n v="3490.8879387964466"/>
    <n v="3782.0099999999998"/>
    <n v="126336"/>
    <n v="45696"/>
    <n v="-774.00999999999976"/>
    <n v="-0.20465572539469748"/>
  </r>
  <r>
    <n v="282"/>
    <n v="125"/>
    <d v="2023-03-05T00:00:00"/>
    <n v="31"/>
    <n v="2"/>
    <n v="4264.0486000000001"/>
    <x v="22"/>
    <x v="0"/>
    <n v="2610.6419999999998"/>
    <n v="4351.07"/>
    <n v="5"/>
    <n v="4695.6688978374923"/>
    <n v="5094.8040000000001"/>
    <n v="132185.50659999999"/>
    <n v="51255.604600000006"/>
    <n v="-830.75540000000001"/>
    <n v="-0.16305934438302239"/>
  </r>
  <r>
    <n v="283"/>
    <n v="65"/>
    <d v="2023-03-21T00:00:00"/>
    <n v="1"/>
    <n v="5"/>
    <n v="4285.7919999999995"/>
    <x v="90"/>
    <x v="2"/>
    <n v="2706.8159999999998"/>
    <n v="4511.3599999999997"/>
    <n v="1"/>
    <n v="5176.3852944695627"/>
    <n v="1786.8475000000001"/>
    <n v="4285.7919999999995"/>
    <n v="1578.9759999999997"/>
    <n v="2498.9444999999996"/>
    <n v="1.3985214183079415"/>
  </r>
  <r>
    <n v="284"/>
    <n v="21"/>
    <d v="2025-10-08T00:00:00"/>
    <n v="20"/>
    <n v="6"/>
    <n v="2706.5419999999999"/>
    <x v="67"/>
    <x v="0"/>
    <n v="1727.5800000000002"/>
    <n v="2879.3"/>
    <n v="3"/>
    <n v="3252.1405000536893"/>
    <n v="4150.0079999999998"/>
    <n v="54130.84"/>
    <n v="19579.239999999994"/>
    <n v="-1443.4659999999999"/>
    <n v="-0.34782246202898887"/>
  </r>
  <r>
    <n v="285"/>
    <n v="57"/>
    <d v="2024-04-08T00:00:00"/>
    <n v="8"/>
    <n v="9"/>
    <n v="6198.6925000000001"/>
    <x v="55"/>
    <x v="6"/>
    <n v="4087.0499999999997"/>
    <n v="6811.75"/>
    <n v="2"/>
    <n v="8731.2817868813654"/>
    <n v="1836.9825000000001"/>
    <n v="49589.54"/>
    <n v="16893.140000000003"/>
    <n v="4361.71"/>
    <n v="2.3743884332049978"/>
  </r>
  <r>
    <n v="286"/>
    <n v="30"/>
    <d v="2024-04-01T00:00:00"/>
    <n v="28"/>
    <n v="5"/>
    <n v="1945.923"/>
    <x v="123"/>
    <x v="1"/>
    <n v="1229.0040000000001"/>
    <n v="2048.34"/>
    <n v="1"/>
    <n v="2140.7056424833154"/>
    <n v="4153.6075000000001"/>
    <n v="54485.843999999997"/>
    <n v="20073.731999999996"/>
    <n v="-2207.6845000000003"/>
    <n v="-0.53151013907789801"/>
  </r>
  <r>
    <n v="287"/>
    <n v="109"/>
    <d v="2023-06-27T00:00:00"/>
    <n v="16"/>
    <n v="9"/>
    <n v="2015.1858999999999"/>
    <x v="94"/>
    <x v="2"/>
    <n v="1328.6939999999997"/>
    <n v="2214.4899999999998"/>
    <n v="2"/>
    <n v="2831.4695301258935"/>
    <n v="6555.1760000000013"/>
    <n v="32242.974399999999"/>
    <n v="10983.870400000003"/>
    <n v="-4539.9901000000009"/>
    <n v="-0.69258096197569674"/>
  </r>
  <r>
    <n v="288"/>
    <n v="2"/>
    <d v="2024-07-21T00:00:00"/>
    <n v="33"/>
    <n v="8"/>
    <n v="4070.7975999999999"/>
    <x v="64"/>
    <x v="0"/>
    <n v="2654.8679999999999"/>
    <n v="4424.78"/>
    <n v="4"/>
    <n v="5750.1192943273027"/>
    <n v="1807.3"/>
    <n v="134336.32079999999"/>
    <n v="46725.676800000001"/>
    <n v="2263.4975999999997"/>
    <n v="1.2524194101698665"/>
  </r>
  <r>
    <n v="289"/>
    <n v="86"/>
    <d v="2024-10-22T00:00:00"/>
    <n v="11"/>
    <n v="4"/>
    <n v="2997.9935999999998"/>
    <x v="39"/>
    <x v="1"/>
    <n v="1873.7459999999999"/>
    <n v="3122.91"/>
    <n v="4"/>
    <n v="4053.5625487818593"/>
    <n v="2919.076"/>
    <n v="32977.929599999996"/>
    <n v="12366.723599999999"/>
    <n v="78.917599999999766"/>
    <n v="2.7035130294654805E-2"/>
  </r>
  <r>
    <n v="290"/>
    <n v="64"/>
    <d v="2023-12-29T00:00:00"/>
    <n v="35"/>
    <n v="2"/>
    <n v="3136"/>
    <x v="31"/>
    <x v="2"/>
    <n v="1920"/>
    <n v="3200"/>
    <n v="2"/>
    <n v="3547.4937693832649"/>
    <n v="3782.0099999999998"/>
    <n v="109760"/>
    <n v="42560"/>
    <n v="-646.00999999999976"/>
    <n v="-0.17081128817745056"/>
  </r>
  <r>
    <n v="291"/>
    <n v="47"/>
    <d v="2023-08-08T00:00:00"/>
    <n v="15"/>
    <n v="2"/>
    <n v="3345.3083999999999"/>
    <x v="112"/>
    <x v="2"/>
    <n v="2048.1479999999997"/>
    <n v="3413.58"/>
    <n v="5"/>
    <n v="4335.6596221930795"/>
    <n v="2051.0440000000003"/>
    <n v="50179.625999999997"/>
    <n v="19457.406000000003"/>
    <n v="1294.2643999999996"/>
    <n v="0.63102712569793695"/>
  </r>
  <r>
    <n v="292"/>
    <n v="75"/>
    <d v="2023-10-07T00:00:00"/>
    <n v="15"/>
    <n v="8"/>
    <n v="3471.5648000000001"/>
    <x v="128"/>
    <x v="3"/>
    <n v="2264.0639999999999"/>
    <n v="3773.44"/>
    <n v="4"/>
    <n v="4855.7364531411095"/>
    <n v="3293.6366666666668"/>
    <n v="52073.472000000002"/>
    <n v="18112.512000000002"/>
    <n v="177.92813333333334"/>
    <n v="5.4021785442838768E-2"/>
  </r>
  <r>
    <n v="293"/>
    <n v="28"/>
    <d v="2023-04-29T00:00:00"/>
    <n v="48"/>
    <n v="5"/>
    <n v="5430.7889999999998"/>
    <x v="70"/>
    <x v="0"/>
    <n v="3429.9719999999998"/>
    <n v="5716.62"/>
    <n v="5"/>
    <n v="6460.2771178667226"/>
    <n v="3542.9559999999997"/>
    <n v="260677.87199999997"/>
    <n v="96039.216"/>
    <n v="1887.8330000000001"/>
    <n v="0.53284122072077678"/>
  </r>
  <r>
    <n v="294"/>
    <n v="68"/>
    <d v="2023-01-13T00:00:00"/>
    <n v="22"/>
    <n v="6"/>
    <n v="5680.8805999999995"/>
    <x v="53"/>
    <x v="6"/>
    <n v="3626.0939999999996"/>
    <n v="6043.49"/>
    <n v="2"/>
    <n v="7734.3864020628143"/>
    <n v="796.21333333333325"/>
    <n v="124979.37319999999"/>
    <n v="45205.305199999995"/>
    <n v="4884.6672666666664"/>
    <n v="6.1348724797374237"/>
  </r>
  <r>
    <n v="295"/>
    <n v="136"/>
    <d v="2023-07-14T00:00:00"/>
    <n v="29"/>
    <n v="2"/>
    <n v="5053.2425999999996"/>
    <x v="30"/>
    <x v="3"/>
    <n v="3093.8219999999997"/>
    <n v="5156.37"/>
    <n v="3"/>
    <n v="5255.1145757103677"/>
    <n v="5805.195999999999"/>
    <n v="146544.03539999999"/>
    <n v="56823.197399999997"/>
    <n v="-751.95339999999942"/>
    <n v="-0.12953109593543433"/>
  </r>
  <r>
    <n v="296"/>
    <n v="128"/>
    <d v="2023-12-22T00:00:00"/>
    <n v="2"/>
    <n v="8"/>
    <n v="4841.5920000000006"/>
    <x v="117"/>
    <x v="7"/>
    <n v="3157.56"/>
    <n v="5262.6"/>
    <n v="4"/>
    <n v="6234.6702770850507"/>
    <n v="1349.8883333333335"/>
    <n v="9683.1840000000011"/>
    <n v="3368.0640000000012"/>
    <n v="3491.7036666666672"/>
    <n v="2.5866611188826729"/>
  </r>
  <r>
    <n v="297"/>
    <n v="111"/>
    <d v="2023-01-15T00:00:00"/>
    <n v="50"/>
    <n v="4"/>
    <n v="724.05119999999999"/>
    <x v="110"/>
    <x v="6"/>
    <n v="452.53199999999998"/>
    <n v="754.22"/>
    <n v="3"/>
    <n v="766.02104910337482"/>
    <n v="3824.0450000000001"/>
    <n v="36202.559999999998"/>
    <n v="13575.960000000001"/>
    <n v="-3099.9938000000002"/>
    <n v="-0.81065829507759457"/>
  </r>
  <r>
    <n v="298"/>
    <n v="50"/>
    <d v="2024-11-10T00:00:00"/>
    <n v="34"/>
    <n v="7"/>
    <n v="1261.731"/>
    <x v="10"/>
    <x v="1"/>
    <n v="814.02"/>
    <n v="1356.7"/>
    <n v="3"/>
    <n v="1620.4363870484283"/>
    <n v="4909.6483333333335"/>
    <n v="42898.853999999999"/>
    <n v="15222.174000000001"/>
    <n v="-3647.9173333333338"/>
    <n v="-0.74300990328906791"/>
  </r>
  <r>
    <n v="299"/>
    <n v="3"/>
    <d v="2023-04-20T00:00:00"/>
    <n v="34"/>
    <n v="9"/>
    <n v="4701.7698"/>
    <x v="129"/>
    <x v="2"/>
    <n v="3100.0679999999998"/>
    <n v="5166.78"/>
    <n v="1"/>
    <n v="5198.1799800478075"/>
    <n v="7049.42"/>
    <n v="159860.17319999999"/>
    <n v="54457.861200000007"/>
    <n v="-2347.6502"/>
    <n v="-0.33302742636982902"/>
  </r>
  <r>
    <n v="300"/>
    <n v="82"/>
    <d v="2023-05-18T00:00:00"/>
    <n v="39"/>
    <n v="5"/>
    <n v="1207.6589999999999"/>
    <x v="7"/>
    <x v="4"/>
    <n v="762.73199999999997"/>
    <n v="1271.22"/>
    <n v="2"/>
    <n v="1285.5660290835631"/>
    <n v="2617.7080000000001"/>
    <n v="47098.700999999994"/>
    <n v="17352.152999999995"/>
    <n v="-1410.0490000000002"/>
    <n v="-0.53865786405512006"/>
  </r>
  <r>
    <n v="301"/>
    <n v="25"/>
    <d v="2024-06-29T00:00:00"/>
    <n v="35"/>
    <n v="2"/>
    <n v="556.8066"/>
    <x v="38"/>
    <x v="4"/>
    <n v="340.90199999999999"/>
    <n v="568.16999999999996"/>
    <n v="1"/>
    <n v="686.28404263289315"/>
    <n v="2024.2300000000002"/>
    <n v="19488.231"/>
    <n v="7556.661000000001"/>
    <n v="-1467.4234000000001"/>
    <n v="-0.724929182948578"/>
  </r>
  <r>
    <n v="302"/>
    <n v="4"/>
    <d v="2024-07-03T00:00:00"/>
    <n v="14"/>
    <n v="10"/>
    <n v="6376.8420000000006"/>
    <x v="62"/>
    <x v="4"/>
    <n v="4251.2280000000001"/>
    <n v="7085.38"/>
    <n v="4"/>
    <n v="7305.8969910209398"/>
    <n v="3570.2466666666674"/>
    <n v="89275.788"/>
    <n v="29758.596000000005"/>
    <n v="2806.5953333333332"/>
    <n v="0.78610684229100869"/>
  </r>
  <r>
    <n v="303"/>
    <n v="54"/>
    <d v="2025-02-02T00:00:00"/>
    <n v="41"/>
    <n v="9"/>
    <n v="845.89049999999997"/>
    <x v="50"/>
    <x v="2"/>
    <n v="557.7299999999999"/>
    <n v="929.55"/>
    <n v="3"/>
    <n v="1037.0986699399548"/>
    <n v="2958.2974999999997"/>
    <n v="34681.510499999997"/>
    <n v="11814.580500000004"/>
    <n v="-2112.4069999999997"/>
    <n v="-0.71406171962082921"/>
  </r>
  <r>
    <n v="304"/>
    <n v="95"/>
    <d v="2024-04-07T00:00:00"/>
    <n v="43"/>
    <n v="4"/>
    <n v="6689.9232000000002"/>
    <x v="51"/>
    <x v="7"/>
    <n v="4181.2020000000002"/>
    <n v="6968.67"/>
    <n v="2"/>
    <n v="8025.5526705916272"/>
    <n v="2797.7239999999997"/>
    <n v="287666.69760000001"/>
    <n v="107875.0116"/>
    <n v="3892.1992000000005"/>
    <n v="1.3912019913329552"/>
  </r>
  <r>
    <n v="305"/>
    <n v="120"/>
    <d v="2023-06-03T00:00:00"/>
    <n v="13"/>
    <n v="6"/>
    <n v="1858.0039999999999"/>
    <x v="125"/>
    <x v="0"/>
    <n v="1185.9599999999998"/>
    <n v="1976.6"/>
    <n v="2"/>
    <n v="1999.5702792704981"/>
    <n v="1688.8574999999998"/>
    <n v="24154.052"/>
    <n v="8736.5720000000019"/>
    <n v="169.14650000000006"/>
    <n v="0.10015439431686811"/>
  </r>
  <r>
    <n v="306"/>
    <n v="103"/>
    <d v="2025-01-26T00:00:00"/>
    <n v="8"/>
    <n v="10"/>
    <n v="5772.6450000000004"/>
    <x v="12"/>
    <x v="1"/>
    <n v="3848.43"/>
    <n v="6414.05"/>
    <n v="4"/>
    <n v="7720.1605010445328"/>
    <n v="6457.8324999999995"/>
    <n v="46181.16"/>
    <n v="15393.720000000005"/>
    <n v="-685.18749999999909"/>
    <n v="-0.10610177640872524"/>
  </r>
  <r>
    <n v="307"/>
    <n v="90"/>
    <d v="2024-01-02T00:00:00"/>
    <n v="39"/>
    <n v="6"/>
    <n v="1294.1073999999999"/>
    <x v="0"/>
    <x v="0"/>
    <n v="826.02599999999995"/>
    <n v="1376.71"/>
    <n v="4"/>
    <n v="1735.4139246634486"/>
    <n v="2414.7550000000001"/>
    <n v="50470.188599999994"/>
    <n v="18255.174599999998"/>
    <n v="-1120.6476000000002"/>
    <n v="-0.46408335421191804"/>
  </r>
  <r>
    <n v="308"/>
    <n v="94"/>
    <d v="2025-06-29T00:00:00"/>
    <n v="46"/>
    <n v="5"/>
    <n v="4420.1409999999996"/>
    <x v="8"/>
    <x v="4"/>
    <n v="2791.6679999999997"/>
    <n v="4652.78"/>
    <n v="1"/>
    <n v="5173.7184979551876"/>
    <n v="6485.5883333333331"/>
    <n v="203326.48599999998"/>
    <n v="74909.758000000002"/>
    <n v="-2065.4473333333335"/>
    <n v="-0.31846722720863413"/>
  </r>
  <r>
    <n v="309"/>
    <n v="31"/>
    <d v="2024-06-04T00:00:00"/>
    <n v="41"/>
    <n v="2"/>
    <n v="1002.7752"/>
    <x v="52"/>
    <x v="5"/>
    <n v="613.94399999999996"/>
    <n v="1023.24"/>
    <n v="2"/>
    <n v="1234.7644396556386"/>
    <n v="1065.8219999999999"/>
    <n v="41113.783200000005"/>
    <n v="15942.079200000004"/>
    <n v="-63.046799999999848"/>
    <n v="-5.9153216953675057E-2"/>
  </r>
  <r>
    <n v="310"/>
    <n v="71"/>
    <d v="2025-04-11T00:00:00"/>
    <n v="34"/>
    <n v="8"/>
    <n v="4536.7592000000004"/>
    <x v="54"/>
    <x v="2"/>
    <n v="2958.7559999999999"/>
    <n v="4931.26"/>
    <n v="3"/>
    <n v="5767.5597428162455"/>
    <n v="2482.0633333333335"/>
    <n v="154249.81280000001"/>
    <n v="53652.108800000016"/>
    <n v="2054.6958666666669"/>
    <n v="0.82781766245556454"/>
  </r>
  <r>
    <n v="311"/>
    <n v="62"/>
    <d v="2023-09-11T00:00:00"/>
    <n v="28"/>
    <n v="8"/>
    <n v="3181.3048000000003"/>
    <x v="79"/>
    <x v="7"/>
    <n v="2074.7640000000001"/>
    <n v="3457.94"/>
    <n v="4"/>
    <n v="3719.8307594493422"/>
    <n v="5560.3266666666668"/>
    <n v="89076.534400000004"/>
    <n v="30983.142400000004"/>
    <n v="-2379.0218666666665"/>
    <n v="-0.42785649284394556"/>
  </r>
  <r>
    <n v="312"/>
    <n v="80"/>
    <d v="2024-01-23T00:00:00"/>
    <n v="30"/>
    <n v="7"/>
    <n v="929.13509999999997"/>
    <x v="130"/>
    <x v="0"/>
    <n v="599.44200000000001"/>
    <n v="999.07"/>
    <n v="5"/>
    <n v="1230.2416440333286"/>
    <n v="4319.1966666666667"/>
    <n v="27874.053"/>
    <n v="9890.7929999999978"/>
    <n v="-3390.0615666666667"/>
    <n v="-0.78488242798236396"/>
  </r>
  <r>
    <n v="313"/>
    <n v="131"/>
    <d v="2025-03-05T00:00:00"/>
    <n v="12"/>
    <n v="10"/>
    <n v="5573.3220000000001"/>
    <x v="109"/>
    <x v="6"/>
    <n v="3715.5479999999998"/>
    <n v="6192.58"/>
    <n v="3"/>
    <n v="8009.4557484971638"/>
    <n v="1795.3133333333335"/>
    <n v="66879.864000000001"/>
    <n v="22293.288000000004"/>
    <n v="3778.0086666666666"/>
    <n v="2.1043728671318283"/>
  </r>
  <r>
    <n v="314"/>
    <n v="34"/>
    <d v="2023-10-28T00:00:00"/>
    <n v="4"/>
    <n v="4"/>
    <n v="1251.2544"/>
    <x v="23"/>
    <x v="1"/>
    <n v="782.03399999999999"/>
    <n v="1303.3900000000001"/>
    <n v="2"/>
    <n v="1618.0989992639982"/>
    <n v="4145.4440000000004"/>
    <n v="5005.0176000000001"/>
    <n v="1876.8816000000002"/>
    <n v="-2894.1896000000006"/>
    <n v="-0.698161547954815"/>
  </r>
  <r>
    <n v="315"/>
    <n v="93"/>
    <d v="2023-02-22T00:00:00"/>
    <n v="45"/>
    <n v="9"/>
    <n v="6972.9386999999997"/>
    <x v="66"/>
    <x v="2"/>
    <n v="4597.5419999999995"/>
    <n v="7662.57"/>
    <n v="3"/>
    <n v="9633.9909598674985"/>
    <n v="991.00333333333344"/>
    <n v="313782.2415"/>
    <n v="106892.8515"/>
    <n v="5981.9353666666666"/>
    <n v="6.0362414186296034"/>
  </r>
  <r>
    <n v="316"/>
    <n v="118"/>
    <d v="2025-01-22T00:00:00"/>
    <n v="29"/>
    <n v="6"/>
    <n v="2960.2949999999996"/>
    <x v="131"/>
    <x v="1"/>
    <n v="1889.55"/>
    <n v="3149.25"/>
    <n v="5"/>
    <n v="3329.8682580649843"/>
    <n v="224.52399999999997"/>
    <n v="85848.554999999993"/>
    <n v="31051.604999999989"/>
    <n v="2735.7709999999997"/>
    <n v="12.184759758422263"/>
  </r>
  <r>
    <n v="317"/>
    <n v="4"/>
    <d v="2023-07-13T00:00:00"/>
    <n v="23"/>
    <n v="5"/>
    <n v="6731.1109999999999"/>
    <x v="62"/>
    <x v="4"/>
    <n v="4251.2280000000001"/>
    <n v="7085.38"/>
    <n v="4"/>
    <n v="9185.7982894117777"/>
    <n v="3570.2466666666674"/>
    <n v="154815.55299999999"/>
    <n v="57037.308999999994"/>
    <n v="3160.8643333333325"/>
    <n v="0.88533500019606448"/>
  </r>
  <r>
    <n v="318"/>
    <n v="26"/>
    <d v="2024-02-02T00:00:00"/>
    <n v="42"/>
    <n v="8"/>
    <n v="5185.9664000000002"/>
    <x v="100"/>
    <x v="7"/>
    <n v="3382.152"/>
    <n v="5636.92"/>
    <n v="4"/>
    <n v="6169.2028214157963"/>
    <n v="3474.7766666666666"/>
    <n v="217810.5888"/>
    <n v="75760.204800000007"/>
    <n v="1711.1897333333336"/>
    <n v="0.49246034996973437"/>
  </r>
  <r>
    <n v="319"/>
    <n v="42"/>
    <d v="2023-11-15T00:00:00"/>
    <n v="38"/>
    <n v="2"/>
    <n v="419.048"/>
    <x v="132"/>
    <x v="1"/>
    <n v="256.56"/>
    <n v="427.6"/>
    <n v="2"/>
    <n v="491.60483810484624"/>
    <n v="513.45666666666671"/>
    <n v="15923.824000000001"/>
    <n v="6174.5439999999999"/>
    <n v="-94.408666666666704"/>
    <n v="-0.18386881074027675"/>
  </r>
  <r>
    <n v="320"/>
    <n v="10"/>
    <d v="2024-05-03T00:00:00"/>
    <n v="36"/>
    <n v="4"/>
    <n v="2685.3984"/>
    <x v="33"/>
    <x v="3"/>
    <n v="1678.374"/>
    <n v="2797.29"/>
    <n v="4"/>
    <n v="3263.2010699827215"/>
    <n v="6310.5433333333322"/>
    <n v="96674.342399999994"/>
    <n v="36252.878400000001"/>
    <n v="-3625.1449333333321"/>
    <n v="-0.57445844863860107"/>
  </r>
  <r>
    <n v="321"/>
    <n v="119"/>
    <d v="2023-04-16T00:00:00"/>
    <n v="2"/>
    <n v="3"/>
    <n v="1883.6527000000001"/>
    <x v="45"/>
    <x v="7"/>
    <n v="1165.146"/>
    <n v="1941.91"/>
    <n v="4"/>
    <n v="2425.0894245912182"/>
    <n v="4902.3539999999994"/>
    <n v="3767.3054000000002"/>
    <n v="1437.0134000000003"/>
    <n v="-3018.7012999999993"/>
    <n v="-0.6157656709409397"/>
  </r>
  <r>
    <n v="322"/>
    <n v="69"/>
    <d v="2023-03-17T00:00:00"/>
    <n v="15"/>
    <n v="9"/>
    <n v="6787.4170000000004"/>
    <x v="102"/>
    <x v="1"/>
    <n v="4475.2199999999993"/>
    <n v="7458.7"/>
    <n v="3"/>
    <n v="9411.7248280297881"/>
    <n v="809.57599999999991"/>
    <n v="101811.255"/>
    <n v="34682.955000000016"/>
    <n v="5977.8410000000003"/>
    <n v="7.3839157781357168"/>
  </r>
  <r>
    <n v="323"/>
    <n v="93"/>
    <d v="2025-12-05T00:00:00"/>
    <n v="40"/>
    <n v="7"/>
    <n v="7126.1900999999989"/>
    <x v="66"/>
    <x v="2"/>
    <n v="4597.5419999999995"/>
    <n v="7662.57"/>
    <n v="3"/>
    <n v="8799.8864852020033"/>
    <n v="991.00333333333344"/>
    <n v="285047.60399999993"/>
    <n v="101145.92399999997"/>
    <n v="6135.1867666666658"/>
    <n v="6.1908840871709128"/>
  </r>
  <r>
    <n v="324"/>
    <n v="139"/>
    <d v="2024-07-05T00:00:00"/>
    <n v="36"/>
    <n v="9"/>
    <n v="2357.8827999999999"/>
    <x v="25"/>
    <x v="3"/>
    <n v="1554.6479999999999"/>
    <n v="2591.08"/>
    <n v="5"/>
    <n v="2600.5611569301045"/>
    <n v="2839.1733333333336"/>
    <n v="84883.780799999993"/>
    <n v="28916.452799999999"/>
    <n v="-481.29053333333377"/>
    <n v="-0.16951784087386954"/>
  </r>
  <r>
    <n v="325"/>
    <n v="131"/>
    <d v="2025-10-25T00:00:00"/>
    <n v="50"/>
    <n v="7"/>
    <n v="5759.0993999999992"/>
    <x v="109"/>
    <x v="6"/>
    <n v="3715.5479999999998"/>
    <n v="6192.58"/>
    <n v="3"/>
    <n v="7553.6105055364524"/>
    <n v="1795.3133333333335"/>
    <n v="287954.96999999997"/>
    <n v="102177.56999999996"/>
    <n v="3963.7860666666656"/>
    <n v="2.2078519627028887"/>
  </r>
  <r>
    <n v="326"/>
    <n v="72"/>
    <d v="2025-11-06T00:00:00"/>
    <n v="21"/>
    <n v="9"/>
    <n v="5279.2739999999994"/>
    <x v="65"/>
    <x v="5"/>
    <n v="3480.8399999999997"/>
    <n v="5801.4"/>
    <n v="3"/>
    <n v="7233.2517848262132"/>
    <n v="5210.5919999999996"/>
    <n v="110864.75399999999"/>
    <n v="37767.113999999994"/>
    <n v="68.681999999999789"/>
    <n v="1.3181227776037693E-2"/>
  </r>
  <r>
    <n v="327"/>
    <n v="8"/>
    <d v="2024-01-07T00:00:00"/>
    <n v="36"/>
    <n v="9"/>
    <n v="5135.9853999999996"/>
    <x v="114"/>
    <x v="1"/>
    <n v="3386.3639999999996"/>
    <n v="5643.94"/>
    <n v="2"/>
    <n v="6414.1918547767673"/>
    <n v="2853.6650000000004"/>
    <n v="184895.47439999998"/>
    <n v="62986.3704"/>
    <n v="2282.3203999999992"/>
    <n v="0.79978567911790588"/>
  </r>
  <r>
    <n v="328"/>
    <n v="57"/>
    <d v="2025-10-12T00:00:00"/>
    <n v="7"/>
    <n v="2"/>
    <n v="6675.5150000000003"/>
    <x v="55"/>
    <x v="6"/>
    <n v="4087.0499999999997"/>
    <n v="6811.75"/>
    <n v="2"/>
    <n v="6839.607875738584"/>
    <n v="1836.9825000000001"/>
    <n v="46728.605000000003"/>
    <n v="18119.255000000005"/>
    <n v="4838.5325000000003"/>
    <n v="2.633956774220767"/>
  </r>
  <r>
    <n v="329"/>
    <n v="24"/>
    <d v="2023-10-04T00:00:00"/>
    <n v="24"/>
    <n v="6"/>
    <n v="3756.7287999999999"/>
    <x v="32"/>
    <x v="7"/>
    <n v="2397.9119999999998"/>
    <n v="3996.52"/>
    <n v="4"/>
    <n v="4425.2850616195556"/>
    <n v="3028.7733333333331"/>
    <n v="90161.491199999989"/>
    <n v="32611.603200000001"/>
    <n v="727.95546666666678"/>
    <n v="0.24034663097931841"/>
  </r>
  <r>
    <n v="330"/>
    <n v="28"/>
    <d v="2023-08-17T00:00:00"/>
    <n v="31"/>
    <n v="3"/>
    <n v="5545.1214"/>
    <x v="70"/>
    <x v="0"/>
    <n v="3429.9719999999998"/>
    <n v="5716.62"/>
    <n v="5"/>
    <n v="7357.0103579034239"/>
    <n v="3542.9559999999997"/>
    <n v="171898.7634"/>
    <n v="65569.631400000013"/>
    <n v="2002.1654000000003"/>
    <n v="0.56511156220963521"/>
  </r>
  <r>
    <n v="331"/>
    <n v="5"/>
    <d v="2023-05-29T00:00:00"/>
    <n v="17"/>
    <n v="3"/>
    <n v="805.34249999999997"/>
    <x v="113"/>
    <x v="6"/>
    <n v="498.15"/>
    <n v="830.25"/>
    <n v="5"/>
    <n v="971.0096375298159"/>
    <n v="7010.5333333333328"/>
    <n v="13690.8225"/>
    <n v="5222.2725"/>
    <n v="-6205.1908333333331"/>
    <n v="-0.88512393255862609"/>
  </r>
  <r>
    <n v="332"/>
    <n v="28"/>
    <d v="2025-02-05T00:00:00"/>
    <n v="29"/>
    <n v="6"/>
    <n v="5373.6227999999992"/>
    <x v="70"/>
    <x v="0"/>
    <n v="3429.9719999999998"/>
    <n v="5716.62"/>
    <n v="5"/>
    <n v="5990.8163625598663"/>
    <n v="3542.9559999999997"/>
    <n v="155835.06119999997"/>
    <n v="56365.873199999987"/>
    <n v="1830.6667999999995"/>
    <n v="0.51670604997634739"/>
  </r>
  <r>
    <n v="333"/>
    <n v="80"/>
    <d v="2023-02-21T00:00:00"/>
    <n v="48"/>
    <n v="2"/>
    <n v="979.08860000000004"/>
    <x v="130"/>
    <x v="0"/>
    <n v="599.44200000000001"/>
    <n v="999.07"/>
    <n v="5"/>
    <n v="1081.9288990621915"/>
    <n v="4319.1966666666667"/>
    <n v="46996.252800000002"/>
    <n v="18223.036800000002"/>
    <n v="-3340.1080666666667"/>
    <n v="-0.77331696712120079"/>
  </r>
  <r>
    <n v="334"/>
    <n v="116"/>
    <d v="2024-08-18T00:00:00"/>
    <n v="22"/>
    <n v="7"/>
    <n v="2197.7294999999999"/>
    <x v="58"/>
    <x v="1"/>
    <n v="1417.89"/>
    <n v="2363.15"/>
    <n v="5"/>
    <n v="2496.1949238483821"/>
    <n v="4469.4999999999991"/>
    <n v="48350.048999999999"/>
    <n v="17156.468999999997"/>
    <n v="-2271.7704999999992"/>
    <n v="-0.50828291755229882"/>
  </r>
  <r>
    <n v="335"/>
    <n v="117"/>
    <d v="2025-06-26T00:00:00"/>
    <n v="42"/>
    <n v="2"/>
    <n v="2084.6363999999999"/>
    <x v="1"/>
    <x v="0"/>
    <n v="1276.3079999999998"/>
    <n v="2127.1799999999998"/>
    <n v="1"/>
    <n v="2143.827006602321"/>
    <n v="892.9766666666668"/>
    <n v="87554.728799999997"/>
    <n v="33949.792800000003"/>
    <n v="1191.659733333333"/>
    <n v="1.3344802589093401"/>
  </r>
  <r>
    <n v="336"/>
    <n v="30"/>
    <d v="2025-12-03T00:00:00"/>
    <n v="37"/>
    <n v="6"/>
    <n v="1925.4395999999999"/>
    <x v="123"/>
    <x v="1"/>
    <n v="1229.0040000000001"/>
    <n v="2048.34"/>
    <n v="1"/>
    <n v="2148.177865295123"/>
    <n v="4153.6075000000001"/>
    <n v="71241.265199999994"/>
    <n v="25768.117199999993"/>
    <n v="-2228.1679000000004"/>
    <n v="-0.53644161129813073"/>
  </r>
  <r>
    <n v="337"/>
    <n v="78"/>
    <d v="2023-07-01T00:00:00"/>
    <n v="35"/>
    <n v="3"/>
    <n v="839.76779999999997"/>
    <x v="26"/>
    <x v="2"/>
    <n v="519.44399999999996"/>
    <n v="865.74"/>
    <n v="4"/>
    <n v="1008.8605428514768"/>
    <n v="398.392"/>
    <n v="29391.873"/>
    <n v="11211.333000000001"/>
    <n v="441.37579999999997"/>
    <n v="1.1078932307877667"/>
  </r>
  <r>
    <n v="338"/>
    <n v="80"/>
    <d v="2025-10-11T00:00:00"/>
    <n v="43"/>
    <n v="9"/>
    <n v="909.15370000000007"/>
    <x v="130"/>
    <x v="0"/>
    <n v="599.44200000000001"/>
    <n v="999.07"/>
    <n v="5"/>
    <n v="1076.7234481093133"/>
    <n v="4319.1966666666667"/>
    <n v="39093.609100000001"/>
    <n v="13317.603100000002"/>
    <n v="-3410.0429666666669"/>
    <n v="-0.78950861232682934"/>
  </r>
  <r>
    <n v="339"/>
    <n v="5"/>
    <d v="2024-03-17T00:00:00"/>
    <n v="24"/>
    <n v="9"/>
    <n v="755.52750000000003"/>
    <x v="113"/>
    <x v="6"/>
    <n v="498.15"/>
    <n v="830.25"/>
    <n v="5"/>
    <n v="894.27135141423344"/>
    <n v="7010.5333333333328"/>
    <n v="18132.66"/>
    <n v="6177.0600000000013"/>
    <n v="-6255.0058333333327"/>
    <n v="-0.89222966868902032"/>
  </r>
  <r>
    <n v="340"/>
    <n v="137"/>
    <d v="2025-10-05T00:00:00"/>
    <n v="41"/>
    <n v="7"/>
    <n v="333.56310000000002"/>
    <x v="133"/>
    <x v="6"/>
    <n v="215.202"/>
    <n v="358.67"/>
    <n v="3"/>
    <n v="428.6321273463347"/>
    <n v="4109.2999999999993"/>
    <n v="13676.087100000001"/>
    <n v="4852.8051000000005"/>
    <n v="-3775.7368999999994"/>
    <n v="-0.91882726985131291"/>
  </r>
  <r>
    <n v="341"/>
    <n v="95"/>
    <d v="2025-07-23T00:00:00"/>
    <n v="7"/>
    <n v="4"/>
    <n v="6689.9232000000002"/>
    <x v="51"/>
    <x v="7"/>
    <n v="4181.2020000000002"/>
    <n v="6968.67"/>
    <n v="2"/>
    <n v="8117.3623558526688"/>
    <n v="2797.7239999999997"/>
    <n v="46829.462400000004"/>
    <n v="17561.0484"/>
    <n v="3892.1992000000005"/>
    <n v="1.3912019913329552"/>
  </r>
  <r>
    <n v="342"/>
    <n v="79"/>
    <d v="2023-12-19T00:00:00"/>
    <n v="50"/>
    <n v="9"/>
    <n v="2009.2162999999998"/>
    <x v="134"/>
    <x v="2"/>
    <n v="1324.7579999999998"/>
    <n v="2207.9299999999998"/>
    <n v="1"/>
    <n v="2771.747967635069"/>
    <n v="197.005"/>
    <n v="100460.81499999999"/>
    <n v="34222.915000000001"/>
    <n v="1812.2112999999999"/>
    <n v="9.1988086596786882"/>
  </r>
  <r>
    <n v="343"/>
    <n v="64"/>
    <d v="2024-03-29T00:00:00"/>
    <n v="12"/>
    <n v="10"/>
    <n v="2880"/>
    <x v="31"/>
    <x v="2"/>
    <n v="1920"/>
    <n v="3200"/>
    <n v="2"/>
    <n v="3261.649672002005"/>
    <n v="3782.0099999999998"/>
    <n v="34560"/>
    <n v="11520"/>
    <n v="-902.00999999999976"/>
    <n v="-0.2385001626119444"/>
  </r>
  <r>
    <n v="344"/>
    <n v="90"/>
    <d v="2024-02-13T00:00:00"/>
    <n v="43"/>
    <n v="4"/>
    <n v="1321.6415999999999"/>
    <x v="0"/>
    <x v="0"/>
    <n v="826.02599999999995"/>
    <n v="1376.71"/>
    <n v="4"/>
    <n v="1386.4380883575873"/>
    <n v="2414.7550000000001"/>
    <n v="56830.588799999998"/>
    <n v="21311.470799999999"/>
    <n v="-1093.1134000000002"/>
    <n v="-0.45268087238663968"/>
  </r>
  <r>
    <n v="345"/>
    <n v="137"/>
    <d v="2024-03-05T00:00:00"/>
    <n v="36"/>
    <n v="10"/>
    <n v="322.803"/>
    <x v="133"/>
    <x v="6"/>
    <n v="215.202"/>
    <n v="358.67"/>
    <n v="3"/>
    <n v="429.29849400856051"/>
    <n v="4109.2999999999993"/>
    <n v="11620.907999999999"/>
    <n v="3873.636"/>
    <n v="-3786.4969999999994"/>
    <n v="-0.92144574501739962"/>
  </r>
  <r>
    <n v="346"/>
    <n v="40"/>
    <d v="2023-03-07T00:00:00"/>
    <n v="4"/>
    <n v="7"/>
    <n v="457.81109999999995"/>
    <x v="9"/>
    <x v="3"/>
    <n v="295.36199999999997"/>
    <n v="492.27"/>
    <n v="1"/>
    <n v="579.84094319503777"/>
    <n v="603.70600000000002"/>
    <n v="1831.2443999999998"/>
    <n v="649.79639999999995"/>
    <n v="-145.89490000000006"/>
    <n v="-0.24166547955461776"/>
  </r>
  <r>
    <n v="347"/>
    <n v="74"/>
    <d v="2024-12-25T00:00:00"/>
    <n v="43"/>
    <n v="2"/>
    <n v="1867.1058"/>
    <x v="78"/>
    <x v="3"/>
    <n v="1143.126"/>
    <n v="1905.21"/>
    <n v="5"/>
    <n v="1941.0265880100014"/>
    <n v="2585.9039999999995"/>
    <n v="80285.549400000004"/>
    <n v="31131.131400000002"/>
    <n v="-718.7981999999995"/>
    <n v="-0.27796785959571568"/>
  </r>
  <r>
    <n v="348"/>
    <n v="98"/>
    <d v="2025-07-15T00:00:00"/>
    <n v="13"/>
    <n v="4"/>
    <n v="7495.3728000000001"/>
    <x v="124"/>
    <x v="1"/>
    <n v="4684.6080000000002"/>
    <n v="7807.68"/>
    <n v="3"/>
    <n v="8195.3201144189807"/>
    <n v="6533.69"/>
    <n v="97439.846399999995"/>
    <n v="36539.9424"/>
    <n v="961.6828000000005"/>
    <n v="0.14718831165849627"/>
  </r>
  <r>
    <n v="349"/>
    <n v="17"/>
    <d v="2023-02-28T00:00:00"/>
    <n v="25"/>
    <n v="6"/>
    <n v="2800.4198000000001"/>
    <x v="135"/>
    <x v="4"/>
    <n v="1787.502"/>
    <n v="2979.17"/>
    <n v="2"/>
    <n v="3793.8870895671562"/>
    <n v="1105.6675"/>
    <n v="70010.49500000001"/>
    <n v="25322.945000000003"/>
    <n v="1694.7523000000001"/>
    <n v="1.5327865746257352"/>
  </r>
  <r>
    <n v="350"/>
    <n v="85"/>
    <d v="2025-10-12T00:00:00"/>
    <n v="28"/>
    <n v="3"/>
    <n v="3640.4391000000001"/>
    <x v="42"/>
    <x v="3"/>
    <n v="2251.8180000000002"/>
    <n v="3753.03"/>
    <n v="1"/>
    <n v="4819.2352733139678"/>
    <n v="3340.25"/>
    <n v="101932.2948"/>
    <n v="38881.390799999994"/>
    <n v="300.18910000000005"/>
    <n v="8.987024923284187E-2"/>
  </r>
  <r>
    <n v="351"/>
    <n v="53"/>
    <d v="2023-06-09T00:00:00"/>
    <n v="8"/>
    <n v="8"/>
    <n v="3187.2572"/>
    <x v="120"/>
    <x v="2"/>
    <n v="2078.6459999999997"/>
    <n v="3464.41"/>
    <n v="4"/>
    <n v="4181.3864867804177"/>
    <n v="954.33000000000015"/>
    <n v="25498.0576"/>
    <n v="8868.8896000000022"/>
    <n v="2232.9272000000001"/>
    <n v="2.3397851896094641"/>
  </r>
  <r>
    <n v="352"/>
    <n v="93"/>
    <d v="2025-11-18T00:00:00"/>
    <n v="11"/>
    <n v="5"/>
    <n v="7279.441499999999"/>
    <x v="66"/>
    <x v="2"/>
    <n v="4597.5419999999995"/>
    <n v="7662.57"/>
    <n v="3"/>
    <n v="8315.411524805746"/>
    <n v="991.00333333333344"/>
    <n v="80073.856499999994"/>
    <n v="29500.894499999995"/>
    <n v="6288.4381666666659"/>
    <n v="6.345526755712223"/>
  </r>
  <r>
    <n v="353"/>
    <n v="110"/>
    <d v="2023-12-03T00:00:00"/>
    <n v="15"/>
    <n v="10"/>
    <n v="1398.789"/>
    <x v="91"/>
    <x v="2"/>
    <n v="932.52599999999995"/>
    <n v="1554.21"/>
    <n v="3"/>
    <n v="1655.50935854012"/>
    <n v="764.66499999999996"/>
    <n v="20981.834999999999"/>
    <n v="6993.9450000000006"/>
    <n v="634.12400000000002"/>
    <n v="0.82928341169008657"/>
  </r>
  <r>
    <n v="354"/>
    <n v="34"/>
    <d v="2023-04-02T00:00:00"/>
    <n v="46"/>
    <n v="4"/>
    <n v="1251.2544"/>
    <x v="23"/>
    <x v="1"/>
    <n v="782.03399999999999"/>
    <n v="1303.3900000000001"/>
    <n v="2"/>
    <n v="1538.3115974362981"/>
    <n v="4145.4440000000004"/>
    <n v="57557.702400000002"/>
    <n v="21584.138400000003"/>
    <n v="-2894.1896000000006"/>
    <n v="-0.698161547954815"/>
  </r>
  <r>
    <n v="355"/>
    <n v="35"/>
    <d v="2024-03-28T00:00:00"/>
    <n v="27"/>
    <n v="10"/>
    <n v="121.67100000000001"/>
    <x v="104"/>
    <x v="3"/>
    <n v="81.11399999999999"/>
    <n v="135.19"/>
    <n v="3"/>
    <n v="166.18361237346954"/>
    <n v="2089.5899999999997"/>
    <n v="3285.1170000000002"/>
    <n v="1095.0390000000004"/>
    <n v="-1967.9189999999996"/>
    <n v="-0.94177278796318897"/>
  </r>
  <r>
    <n v="356"/>
    <n v="33"/>
    <d v="2023-05-27T00:00:00"/>
    <n v="24"/>
    <n v="5"/>
    <n v="4800.3404999999993"/>
    <x v="84"/>
    <x v="0"/>
    <n v="3031.7939999999999"/>
    <n v="5052.99"/>
    <n v="3"/>
    <n v="6430.6183363723676"/>
    <n v="2776.7875000000004"/>
    <n v="115208.17199999999"/>
    <n v="42445.115999999987"/>
    <n v="2023.552999999999"/>
    <n v="0.72873887540908289"/>
  </r>
  <r>
    <n v="357"/>
    <n v="3"/>
    <d v="2023-08-14T00:00:00"/>
    <n v="42"/>
    <n v="5"/>
    <n v="4908.4409999999998"/>
    <x v="129"/>
    <x v="2"/>
    <n v="3100.0679999999998"/>
    <n v="5166.78"/>
    <n v="1"/>
    <n v="5972.867137552058"/>
    <n v="7049.42"/>
    <n v="206154.522"/>
    <n v="75951.665999999997"/>
    <n v="-2140.9790000000003"/>
    <n v="-0.30370995060586548"/>
  </r>
  <r>
    <n v="358"/>
    <n v="85"/>
    <d v="2023-09-23T00:00:00"/>
    <n v="5"/>
    <n v="7"/>
    <n v="3490.3179"/>
    <x v="42"/>
    <x v="3"/>
    <n v="2251.8180000000002"/>
    <n v="3753.03"/>
    <n v="1"/>
    <n v="3919.3001926762199"/>
    <n v="3340.25"/>
    <n v="17451.589500000002"/>
    <n v="6192.499499999999"/>
    <n v="150.06790000000001"/>
    <n v="4.4927146171693737E-2"/>
  </r>
  <r>
    <n v="359"/>
    <n v="117"/>
    <d v="2024-08-26T00:00:00"/>
    <n v="25"/>
    <n v="8"/>
    <n v="1957.0056"/>
    <x v="1"/>
    <x v="0"/>
    <n v="1276.3079999999998"/>
    <n v="2127.1799999999998"/>
    <n v="1"/>
    <n v="2511.5726738131352"/>
    <n v="892.9766666666668"/>
    <n v="48925.14"/>
    <n v="17017.440000000006"/>
    <n v="1064.028933333333"/>
    <n v="1.1915528961189723"/>
  </r>
  <r>
    <n v="360"/>
    <n v="42"/>
    <d v="2024-06-22T00:00:00"/>
    <n v="1"/>
    <n v="4"/>
    <n v="410.49599999999998"/>
    <x v="132"/>
    <x v="1"/>
    <n v="256.56"/>
    <n v="427.6"/>
    <n v="2"/>
    <n v="449.67471765432214"/>
    <n v="513.45666666666671"/>
    <n v="410.49599999999998"/>
    <n v="153.93599999999998"/>
    <n v="-102.96066666666673"/>
    <n v="-0.20052454929659766"/>
  </r>
  <r>
    <n v="361"/>
    <n v="96"/>
    <d v="2025-11-30T00:00:00"/>
    <n v="49"/>
    <n v="5"/>
    <n v="5115.2179999999989"/>
    <x v="105"/>
    <x v="4"/>
    <n v="3230.6639999999998"/>
    <n v="5384.44"/>
    <n v="3"/>
    <n v="5701.3045069030813"/>
    <n v="3578.9180000000001"/>
    <n v="250645.68199999994"/>
    <n v="92343.145999999964"/>
    <n v="1536.2999999999988"/>
    <n v="0.42926381660602414"/>
  </r>
  <r>
    <n v="362"/>
    <n v="11"/>
    <d v="2025-11-09T00:00:00"/>
    <n v="31"/>
    <n v="2"/>
    <n v="3136.1959999999999"/>
    <x v="16"/>
    <x v="1"/>
    <n v="1920.12"/>
    <n v="3200.2"/>
    <n v="1"/>
    <n v="3978.6518158433187"/>
    <n v="7089.33"/>
    <n v="97222.076000000001"/>
    <n v="37698.356"/>
    <n v="-3953.134"/>
    <n v="-0.55761743352333715"/>
  </r>
  <r>
    <n v="363"/>
    <n v="1"/>
    <d v="2024-05-20T00:00:00"/>
    <n v="6"/>
    <n v="4"/>
    <n v="1834.5119999999999"/>
    <x v="97"/>
    <x v="7"/>
    <n v="1146.57"/>
    <n v="1910.95"/>
    <n v="1"/>
    <n v="2269.4953315923922"/>
    <n v="4785.0083333333332"/>
    <n v="11007.072"/>
    <n v="4127.652"/>
    <n v="-2950.4963333333335"/>
    <n v="-0.61661257991539553"/>
  </r>
  <r>
    <n v="364"/>
    <n v="133"/>
    <d v="2024-10-02T00:00:00"/>
    <n v="6"/>
    <n v="10"/>
    <n v="5944.41"/>
    <x v="40"/>
    <x v="1"/>
    <n v="3962.9399999999996"/>
    <n v="6604.9"/>
    <n v="4"/>
    <n v="7490.369950452372"/>
    <n v="4666.1933333333336"/>
    <n v="35666.46"/>
    <n v="11888.820000000002"/>
    <n v="1278.2166666666662"/>
    <n v="0.27393135589466922"/>
  </r>
  <r>
    <n v="365"/>
    <n v="6"/>
    <d v="2023-08-16T00:00:00"/>
    <n v="22"/>
    <n v="6"/>
    <n v="3877.6692000000003"/>
    <x v="34"/>
    <x v="0"/>
    <n v="2475.1080000000002"/>
    <n v="4125.18"/>
    <n v="5"/>
    <n v="4380.9896079936325"/>
    <n v="6862.0275000000001"/>
    <n v="85308.722399999999"/>
    <n v="30856.346400000002"/>
    <n v="-2984.3582999999999"/>
    <n v="-0.43490911396085191"/>
  </r>
  <r>
    <n v="366"/>
    <n v="49"/>
    <d v="2024-05-22T00:00:00"/>
    <n v="49"/>
    <n v="2"/>
    <n v="3299.0131999999999"/>
    <x v="136"/>
    <x v="6"/>
    <n v="2019.8040000000001"/>
    <n v="3366.34"/>
    <n v="4"/>
    <n v="3395.1307138386087"/>
    <n v="1635.5425"/>
    <n v="161651.64679999999"/>
    <n v="62681.250799999987"/>
    <n v="1663.4706999999999"/>
    <n v="1.0170758020656754"/>
  </r>
  <r>
    <n v="367"/>
    <n v="8"/>
    <d v="2024-04-29T00:00:00"/>
    <n v="13"/>
    <n v="2"/>
    <n v="5531.0611999999992"/>
    <x v="114"/>
    <x v="1"/>
    <n v="3386.3639999999996"/>
    <n v="5643.94"/>
    <n v="2"/>
    <n v="7068.9304026971458"/>
    <n v="2853.6650000000004"/>
    <n v="71903.795599999983"/>
    <n v="27881.063599999994"/>
    <n v="2677.3961999999988"/>
    <n v="0.9382307313577446"/>
  </r>
  <r>
    <n v="368"/>
    <n v="144"/>
    <d v="2024-01-25T00:00:00"/>
    <n v="24"/>
    <n v="10"/>
    <n v="1420.3980000000001"/>
    <x v="77"/>
    <x v="0"/>
    <n v="946.93200000000002"/>
    <n v="1578.22"/>
    <n v="2"/>
    <n v="1912.2883855219245"/>
    <n v="6414.0239999999994"/>
    <n v="34089.552000000003"/>
    <n v="11363.184000000003"/>
    <n v="-4993.6259999999993"/>
    <n v="-0.77854806904370788"/>
  </r>
  <r>
    <n v="369"/>
    <n v="133"/>
    <d v="2025-03-04T00:00:00"/>
    <n v="30"/>
    <n v="8"/>
    <n v="6076.5079999999998"/>
    <x v="40"/>
    <x v="1"/>
    <n v="3962.9399999999996"/>
    <n v="6604.9"/>
    <n v="4"/>
    <n v="7417.7808812720659"/>
    <n v="4666.1933333333336"/>
    <n v="182295.24"/>
    <n v="63407.040000000008"/>
    <n v="1410.3146666666662"/>
    <n v="0.30224094158121739"/>
  </r>
  <r>
    <n v="370"/>
    <n v="104"/>
    <d v="2024-01-20T00:00:00"/>
    <n v="5"/>
    <n v="8"/>
    <n v="2974.8660000000004"/>
    <x v="44"/>
    <x v="2"/>
    <n v="1940.13"/>
    <n v="3233.55"/>
    <n v="1"/>
    <n v="3425.6290793271987"/>
    <n v="5121.3466666666664"/>
    <n v="14874.330000000002"/>
    <n v="5173.6800000000021"/>
    <n v="-2146.4806666666659"/>
    <n v="-0.41912426679441073"/>
  </r>
  <r>
    <n v="371"/>
    <n v="108"/>
    <d v="2023-07-03T00:00:00"/>
    <n v="38"/>
    <n v="7"/>
    <n v="781.70219999999995"/>
    <x v="82"/>
    <x v="6"/>
    <n v="504.32399999999996"/>
    <n v="840.54"/>
    <n v="3"/>
    <n v="912.83247978662246"/>
    <n v="5163.7120000000004"/>
    <n v="29704.683599999997"/>
    <n v="10540.3716"/>
    <n v="-4382.0098000000007"/>
    <n v="-0.84861622801581504"/>
  </r>
  <r>
    <n v="372"/>
    <n v="133"/>
    <d v="2024-06-02T00:00:00"/>
    <n v="14"/>
    <n v="10"/>
    <n v="5944.41"/>
    <x v="40"/>
    <x v="1"/>
    <n v="3962.9399999999996"/>
    <n v="6604.9"/>
    <n v="4"/>
    <n v="6809.7276159075764"/>
    <n v="4666.1933333333336"/>
    <n v="83221.739999999991"/>
    <n v="27740.58"/>
    <n v="1278.2166666666662"/>
    <n v="0.27393135589466922"/>
  </r>
  <r>
    <n v="373"/>
    <n v="77"/>
    <d v="2023-08-12T00:00:00"/>
    <n v="23"/>
    <n v="10"/>
    <n v="1805.3820000000001"/>
    <x v="48"/>
    <x v="7"/>
    <n v="1203.588"/>
    <n v="2005.98"/>
    <n v="1"/>
    <n v="2565.150328646338"/>
    <n v="4139.2699999999995"/>
    <n v="41523.786"/>
    <n v="13841.262000000002"/>
    <n v="-2333.8879999999995"/>
    <n v="-0.56384048395006847"/>
  </r>
  <r>
    <n v="374"/>
    <n v="12"/>
    <d v="2024-10-12T00:00:00"/>
    <n v="26"/>
    <n v="4"/>
    <n v="1550.6399999999999"/>
    <x v="122"/>
    <x v="4"/>
    <n v="969.15"/>
    <n v="1615.25"/>
    <n v="3"/>
    <n v="1918.5444271012379"/>
    <n v="4365.21"/>
    <n v="40316.639999999999"/>
    <n v="15118.739999999998"/>
    <n v="-2814.57"/>
    <n v="-0.64477310369947838"/>
  </r>
  <r>
    <n v="375"/>
    <n v="107"/>
    <d v="2024-07-28T00:00:00"/>
    <n v="4"/>
    <n v="3"/>
    <n v="1520.8630000000001"/>
    <x v="137"/>
    <x v="6"/>
    <n v="940.74"/>
    <n v="1567.9"/>
    <n v="2"/>
    <n v="2002.6041040428408"/>
    <n v="979.96"/>
    <n v="6083.4520000000002"/>
    <n v="2320.4920000000002"/>
    <n v="540.90300000000002"/>
    <n v="0.55196436589248543"/>
  </r>
  <r>
    <n v="376"/>
    <n v="52"/>
    <d v="2023-02-24T00:00:00"/>
    <n v="26"/>
    <n v="4"/>
    <n v="4280.8127999999997"/>
    <x v="75"/>
    <x v="2"/>
    <n v="2675.5080000000003"/>
    <n v="4459.18"/>
    <n v="3"/>
    <n v="5127.0372843539099"/>
    <n v="6258.09"/>
    <n v="111301.13279999999"/>
    <n v="41737.924799999986"/>
    <n v="-1977.2772000000004"/>
    <n v="-0.31595537935696044"/>
  </r>
  <r>
    <n v="377"/>
    <n v="125"/>
    <d v="2024-06-11T00:00:00"/>
    <n v="31"/>
    <n v="9"/>
    <n v="3959.4737"/>
    <x v="22"/>
    <x v="0"/>
    <n v="2610.6419999999998"/>
    <n v="4351.07"/>
    <n v="5"/>
    <n v="5400.9601375461598"/>
    <n v="5094.8040000000001"/>
    <n v="122743.6847"/>
    <n v="41813.782700000003"/>
    <n v="-1135.3303000000001"/>
    <n v="-0.22284081978423509"/>
  </r>
  <r>
    <n v="378"/>
    <n v="136"/>
    <d v="2024-02-04T00:00:00"/>
    <n v="5"/>
    <n v="2"/>
    <n v="5053.2425999999996"/>
    <x v="30"/>
    <x v="3"/>
    <n v="3093.8219999999997"/>
    <n v="5156.37"/>
    <n v="3"/>
    <n v="6526.2510584339016"/>
    <n v="5805.195999999999"/>
    <n v="25266.212999999996"/>
    <n v="9797.1029999999992"/>
    <n v="-751.95339999999942"/>
    <n v="-0.12953109593543433"/>
  </r>
  <r>
    <n v="379"/>
    <n v="77"/>
    <d v="2023-05-31T00:00:00"/>
    <n v="9"/>
    <n v="10"/>
    <n v="1805.3820000000001"/>
    <x v="48"/>
    <x v="7"/>
    <n v="1203.588"/>
    <n v="2005.98"/>
    <n v="1"/>
    <n v="2302.2683137020294"/>
    <n v="4139.2699999999995"/>
    <n v="16248.438"/>
    <n v="5416.1460000000006"/>
    <n v="-2333.8879999999995"/>
    <n v="-0.56384048395006847"/>
  </r>
  <r>
    <n v="380"/>
    <n v="19"/>
    <d v="2023-10-14T00:00:00"/>
    <n v="39"/>
    <n v="4"/>
    <n v="3274.3968"/>
    <x v="95"/>
    <x v="0"/>
    <n v="2046.4979999999998"/>
    <n v="3410.83"/>
    <n v="2"/>
    <n v="4048.8288681331974"/>
    <n v="1213.8383333333334"/>
    <n v="127701.4752"/>
    <n v="47888.053200000009"/>
    <n v="2060.5584666666664"/>
    <n v="1.6975559348238298"/>
  </r>
  <r>
    <n v="381"/>
    <n v="47"/>
    <d v="2024-02-03T00:00:00"/>
    <n v="3"/>
    <n v="4"/>
    <n v="3277.0367999999999"/>
    <x v="112"/>
    <x v="2"/>
    <n v="2048.1479999999997"/>
    <n v="3413.58"/>
    <n v="5"/>
    <n v="3621.4529483394426"/>
    <n v="2051.0440000000003"/>
    <n v="9831.1103999999996"/>
    <n v="3686.6664000000005"/>
    <n v="1225.9927999999995"/>
    <n v="0.5977408578265504"/>
  </r>
  <r>
    <n v="382"/>
    <n v="68"/>
    <d v="2025-03-17T00:00:00"/>
    <n v="39"/>
    <n v="10"/>
    <n v="5439.1409999999996"/>
    <x v="53"/>
    <x v="6"/>
    <n v="3626.0939999999996"/>
    <n v="6043.49"/>
    <n v="2"/>
    <n v="6575.9906928018254"/>
    <n v="796.21333333333325"/>
    <n v="212126.49899999998"/>
    <n v="70708.832999999999"/>
    <n v="4642.9276666666665"/>
    <n v="5.8312608848549807"/>
  </r>
  <r>
    <n v="383"/>
    <n v="52"/>
    <d v="2025-11-10T00:00:00"/>
    <n v="27"/>
    <n v="7"/>
    <n v="4147.0374000000002"/>
    <x v="75"/>
    <x v="2"/>
    <n v="2675.5080000000003"/>
    <n v="4459.18"/>
    <n v="3"/>
    <n v="4609.7672460720269"/>
    <n v="6258.09"/>
    <n v="111970.0098"/>
    <n v="39731.293799999999"/>
    <n v="-2111.0526"/>
    <n v="-0.33733177375205531"/>
  </r>
  <r>
    <n v="384"/>
    <n v="8"/>
    <d v="2023-07-27T00:00:00"/>
    <n v="44"/>
    <n v="2"/>
    <n v="5531.0611999999992"/>
    <x v="114"/>
    <x v="1"/>
    <n v="3386.3639999999996"/>
    <n v="5643.94"/>
    <n v="2"/>
    <n v="6172.4228866417725"/>
    <n v="2853.6650000000004"/>
    <n v="243366.69279999996"/>
    <n v="94366.676799999987"/>
    <n v="2677.3961999999988"/>
    <n v="0.9382307313577446"/>
  </r>
  <r>
    <n v="385"/>
    <n v="107"/>
    <d v="2023-02-16T00:00:00"/>
    <n v="4"/>
    <n v="3"/>
    <n v="1520.8630000000001"/>
    <x v="137"/>
    <x v="6"/>
    <n v="940.74"/>
    <n v="1567.9"/>
    <n v="2"/>
    <n v="1765.688786297241"/>
    <n v="979.96"/>
    <n v="6083.4520000000002"/>
    <n v="2320.4920000000002"/>
    <n v="540.90300000000002"/>
    <n v="0.55196436589248543"/>
  </r>
  <r>
    <n v="386"/>
    <n v="50"/>
    <d v="2024-08-19T00:00:00"/>
    <n v="50"/>
    <n v="2"/>
    <n v="1329.566"/>
    <x v="10"/>
    <x v="1"/>
    <n v="814.02"/>
    <n v="1356.7"/>
    <n v="3"/>
    <n v="1648.8015248893357"/>
    <n v="4909.6483333333335"/>
    <n v="66478.3"/>
    <n v="25777.300000000003"/>
    <n v="-3580.0823333333337"/>
    <n v="-0.72919323142288883"/>
  </r>
  <r>
    <n v="387"/>
    <n v="4"/>
    <d v="2024-03-16T00:00:00"/>
    <n v="18"/>
    <n v="10"/>
    <n v="6376.8420000000006"/>
    <x v="62"/>
    <x v="4"/>
    <n v="4251.2280000000001"/>
    <n v="7085.38"/>
    <n v="4"/>
    <n v="7862.6927680078534"/>
    <n v="3570.2466666666674"/>
    <n v="114783.15600000002"/>
    <n v="38261.052000000011"/>
    <n v="2806.5953333333332"/>
    <n v="0.78610684229100869"/>
  </r>
  <r>
    <n v="388"/>
    <n v="14"/>
    <d v="2023-07-09T00:00:00"/>
    <n v="6"/>
    <n v="7"/>
    <n v="5599.1765999999998"/>
    <x v="138"/>
    <x v="7"/>
    <n v="3612.3719999999998"/>
    <n v="6020.62"/>
    <n v="5"/>
    <n v="6210.0387420422921"/>
    <n v="3652.5316666666672"/>
    <n v="33595.059600000001"/>
    <n v="11920.827600000001"/>
    <n v="1946.6449333333326"/>
    <n v="0.5329577156301174"/>
  </r>
  <r>
    <n v="389"/>
    <n v="119"/>
    <d v="2025-06-07T00:00:00"/>
    <n v="22"/>
    <n v="6"/>
    <n v="1825.3953999999999"/>
    <x v="45"/>
    <x v="7"/>
    <n v="1165.146"/>
    <n v="1941.91"/>
    <n v="4"/>
    <n v="1967.8061532493257"/>
    <n v="4902.3539999999994"/>
    <n v="40158.698799999998"/>
    <n v="14525.486799999999"/>
    <n v="-3076.9585999999995"/>
    <n v="-0.62764920689121995"/>
  </r>
  <r>
    <n v="390"/>
    <n v="52"/>
    <d v="2024-01-15T00:00:00"/>
    <n v="25"/>
    <n v="10"/>
    <n v="4013.2620000000002"/>
    <x v="75"/>
    <x v="2"/>
    <n v="2675.5080000000003"/>
    <n v="4459.18"/>
    <n v="3"/>
    <n v="5206.2072873268007"/>
    <n v="6258.09"/>
    <n v="100331.55"/>
    <n v="33443.85"/>
    <n v="-2244.828"/>
    <n v="-0.35870816814715034"/>
  </r>
  <r>
    <n v="391"/>
    <n v="41"/>
    <d v="2025-10-14T00:00:00"/>
    <n v="8"/>
    <n v="5"/>
    <n v="2927.3964999999998"/>
    <x v="72"/>
    <x v="7"/>
    <n v="1848.8819999999998"/>
    <n v="3081.47"/>
    <n v="1"/>
    <n v="3802.0667205141426"/>
    <n v="1589.1249999999998"/>
    <n v="23419.171999999999"/>
    <n v="8628.116"/>
    <n v="1338.2715000000001"/>
    <n v="0.84214363250216329"/>
  </r>
  <r>
    <n v="392"/>
    <n v="9"/>
    <d v="2023-05-07T00:00:00"/>
    <n v="2"/>
    <n v="5"/>
    <n v="2720.6574999999998"/>
    <x v="20"/>
    <x v="0"/>
    <n v="1718.31"/>
    <n v="2863.85"/>
    <n v="5"/>
    <n v="3581.8849019142021"/>
    <n v="6325.1699999999992"/>
    <n v="5441.3149999999996"/>
    <n v="2004.6949999999997"/>
    <n v="-3604.5124999999994"/>
    <n v="-0.56986808259698951"/>
  </r>
  <r>
    <n v="393"/>
    <n v="84"/>
    <d v="2025-12-15T00:00:00"/>
    <n v="33"/>
    <n v="7"/>
    <n v="7216.9487999999992"/>
    <x v="80"/>
    <x v="6"/>
    <n v="4656.0959999999995"/>
    <n v="7760.16"/>
    <n v="1"/>
    <n v="9838.3769341807874"/>
    <n v="2588.9250000000002"/>
    <n v="238159.31039999999"/>
    <n v="84508.142399999982"/>
    <n v="4628.023799999999"/>
    <n v="1.7876237434456381"/>
  </r>
  <r>
    <n v="394"/>
    <n v="110"/>
    <d v="2023-02-02T00:00:00"/>
    <n v="35"/>
    <n v="9"/>
    <n v="1414.3311000000001"/>
    <x v="91"/>
    <x v="2"/>
    <n v="932.52599999999995"/>
    <n v="1554.21"/>
    <n v="3"/>
    <n v="1922.7230029653103"/>
    <n v="764.66499999999996"/>
    <n v="49501.588500000005"/>
    <n v="16863.178500000005"/>
    <n v="649.66610000000014"/>
    <n v="0.84960878293108766"/>
  </r>
  <r>
    <n v="395"/>
    <n v="21"/>
    <d v="2025-12-04T00:00:00"/>
    <n v="12"/>
    <n v="10"/>
    <n v="2591.3700000000003"/>
    <x v="67"/>
    <x v="0"/>
    <n v="1727.5800000000002"/>
    <n v="2879.3"/>
    <n v="3"/>
    <n v="3439.0024222194716"/>
    <n v="4150.0079999999998"/>
    <n v="31096.440000000002"/>
    <n v="10365.480000000003"/>
    <n v="-1558.6379999999995"/>
    <n v="-0.37557469768732965"/>
  </r>
  <r>
    <n v="396"/>
    <n v="2"/>
    <d v="2025-12-01T00:00:00"/>
    <n v="39"/>
    <n v="10"/>
    <n v="3982.3019999999997"/>
    <x v="64"/>
    <x v="0"/>
    <n v="2654.8679999999999"/>
    <n v="4424.78"/>
    <n v="4"/>
    <n v="5112.7061495906"/>
    <n v="1807.3"/>
    <n v="155309.77799999999"/>
    <n v="51769.925999999992"/>
    <n v="2175.0019999999995"/>
    <n v="1.2034537708183475"/>
  </r>
  <r>
    <n v="397"/>
    <n v="30"/>
    <d v="2024-11-03T00:00:00"/>
    <n v="14"/>
    <n v="8"/>
    <n v="1884.4728000000002"/>
    <x v="123"/>
    <x v="1"/>
    <n v="1229.0040000000001"/>
    <n v="2048.34"/>
    <n v="1"/>
    <n v="2403.1008388106484"/>
    <n v="4153.6075000000001"/>
    <n v="26382.619200000005"/>
    <n v="9176.5632000000005"/>
    <n v="-2269.1346999999996"/>
    <n v="-0.54630455573859582"/>
  </r>
  <r>
    <n v="398"/>
    <n v="23"/>
    <d v="2024-06-12T00:00:00"/>
    <n v="46"/>
    <n v="8"/>
    <n v="3646.3280000000004"/>
    <x v="118"/>
    <x v="5"/>
    <n v="2378.04"/>
    <n v="3963.4"/>
    <n v="5"/>
    <n v="4923.9501112665585"/>
    <n v="5343.3279999999995"/>
    <n v="167731.08800000002"/>
    <n v="58341.248000000021"/>
    <n v="-1696.9999999999991"/>
    <n v="-0.31759233196988829"/>
  </r>
  <r>
    <n v="399"/>
    <n v="143"/>
    <d v="2024-05-13T00:00:00"/>
    <n v="5"/>
    <n v="5"/>
    <n v="285.27550000000002"/>
    <x v="139"/>
    <x v="1"/>
    <n v="180.17400000000001"/>
    <n v="300.29000000000002"/>
    <n v="5"/>
    <n v="371.59993493300379"/>
    <n v="2883.9133333333339"/>
    <n v="1426.3775000000001"/>
    <n v="525.50750000000005"/>
    <n v="-2598.6378333333337"/>
    <n v="-0.90108041850541043"/>
  </r>
  <r>
    <n v="400"/>
    <n v="85"/>
    <d v="2023-07-23T00:00:00"/>
    <n v="5"/>
    <n v="5"/>
    <n v="3565.3784999999998"/>
    <x v="42"/>
    <x v="3"/>
    <n v="2251.8180000000002"/>
    <n v="3753.03"/>
    <n v="1"/>
    <n v="4568.5359408544737"/>
    <n v="3340.25"/>
    <n v="17826.892499999998"/>
    <n v="6567.802499999998"/>
    <n v="225.1284999999998"/>
    <n v="6.7398697702267737E-2"/>
  </r>
  <r>
    <n v="401"/>
    <n v="150"/>
    <d v="2023-04-13T00:00:00"/>
    <n v="7"/>
    <n v="2"/>
    <n v="2243.9255999999996"/>
    <x v="29"/>
    <x v="1"/>
    <n v="1373.8319999999999"/>
    <n v="2289.7199999999998"/>
    <n v="3"/>
    <n v="2680.2219303624552"/>
    <n v="1810.3166666666666"/>
    <n v="15707.479199999998"/>
    <n v="6090.6551999999974"/>
    <n v="433.60893333333297"/>
    <n v="0.23952104143842218"/>
  </r>
  <r>
    <n v="402"/>
    <n v="63"/>
    <d v="2025-07-04T00:00:00"/>
    <n v="50"/>
    <n v="4"/>
    <n v="6721.6992"/>
    <x v="41"/>
    <x v="7"/>
    <n v="4201.0619999999999"/>
    <n v="7001.77"/>
    <n v="4"/>
    <n v="8671.793739419285"/>
    <n v="4859.22"/>
    <n v="336084.96"/>
    <n v="126031.86"/>
    <n v="1862.4791999999998"/>
    <n v="0.38328768814748038"/>
  </r>
  <r>
    <n v="403"/>
    <n v="134"/>
    <d v="2025-08-16T00:00:00"/>
    <n v="5"/>
    <n v="2"/>
    <n v="658.76580000000001"/>
    <x v="121"/>
    <x v="5"/>
    <n v="403.32600000000002"/>
    <n v="672.21"/>
    <n v="1"/>
    <n v="699.73382488563698"/>
    <n v="4666.126666666667"/>
    <n v="3293.8290000000002"/>
    <n v="1277.1990000000001"/>
    <n v="-4007.3608666666669"/>
    <n v="-0.8588195634066228"/>
  </r>
  <r>
    <n v="404"/>
    <n v="7"/>
    <d v="2025-10-27T00:00:00"/>
    <n v="20"/>
    <n v="9"/>
    <n v="7611.9679999999998"/>
    <x v="24"/>
    <x v="3"/>
    <n v="5018.8799999999992"/>
    <n v="8364.7999999999993"/>
    <n v="1"/>
    <n v="9462.4460517897569"/>
    <n v="1679.8333333333333"/>
    <n v="152239.35999999999"/>
    <n v="51861.760000000009"/>
    <n v="5932.1346666666668"/>
    <n v="3.5313828752852467"/>
  </r>
  <r>
    <n v="405"/>
    <n v="88"/>
    <d v="2024-03-30T00:00:00"/>
    <n v="17"/>
    <n v="6"/>
    <n v="5862.1502"/>
    <x v="116"/>
    <x v="5"/>
    <n v="3741.7979999999998"/>
    <n v="6236.33"/>
    <n v="5"/>
    <n v="7170.9625861953837"/>
    <n v="4981.5050000000001"/>
    <n v="99656.553400000004"/>
    <n v="36045.987400000005"/>
    <n v="880.64519999999993"/>
    <n v="0.17678296016966757"/>
  </r>
  <r>
    <n v="406"/>
    <n v="24"/>
    <d v="2025-04-01T00:00:00"/>
    <n v="6"/>
    <n v="10"/>
    <n v="3596.8679999999999"/>
    <x v="32"/>
    <x v="7"/>
    <n v="2397.9119999999998"/>
    <n v="3996.52"/>
    <n v="4"/>
    <n v="4859.898163232293"/>
    <n v="3028.7733333333331"/>
    <n v="21581.207999999999"/>
    <n v="7193.7360000000008"/>
    <n v="568.09466666666685"/>
    <n v="0.18756592327807084"/>
  </r>
  <r>
    <n v="407"/>
    <n v="6"/>
    <d v="2025-08-15T00:00:00"/>
    <n v="33"/>
    <n v="8"/>
    <n v="3795.1656000000003"/>
    <x v="34"/>
    <x v="0"/>
    <n v="2475.1080000000002"/>
    <n v="4125.18"/>
    <n v="5"/>
    <n v="5028.9951031379114"/>
    <n v="6862.0275000000001"/>
    <n v="125240.46480000002"/>
    <n v="43561.900800000003"/>
    <n v="-3066.8618999999999"/>
    <n v="-0.44693232430211038"/>
  </r>
  <r>
    <n v="408"/>
    <n v="11"/>
    <d v="2024-12-14T00:00:00"/>
    <n v="3"/>
    <n v="4"/>
    <n v="3072.1919999999996"/>
    <x v="16"/>
    <x v="1"/>
    <n v="1920.12"/>
    <n v="3200.2"/>
    <n v="1"/>
    <n v="3955.8073186369566"/>
    <n v="7089.33"/>
    <n v="9216.5759999999991"/>
    <n v="3456.215999999999"/>
    <n v="-4017.1380000000004"/>
    <n v="-0.56664564916571813"/>
  </r>
  <r>
    <n v="409"/>
    <n v="96"/>
    <d v="2024-10-16T00:00:00"/>
    <n v="23"/>
    <n v="9"/>
    <n v="4899.8404"/>
    <x v="105"/>
    <x v="4"/>
    <n v="3230.6639999999998"/>
    <n v="5384.44"/>
    <n v="3"/>
    <n v="5927.5563548591517"/>
    <n v="3578.9180000000001"/>
    <n v="112696.32920000001"/>
    <n v="38391.05720000001"/>
    <n v="1320.9223999999999"/>
    <n v="0.36908428748577082"/>
  </r>
  <r>
    <n v="410"/>
    <n v="115"/>
    <d v="2023-11-17T00:00:00"/>
    <n v="11"/>
    <n v="4"/>
    <n v="4503.6287999999995"/>
    <x v="71"/>
    <x v="2"/>
    <n v="2814.7679999999996"/>
    <n v="4691.28"/>
    <n v="2"/>
    <n v="6047.3199764585188"/>
    <n v="4456.5325000000003"/>
    <n v="49539.916799999992"/>
    <n v="18577.468799999999"/>
    <n v="47.096299999999246"/>
    <n v="1.0567924726230369E-2"/>
  </r>
  <r>
    <n v="411"/>
    <n v="135"/>
    <d v="2023-08-19T00:00:00"/>
    <n v="19"/>
    <n v="7"/>
    <n v="7235.1302999999998"/>
    <x v="140"/>
    <x v="0"/>
    <n v="4667.826"/>
    <n v="7779.71"/>
    <n v="5"/>
    <n v="8803.3663250500904"/>
    <n v="4172.7833333333338"/>
    <n v="137467.47570000001"/>
    <n v="48778.781699999992"/>
    <n v="3062.346966666666"/>
    <n v="0.73388592745849068"/>
  </r>
  <r>
    <n v="412"/>
    <n v="147"/>
    <d v="2023-04-12T00:00:00"/>
    <n v="15"/>
    <n v="6"/>
    <n v="4309.2607999999991"/>
    <x v="37"/>
    <x v="4"/>
    <n v="2750.5919999999996"/>
    <n v="4584.32"/>
    <n v="1"/>
    <n v="5891.0845024949031"/>
    <n v="769.14"/>
    <n v="64638.911999999989"/>
    <n v="23380.031999999992"/>
    <n v="3540.1207999999992"/>
    <n v="4.602700158618716"/>
  </r>
  <r>
    <n v="413"/>
    <n v="118"/>
    <d v="2025-06-19T00:00:00"/>
    <n v="35"/>
    <n v="10"/>
    <n v="2834.3250000000003"/>
    <x v="131"/>
    <x v="1"/>
    <n v="1889.55"/>
    <n v="3149.25"/>
    <n v="5"/>
    <n v="3252.9138205417726"/>
    <n v="224.52399999999997"/>
    <n v="99201.375000000015"/>
    <n v="33067.125000000015"/>
    <n v="2609.8010000000004"/>
    <n v="11.623706151680892"/>
  </r>
  <r>
    <n v="414"/>
    <n v="110"/>
    <d v="2023-07-17T00:00:00"/>
    <n v="33"/>
    <n v="8"/>
    <n v="1429.8732"/>
    <x v="91"/>
    <x v="2"/>
    <n v="932.52599999999995"/>
    <n v="1554.21"/>
    <n v="3"/>
    <n v="1909.5174185400322"/>
    <n v="764.66499999999996"/>
    <n v="47185.815600000002"/>
    <n v="16412.457600000002"/>
    <n v="665.20820000000003"/>
    <n v="0.86993415417208853"/>
  </r>
  <r>
    <n v="415"/>
    <n v="64"/>
    <d v="2024-03-31T00:00:00"/>
    <n v="36"/>
    <n v="4"/>
    <n v="3072"/>
    <x v="31"/>
    <x v="2"/>
    <n v="1920"/>
    <n v="3200"/>
    <n v="2"/>
    <n v="4149.384645211001"/>
    <n v="3782.0099999999998"/>
    <n v="110592"/>
    <n v="41472"/>
    <n v="-710.00999999999976"/>
    <n v="-0.18773350678607403"/>
  </r>
  <r>
    <n v="416"/>
    <n v="54"/>
    <d v="2023-05-29T00:00:00"/>
    <n v="4"/>
    <n v="7"/>
    <n v="864.48149999999987"/>
    <x v="50"/>
    <x v="2"/>
    <n v="557.7299999999999"/>
    <n v="929.55"/>
    <n v="3"/>
    <n v="1180.0307595741174"/>
    <n v="2958.2974999999997"/>
    <n v="3457.9259999999995"/>
    <n v="1227.0059999999999"/>
    <n v="-2093.8159999999998"/>
    <n v="-0.70777736181029804"/>
  </r>
  <r>
    <n v="417"/>
    <n v="149"/>
    <d v="2025-12-11T00:00:00"/>
    <n v="15"/>
    <n v="9"/>
    <n v="5576.2798000000003"/>
    <x v="14"/>
    <x v="5"/>
    <n v="3676.6679999999997"/>
    <n v="6127.78"/>
    <n v="4"/>
    <n v="6265.6872846356737"/>
    <n v="3159.4639999999999"/>
    <n v="83644.197"/>
    <n v="28494.177000000011"/>
    <n v="2416.8158000000003"/>
    <n v="0.76494487672592582"/>
  </r>
  <r>
    <n v="418"/>
    <n v="128"/>
    <d v="2024-10-07T00:00:00"/>
    <n v="1"/>
    <n v="4"/>
    <n v="5052.0960000000005"/>
    <x v="117"/>
    <x v="7"/>
    <n v="3157.56"/>
    <n v="5262.6"/>
    <n v="4"/>
    <n v="6799.0749391169156"/>
    <n v="1349.8883333333335"/>
    <n v="5052.0960000000005"/>
    <n v="1894.5360000000005"/>
    <n v="3702.2076666666671"/>
    <n v="2.7426029066601805"/>
  </r>
  <r>
    <n v="419"/>
    <n v="70"/>
    <d v="2023-09-07T00:00:00"/>
    <n v="48"/>
    <n v="5"/>
    <n v="3828.2624999999998"/>
    <x v="98"/>
    <x v="7"/>
    <n v="2417.85"/>
    <n v="4029.75"/>
    <n v="1"/>
    <n v="5177.4069517070348"/>
    <n v="2158.7083333333335"/>
    <n v="183756.59999999998"/>
    <n v="67699.799999999988"/>
    <n v="1669.5541666666663"/>
    <n v="0.77340423478546183"/>
  </r>
  <r>
    <n v="420"/>
    <n v="142"/>
    <d v="2024-05-15T00:00:00"/>
    <n v="1"/>
    <n v="10"/>
    <n v="2684.1060000000002"/>
    <x v="141"/>
    <x v="3"/>
    <n v="1789.404"/>
    <n v="2982.34"/>
    <n v="4"/>
    <n v="3607.8452767758231"/>
    <n v="2210.1966666666667"/>
    <n v="2684.1060000000002"/>
    <n v="894.70200000000023"/>
    <n v="473.90933333333351"/>
    <n v="0.21441953129359537"/>
  </r>
  <r>
    <n v="421"/>
    <n v="57"/>
    <d v="2024-03-10T00:00:00"/>
    <n v="30"/>
    <n v="7"/>
    <n v="6334.9274999999998"/>
    <x v="55"/>
    <x v="6"/>
    <n v="4087.0499999999997"/>
    <n v="6811.75"/>
    <n v="2"/>
    <n v="7548.8195634868844"/>
    <n v="1836.9825000000001"/>
    <n v="190047.82499999998"/>
    <n v="67436.324999999997"/>
    <n v="4497.9449999999997"/>
    <n v="2.4485508163523604"/>
  </r>
  <r>
    <n v="422"/>
    <n v="101"/>
    <d v="2025-10-19T00:00:00"/>
    <n v="43"/>
    <n v="2"/>
    <n v="4625.8841999999995"/>
    <x v="5"/>
    <x v="3"/>
    <n v="2832.174"/>
    <n v="4720.29"/>
    <n v="2"/>
    <n v="5308.1130586419486"/>
    <n v="6068.0179999999991"/>
    <n v="198913.02059999999"/>
    <n v="77129.538599999985"/>
    <n v="-1442.1337999999996"/>
    <n v="-0.23766142420803626"/>
  </r>
  <r>
    <n v="423"/>
    <n v="29"/>
    <d v="2024-02-06T00:00:00"/>
    <n v="41"/>
    <n v="4"/>
    <n v="7174.08"/>
    <x v="56"/>
    <x v="5"/>
    <n v="4483.8"/>
    <n v="7473"/>
    <n v="2"/>
    <n v="9437.1294236117046"/>
    <n v="1925.7060000000001"/>
    <n v="294137.27999999997"/>
    <n v="110301.48"/>
    <n v="5248.3739999999998"/>
    <n v="2.7254284921997436"/>
  </r>
  <r>
    <n v="424"/>
    <n v="16"/>
    <d v="2024-08-01T00:00:00"/>
    <n v="8"/>
    <n v="6"/>
    <n v="6346.692"/>
    <x v="142"/>
    <x v="2"/>
    <n v="4051.08"/>
    <n v="6751.8"/>
    <n v="4"/>
    <n v="8298.1487226127701"/>
    <n v="6827.7939999999999"/>
    <n v="50773.536"/>
    <n v="18364.896000000001"/>
    <n v="-481.10199999999986"/>
    <n v="-7.0462289869905256E-2"/>
  </r>
  <r>
    <n v="425"/>
    <n v="53"/>
    <d v="2024-06-15T00:00:00"/>
    <n v="42"/>
    <n v="3"/>
    <n v="3360.4776999999999"/>
    <x v="120"/>
    <x v="2"/>
    <n v="2078.6459999999997"/>
    <n v="3464.41"/>
    <n v="4"/>
    <n v="4323.7264795654492"/>
    <n v="954.33000000000015"/>
    <n v="141140.06339999998"/>
    <n v="53836.931400000009"/>
    <n v="2406.1476999999995"/>
    <n v="2.5212952542621516"/>
  </r>
  <r>
    <n v="426"/>
    <n v="36"/>
    <d v="2023-08-09T00:00:00"/>
    <n v="41"/>
    <n v="4"/>
    <n v="141.50399999999999"/>
    <x v="57"/>
    <x v="0"/>
    <n v="88.44"/>
    <n v="147.4"/>
    <n v="3"/>
    <n v="160.88261635882807"/>
    <n v="2726.4116666666664"/>
    <n v="5801.6639999999998"/>
    <n v="2175.6239999999998"/>
    <n v="-2584.9076666666665"/>
    <n v="-0.94809881364210713"/>
  </r>
  <r>
    <n v="427"/>
    <n v="147"/>
    <d v="2025-10-08T00:00:00"/>
    <n v="2"/>
    <n v="10"/>
    <n v="4125.8879999999999"/>
    <x v="37"/>
    <x v="4"/>
    <n v="2750.5919999999996"/>
    <n v="4584.32"/>
    <n v="1"/>
    <n v="5664.4171490126519"/>
    <n v="769.14"/>
    <n v="8251.7759999999998"/>
    <n v="2750.5920000000006"/>
    <n v="3356.748"/>
    <n v="4.3642873859115374"/>
  </r>
  <r>
    <n v="428"/>
    <n v="53"/>
    <d v="2024-08-10T00:00:00"/>
    <n v="40"/>
    <n v="4"/>
    <n v="3325.8335999999999"/>
    <x v="120"/>
    <x v="2"/>
    <n v="2078.6459999999997"/>
    <n v="3464.41"/>
    <n v="4"/>
    <n v="4265.8606853294132"/>
    <n v="954.33000000000015"/>
    <n v="133033.34399999998"/>
    <n v="49887.504000000008"/>
    <n v="2371.5036"/>
    <n v="2.4849932413316145"/>
  </r>
  <r>
    <n v="429"/>
    <n v="77"/>
    <d v="2023-06-28T00:00:00"/>
    <n v="33"/>
    <n v="6"/>
    <n v="1885.6211999999998"/>
    <x v="48"/>
    <x v="7"/>
    <n v="1203.588"/>
    <n v="2005.98"/>
    <n v="1"/>
    <n v="2587.8309040032977"/>
    <n v="4139.2699999999995"/>
    <n v="62225.499599999996"/>
    <n v="22507.095599999993"/>
    <n v="-2253.6487999999999"/>
    <n v="-0.54445561657007158"/>
  </r>
  <r>
    <n v="430"/>
    <n v="14"/>
    <d v="2023-01-14T00:00:00"/>
    <n v="45"/>
    <n v="7"/>
    <n v="5599.1765999999998"/>
    <x v="138"/>
    <x v="7"/>
    <n v="3612.3719999999998"/>
    <n v="6020.62"/>
    <n v="5"/>
    <n v="6798.6755543940735"/>
    <n v="3652.5316666666672"/>
    <n v="251962.94699999999"/>
    <n v="89406.206999999995"/>
    <n v="1946.6449333333326"/>
    <n v="0.5329577156301174"/>
  </r>
  <r>
    <n v="431"/>
    <n v="15"/>
    <d v="2024-06-14T00:00:00"/>
    <n v="3"/>
    <n v="8"/>
    <n v="4454.1615999999995"/>
    <x v="27"/>
    <x v="4"/>
    <n v="2904.8879999999995"/>
    <n v="4841.4799999999996"/>
    <n v="4"/>
    <n v="5193.3335027043022"/>
    <n v="5242.3433333333332"/>
    <n v="13362.484799999998"/>
    <n v="4647.8207999999995"/>
    <n v="-788.1817333333338"/>
    <n v="-0.15034912504140968"/>
  </r>
  <r>
    <n v="432"/>
    <n v="138"/>
    <d v="2024-11-21T00:00:00"/>
    <n v="42"/>
    <n v="5"/>
    <n v="2936.9154999999996"/>
    <x v="13"/>
    <x v="4"/>
    <n v="1854.8939999999998"/>
    <n v="3091.49"/>
    <n v="5"/>
    <n v="3285.1719797533933"/>
    <n v="4980.4933333333329"/>
    <n v="123350.45099999999"/>
    <n v="45444.902999999991"/>
    <n v="-2043.5778333333333"/>
    <n v="-0.41031634751042068"/>
  </r>
  <r>
    <n v="433"/>
    <n v="23"/>
    <d v="2025-10-14T00:00:00"/>
    <n v="44"/>
    <n v="2"/>
    <n v="3884.1320000000001"/>
    <x v="118"/>
    <x v="5"/>
    <n v="2378.04"/>
    <n v="3963.4"/>
    <n v="5"/>
    <n v="4211.8502624860785"/>
    <n v="5343.3279999999995"/>
    <n v="170901.80799999999"/>
    <n v="66268.04800000001"/>
    <n v="-1459.1959999999995"/>
    <n v="-0.27308748405488109"/>
  </r>
  <r>
    <n v="434"/>
    <n v="88"/>
    <d v="2024-04-18T00:00:00"/>
    <n v="26"/>
    <n v="9"/>
    <n v="5675.0603000000001"/>
    <x v="116"/>
    <x v="5"/>
    <n v="3741.7979999999998"/>
    <n v="6236.33"/>
    <n v="5"/>
    <n v="7520.019797551543"/>
    <n v="4981.5050000000001"/>
    <n v="147551.56779999999"/>
    <n v="50264.819800000012"/>
    <n v="693.55529999999999"/>
    <n v="0.13922605718552927"/>
  </r>
  <r>
    <n v="435"/>
    <n v="141"/>
    <d v="2024-03-23T00:00:00"/>
    <n v="18"/>
    <n v="7"/>
    <n v="7314.6266999999989"/>
    <x v="86"/>
    <x v="1"/>
    <n v="4719.1139999999996"/>
    <n v="7865.19"/>
    <n v="5"/>
    <n v="9636.6847603592632"/>
    <n v="7586.8133333333344"/>
    <n v="131663.28059999997"/>
    <n v="46719.228599999988"/>
    <n v="-272.18663333333552"/>
    <n v="-3.58762791931969E-2"/>
  </r>
  <r>
    <n v="436"/>
    <n v="47"/>
    <d v="2025-06-04T00:00:00"/>
    <n v="1"/>
    <n v="4"/>
    <n v="3277.0367999999999"/>
    <x v="112"/>
    <x v="2"/>
    <n v="2048.1479999999997"/>
    <n v="3413.58"/>
    <n v="5"/>
    <n v="3991.2581375841833"/>
    <n v="2051.0440000000003"/>
    <n v="3277.0367999999999"/>
    <n v="1228.8888000000002"/>
    <n v="1225.9927999999995"/>
    <n v="0.5977408578265504"/>
  </r>
  <r>
    <n v="437"/>
    <n v="67"/>
    <d v="2024-05-06T00:00:00"/>
    <n v="47"/>
    <n v="8"/>
    <n v="1058.6532"/>
    <x v="76"/>
    <x v="6"/>
    <n v="690.42600000000004"/>
    <n v="1150.71"/>
    <n v="4"/>
    <n v="1326.3074256122745"/>
    <n v="7069.7"/>
    <n v="49756.700400000002"/>
    <n v="17306.678399999997"/>
    <n v="-6011.0468000000001"/>
    <n v="-0.85025486229967329"/>
  </r>
  <r>
    <n v="438"/>
    <n v="4"/>
    <d v="2023-12-07T00:00:00"/>
    <n v="9"/>
    <n v="10"/>
    <n v="6376.8420000000006"/>
    <x v="62"/>
    <x v="4"/>
    <n v="4251.2280000000001"/>
    <n v="7085.38"/>
    <n v="4"/>
    <n v="7976.0989009041605"/>
    <n v="3570.2466666666674"/>
    <n v="57391.578000000009"/>
    <n v="19130.526000000005"/>
    <n v="2806.5953333333332"/>
    <n v="0.78610684229100869"/>
  </r>
  <r>
    <n v="439"/>
    <n v="66"/>
    <d v="2024-07-31T00:00:00"/>
    <n v="30"/>
    <n v="4"/>
    <n v="5592.0096000000003"/>
    <x v="81"/>
    <x v="7"/>
    <n v="3495.0059999999999"/>
    <n v="5825.01"/>
    <n v="1"/>
    <n v="7224.7869539697231"/>
    <n v="6051.7379999999994"/>
    <n v="167760.288"/>
    <n v="62910.108000000015"/>
    <n v="-459.72839999999906"/>
    <n v="-7.5966342230942438E-2"/>
  </r>
  <r>
    <n v="440"/>
    <n v="95"/>
    <d v="2024-06-17T00:00:00"/>
    <n v="49"/>
    <n v="5"/>
    <n v="6620.2365"/>
    <x v="51"/>
    <x v="7"/>
    <n v="4181.2020000000002"/>
    <n v="6968.67"/>
    <n v="2"/>
    <n v="7554.4673745461923"/>
    <n v="2797.7239999999997"/>
    <n v="324391.58850000001"/>
    <n v="119512.69049999998"/>
    <n v="3822.5125000000003"/>
    <n v="1.3662936372565702"/>
  </r>
  <r>
    <n v="441"/>
    <n v="102"/>
    <d v="2025-11-16T00:00:00"/>
    <n v="1"/>
    <n v="4"/>
    <n v="3978.1823999999997"/>
    <x v="143"/>
    <x v="1"/>
    <n v="2486.3639999999996"/>
    <n v="4143.9399999999996"/>
    <n v="4"/>
    <n v="5266.1026492580058"/>
    <n v="2740.84"/>
    <n v="3978.1823999999997"/>
    <n v="1491.8184000000001"/>
    <n v="1237.3423999999995"/>
    <n v="0.45144641788648715"/>
  </r>
  <r>
    <n v="442"/>
    <n v="114"/>
    <d v="2024-06-28T00:00:00"/>
    <n v="31"/>
    <n v="8"/>
    <n v="7032.8572000000004"/>
    <x v="99"/>
    <x v="5"/>
    <n v="4586.6459999999997"/>
    <n v="7644.41"/>
    <n v="2"/>
    <n v="7725.1861282894961"/>
    <n v="6494.3074999999999"/>
    <n v="218018.57320000001"/>
    <n v="75832.547200000015"/>
    <n v="538.54970000000048"/>
    <n v="8.2926424410916869E-2"/>
  </r>
  <r>
    <n v="443"/>
    <n v="38"/>
    <d v="2025-12-18T00:00:00"/>
    <n v="47"/>
    <n v="6"/>
    <n v="6199.7605999999996"/>
    <x v="126"/>
    <x v="3"/>
    <n v="3957.2939999999999"/>
    <n v="6595.49"/>
    <n v="5"/>
    <n v="8444.663039444411"/>
    <n v="517.86"/>
    <n v="291388.74819999997"/>
    <n v="105395.93019999999"/>
    <n v="5681.9005999999999"/>
    <n v="10.971885451666473"/>
  </r>
  <r>
    <n v="444"/>
    <n v="140"/>
    <d v="2025-04-05T00:00:00"/>
    <n v="47"/>
    <n v="7"/>
    <n v="831.19679999999994"/>
    <x v="92"/>
    <x v="1"/>
    <n v="536.25599999999997"/>
    <n v="893.76"/>
    <n v="3"/>
    <n v="1009.218235919499"/>
    <n v="4472.5149999999994"/>
    <n v="39066.249599999996"/>
    <n v="13862.217599999998"/>
    <n v="-3641.3181999999997"/>
    <n v="-0.81415449696647191"/>
  </r>
  <r>
    <n v="445"/>
    <n v="48"/>
    <d v="2023-10-07T00:00:00"/>
    <n v="40"/>
    <n v="2"/>
    <n v="3614.5045999999998"/>
    <x v="3"/>
    <x v="0"/>
    <n v="2212.962"/>
    <n v="3688.27"/>
    <n v="4"/>
    <n v="4490.7893206968474"/>
    <n v="1050.3625000000002"/>
    <n v="144580.18399999998"/>
    <n v="56061.703999999991"/>
    <n v="2564.1420999999996"/>
    <n v="2.4411973009318202"/>
  </r>
  <r>
    <n v="446"/>
    <n v="147"/>
    <d v="2025-03-30T00:00:00"/>
    <n v="3"/>
    <n v="3"/>
    <n v="4446.7903999999999"/>
    <x v="37"/>
    <x v="4"/>
    <n v="2750.5919999999996"/>
    <n v="4584.32"/>
    <n v="1"/>
    <n v="5075.5667734944773"/>
    <n v="769.14"/>
    <n v="13340.3712"/>
    <n v="5088.5952000000007"/>
    <n v="3677.6504"/>
    <n v="4.7815097381491016"/>
  </r>
  <r>
    <n v="447"/>
    <n v="66"/>
    <d v="2025-07-02T00:00:00"/>
    <n v="10"/>
    <n v="9"/>
    <n v="5300.7591000000002"/>
    <x v="81"/>
    <x v="7"/>
    <n v="3495.0059999999999"/>
    <n v="5825.01"/>
    <n v="1"/>
    <n v="7002.6240042537756"/>
    <n v="6051.7379999999994"/>
    <n v="53007.591"/>
    <n v="18057.531000000003"/>
    <n v="-750.97889999999916"/>
    <n v="-0.12409309523974753"/>
  </r>
  <r>
    <n v="448"/>
    <n v="146"/>
    <d v="2023-03-08T00:00:00"/>
    <n v="30"/>
    <n v="3"/>
    <n v="4590.9032999999999"/>
    <x v="144"/>
    <x v="2"/>
    <n v="2839.7339999999999"/>
    <n v="4732.8900000000003"/>
    <n v="2"/>
    <n v="4856.9704554361842"/>
    <n v="619.60249999999996"/>
    <n v="137727.09899999999"/>
    <n v="52535.078999999998"/>
    <n v="3971.3008"/>
    <n v="6.4094331446370862"/>
  </r>
  <r>
    <n v="449"/>
    <n v="87"/>
    <d v="2023-10-29T00:00:00"/>
    <n v="48"/>
    <n v="2"/>
    <n v="4012.2375999999999"/>
    <x v="15"/>
    <x v="5"/>
    <n v="2456.4719999999998"/>
    <n v="4094.12"/>
    <n v="2"/>
    <n v="4447.1713078968569"/>
    <n v="493.79250000000002"/>
    <n v="192587.40479999999"/>
    <n v="74676.748800000001"/>
    <n v="3518.4450999999999"/>
    <n v="7.1253514381040617"/>
  </r>
  <r>
    <n v="450"/>
    <n v="70"/>
    <d v="2025-03-03T00:00:00"/>
    <n v="10"/>
    <n v="5"/>
    <n v="3828.2624999999998"/>
    <x v="98"/>
    <x v="7"/>
    <n v="2417.85"/>
    <n v="4029.75"/>
    <n v="1"/>
    <n v="4662.5918896367057"/>
    <n v="2158.7083333333335"/>
    <n v="38282.625"/>
    <n v="14104.125"/>
    <n v="1669.5541666666663"/>
    <n v="0.77340423478546183"/>
  </r>
  <r>
    <n v="451"/>
    <n v="122"/>
    <d v="2025-06-26T00:00:00"/>
    <n v="29"/>
    <n v="6"/>
    <n v="4838.8755999999994"/>
    <x v="89"/>
    <x v="6"/>
    <n v="3088.6439999999998"/>
    <n v="5147.74"/>
    <n v="3"/>
    <n v="6314.341663228427"/>
    <n v="4724.1475"/>
    <n v="140327.39239999998"/>
    <n v="50756.71639999999"/>
    <n v="114.72809999999936"/>
    <n v="2.4285461027624425E-2"/>
  </r>
  <r>
    <n v="452"/>
    <n v="29"/>
    <d v="2025-02-26T00:00:00"/>
    <n v="31"/>
    <n v="7"/>
    <n v="6949.8899999999994"/>
    <x v="56"/>
    <x v="5"/>
    <n v="4483.8"/>
    <n v="7473"/>
    <n v="2"/>
    <n v="7603.7982315635445"/>
    <n v="1925.7060000000001"/>
    <n v="215446.58999999997"/>
    <n v="76448.789999999979"/>
    <n v="5024.1839999999993"/>
    <n v="2.6090088518185013"/>
  </r>
  <r>
    <n v="453"/>
    <n v="44"/>
    <d v="2025-07-20T00:00:00"/>
    <n v="12"/>
    <n v="2"/>
    <n v="346.52800000000002"/>
    <x v="115"/>
    <x v="7"/>
    <n v="212.16"/>
    <n v="353.6"/>
    <n v="4"/>
    <n v="385.08945289706537"/>
    <n v="4064.8233333333333"/>
    <n v="4158.3360000000002"/>
    <n v="1612.4160000000002"/>
    <n v="-3718.2953333333335"/>
    <n v="-0.91474955451118423"/>
  </r>
  <r>
    <n v="454"/>
    <n v="63"/>
    <d v="2024-11-21T00:00:00"/>
    <n v="42"/>
    <n v="8"/>
    <n v="6441.6284000000005"/>
    <x v="41"/>
    <x v="7"/>
    <n v="4201.0619999999999"/>
    <n v="7001.77"/>
    <n v="4"/>
    <n v="7203.3905148205349"/>
    <n v="4859.22"/>
    <n v="270548.39280000003"/>
    <n v="94103.788800000024"/>
    <n v="1582.4084000000003"/>
    <n v="0.32565070114133549"/>
  </r>
  <r>
    <n v="455"/>
    <n v="33"/>
    <d v="2025-10-04T00:00:00"/>
    <n v="18"/>
    <n v="8"/>
    <n v="4648.7507999999998"/>
    <x v="84"/>
    <x v="0"/>
    <n v="3031.7939999999999"/>
    <n v="5052.99"/>
    <n v="3"/>
    <n v="6425.2532781091895"/>
    <n v="2776.7875000000004"/>
    <n v="83677.5144"/>
    <n v="29105.222399999999"/>
    <n v="1871.9632999999994"/>
    <n v="0.67414712144879618"/>
  </r>
  <r>
    <n v="456"/>
    <n v="92"/>
    <d v="2024-03-20T00:00:00"/>
    <n v="22"/>
    <n v="8"/>
    <n v="3291.7784000000001"/>
    <x v="88"/>
    <x v="1"/>
    <n v="2146.8119999999999"/>
    <n v="3578.02"/>
    <n v="5"/>
    <n v="4032.623227504997"/>
    <n v="5387.83"/>
    <n v="72419.124800000005"/>
    <n v="25189.260800000004"/>
    <n v="-2096.0515999999998"/>
    <n v="-0.38903447213442144"/>
  </r>
  <r>
    <n v="457"/>
    <n v="35"/>
    <d v="2025-07-27T00:00:00"/>
    <n v="2"/>
    <n v="3"/>
    <n v="131.1343"/>
    <x v="104"/>
    <x v="3"/>
    <n v="81.11399999999999"/>
    <n v="135.19"/>
    <n v="3"/>
    <n v="155.82344376330127"/>
    <n v="2089.5899999999997"/>
    <n v="262.26859999999999"/>
    <n v="100.04060000000001"/>
    <n v="-1958.4556999999998"/>
    <n v="-0.93724400480477033"/>
  </r>
  <r>
    <n v="458"/>
    <n v="138"/>
    <d v="2025-12-30T00:00:00"/>
    <n v="8"/>
    <n v="5"/>
    <n v="2936.9154999999996"/>
    <x v="13"/>
    <x v="4"/>
    <n v="1854.8939999999998"/>
    <n v="3091.49"/>
    <n v="5"/>
    <n v="3770.8951071987785"/>
    <n v="4980.4933333333329"/>
    <n v="23495.323999999997"/>
    <n v="8656.1719999999987"/>
    <n v="-2043.5778333333333"/>
    <n v="-0.41031634751042068"/>
  </r>
  <r>
    <n v="459"/>
    <n v="87"/>
    <d v="2025-06-02T00:00:00"/>
    <n v="35"/>
    <n v="10"/>
    <n v="3684.7080000000001"/>
    <x v="15"/>
    <x v="5"/>
    <n v="2456.4719999999998"/>
    <n v="4094.12"/>
    <n v="2"/>
    <n v="4257.5734259668307"/>
    <n v="493.79250000000002"/>
    <n v="128964.78"/>
    <n v="42988.260000000009"/>
    <n v="3190.9155000000001"/>
    <n v="6.4620574431567919"/>
  </r>
  <r>
    <n v="460"/>
    <n v="56"/>
    <d v="2023-06-11T00:00:00"/>
    <n v="2"/>
    <n v="9"/>
    <n v="7263.4380000000001"/>
    <x v="17"/>
    <x v="5"/>
    <n v="4789.08"/>
    <n v="7981.8"/>
    <n v="5"/>
    <n v="8643.1619614365591"/>
    <n v="3458.9274999999998"/>
    <n v="14526.876"/>
    <n v="4948.7160000000003"/>
    <n v="3804.5105000000003"/>
    <n v="1.0999104491204283"/>
  </r>
  <r>
    <n v="461"/>
    <n v="79"/>
    <d v="2023-01-24T00:00:00"/>
    <n v="26"/>
    <n v="7"/>
    <n v="2053.3748999999998"/>
    <x v="134"/>
    <x v="2"/>
    <n v="1324.7579999999998"/>
    <n v="2207.9299999999998"/>
    <n v="1"/>
    <n v="2340.8034346612731"/>
    <n v="197.005"/>
    <n v="53387.747399999993"/>
    <n v="18944.039400000001"/>
    <n v="1856.3698999999997"/>
    <n v="9.4229583005507465"/>
  </r>
  <r>
    <n v="462"/>
    <n v="72"/>
    <d v="2024-05-14T00:00:00"/>
    <n v="47"/>
    <n v="4"/>
    <n v="5569.3439999999991"/>
    <x v="65"/>
    <x v="5"/>
    <n v="3480.8399999999997"/>
    <n v="5801.4"/>
    <n v="3"/>
    <n v="6133.302331191383"/>
    <n v="5210.5919999999996"/>
    <n v="261759.16799999995"/>
    <n v="98159.68799999998"/>
    <n v="358.7519999999995"/>
    <n v="6.885052600549027E-2"/>
  </r>
  <r>
    <n v="463"/>
    <n v="117"/>
    <d v="2024-04-20T00:00:00"/>
    <n v="38"/>
    <n v="10"/>
    <n v="1914.462"/>
    <x v="1"/>
    <x v="0"/>
    <n v="1276.3079999999998"/>
    <n v="2127.1799999999998"/>
    <n v="1"/>
    <n v="2377.5567389555063"/>
    <n v="892.9766666666668"/>
    <n v="72749.555999999997"/>
    <n v="24249.85200000001"/>
    <n v="1021.4853333333332"/>
    <n v="1.1439104418555166"/>
  </r>
  <r>
    <n v="464"/>
    <n v="132"/>
    <d v="2023-04-28T00:00:00"/>
    <n v="32"/>
    <n v="7"/>
    <n v="5104.1468999999997"/>
    <x v="145"/>
    <x v="4"/>
    <n v="3292.998"/>
    <n v="5488.33"/>
    <n v="5"/>
    <n v="6337.3036879516949"/>
    <n v="3374.6533333333332"/>
    <n v="163332.70079999999"/>
    <n v="57956.76479999999"/>
    <n v="1729.4935666666665"/>
    <n v="0.5124951797517967"/>
  </r>
  <r>
    <n v="465"/>
    <n v="113"/>
    <d v="2023-11-11T00:00:00"/>
    <n v="45"/>
    <n v="7"/>
    <n v="4491.1187999999993"/>
    <x v="87"/>
    <x v="7"/>
    <n v="2897.4959999999996"/>
    <n v="4829.16"/>
    <n v="1"/>
    <n v="5784.8062346523384"/>
    <n v="4302.05"/>
    <n v="202100.34599999996"/>
    <n v="71713.025999999983"/>
    <n v="189.0687999999991"/>
    <n v="4.3948536162991853E-2"/>
  </r>
  <r>
    <n v="466"/>
    <n v="114"/>
    <d v="2024-02-08T00:00:00"/>
    <n v="44"/>
    <n v="3"/>
    <n v="7415.0776999999998"/>
    <x v="99"/>
    <x v="5"/>
    <n v="4586.6459999999997"/>
    <n v="7644.41"/>
    <n v="2"/>
    <n v="8691.0331720041158"/>
    <n v="6494.3074999999999"/>
    <n v="326263.41879999998"/>
    <n v="124450.9948"/>
    <n v="920.77019999999993"/>
    <n v="0.14178112138977095"/>
  </r>
  <r>
    <n v="467"/>
    <n v="149"/>
    <d v="2025-12-01T00:00:00"/>
    <n v="20"/>
    <n v="3"/>
    <n v="5943.9465999999993"/>
    <x v="14"/>
    <x v="5"/>
    <n v="3676.6679999999997"/>
    <n v="6127.78"/>
    <n v="4"/>
    <n v="6880.6178341434252"/>
    <n v="3159.4639999999999"/>
    <n v="118878.93199999999"/>
    <n v="45345.571999999993"/>
    <n v="2784.4825999999994"/>
    <n v="0.88131486859796448"/>
  </r>
  <r>
    <n v="468"/>
    <n v="149"/>
    <d v="2024-06-27T00:00:00"/>
    <n v="25"/>
    <n v="3"/>
    <n v="5943.9465999999993"/>
    <x v="14"/>
    <x v="5"/>
    <n v="3676.6679999999997"/>
    <n v="6127.78"/>
    <n v="4"/>
    <n v="7002.1111642536598"/>
    <n v="3159.4639999999999"/>
    <n v="148598.66499999998"/>
    <n v="56681.964999999989"/>
    <n v="2784.4825999999994"/>
    <n v="0.88131486859796448"/>
  </r>
  <r>
    <n v="469"/>
    <n v="135"/>
    <d v="2025-03-19T00:00:00"/>
    <n v="39"/>
    <n v="5"/>
    <n v="7390.7244999999994"/>
    <x v="140"/>
    <x v="0"/>
    <n v="4667.826"/>
    <n v="7779.71"/>
    <n v="5"/>
    <n v="9943.8838049098485"/>
    <n v="4172.7833333333338"/>
    <n v="288238.25549999997"/>
    <n v="106193.04149999998"/>
    <n v="3217.9411666666656"/>
    <n v="0.77117379686620013"/>
  </r>
  <r>
    <n v="470"/>
    <n v="105"/>
    <d v="2025-07-08T00:00:00"/>
    <n v="38"/>
    <n v="5"/>
    <n v="3935.9259999999999"/>
    <x v="85"/>
    <x v="1"/>
    <n v="2485.848"/>
    <n v="4143.08"/>
    <n v="3"/>
    <n v="5157.4278338130434"/>
    <n v="4778.8849999999993"/>
    <n v="149565.18799999999"/>
    <n v="55102.964"/>
    <n v="-842.95899999999938"/>
    <n v="-0.17639240115633656"/>
  </r>
  <r>
    <n v="471"/>
    <n v="18"/>
    <d v="2023-05-08T00:00:00"/>
    <n v="30"/>
    <n v="3"/>
    <n v="8182.8715000000002"/>
    <x v="46"/>
    <x v="7"/>
    <n v="5061.5700000000006"/>
    <n v="8435.9500000000007"/>
    <n v="3"/>
    <n v="8834.153377752873"/>
    <n v="1552.9240000000002"/>
    <n v="245486.14500000002"/>
    <n v="93639.044999999984"/>
    <n v="6629.9475000000002"/>
    <n v="4.2693315963949292"/>
  </r>
  <r>
    <n v="472"/>
    <n v="68"/>
    <d v="2024-10-03T00:00:00"/>
    <n v="7"/>
    <n v="6"/>
    <n v="5680.8805999999995"/>
    <x v="53"/>
    <x v="6"/>
    <n v="3626.0939999999996"/>
    <n v="6043.49"/>
    <n v="2"/>
    <n v="6586.4088971854817"/>
    <n v="796.21333333333325"/>
    <n v="39766.164199999999"/>
    <n v="14383.5062"/>
    <n v="4884.6672666666664"/>
    <n v="6.1348724797374237"/>
  </r>
  <r>
    <n v="473"/>
    <n v="26"/>
    <d v="2023-12-14T00:00:00"/>
    <n v="40"/>
    <n v="5"/>
    <n v="5355.0739999999996"/>
    <x v="100"/>
    <x v="7"/>
    <n v="3382.152"/>
    <n v="5636.92"/>
    <n v="4"/>
    <n v="6452.8591079836606"/>
    <n v="3474.7766666666666"/>
    <n v="214202.96"/>
    <n v="78916.879999999976"/>
    <n v="1880.297333333333"/>
    <n v="0.54112753529483415"/>
  </r>
  <r>
    <n v="474"/>
    <n v="3"/>
    <d v="2025-01-01T00:00:00"/>
    <n v="8"/>
    <n v="9"/>
    <n v="4701.7698"/>
    <x v="129"/>
    <x v="2"/>
    <n v="3100.0679999999998"/>
    <n v="5166.78"/>
    <n v="1"/>
    <n v="5934.9401194497905"/>
    <n v="7049.42"/>
    <n v="37614.1584"/>
    <n v="12813.614400000002"/>
    <n v="-2347.6502"/>
    <n v="-0.33302742636982902"/>
  </r>
  <r>
    <n v="475"/>
    <n v="51"/>
    <d v="2023-07-04T00:00:00"/>
    <n v="5"/>
    <n v="8"/>
    <n v="968.64039999999989"/>
    <x v="18"/>
    <x v="5"/>
    <n v="631.72199999999987"/>
    <n v="1052.8699999999999"/>
    <n v="2"/>
    <n v="1094.0531697977397"/>
    <n v="5383.6833333333334"/>
    <n v="4843.2019999999993"/>
    <n v="1684.5920000000001"/>
    <n v="-4415.0429333333332"/>
    <n v="-0.82007849644450359"/>
  </r>
  <r>
    <n v="476"/>
    <n v="90"/>
    <d v="2024-05-28T00:00:00"/>
    <n v="20"/>
    <n v="10"/>
    <n v="1239.039"/>
    <x v="0"/>
    <x v="0"/>
    <n v="826.02599999999995"/>
    <n v="1376.71"/>
    <n v="4"/>
    <n v="1478.3704094266832"/>
    <n v="2414.7550000000001"/>
    <n v="24780.78"/>
    <n v="8260.26"/>
    <n v="-1175.7160000000001"/>
    <n v="-0.48688831786247466"/>
  </r>
  <r>
    <n v="477"/>
    <n v="130"/>
    <d v="2023-01-14T00:00:00"/>
    <n v="12"/>
    <n v="8"/>
    <n v="2930.6507999999999"/>
    <x v="111"/>
    <x v="4"/>
    <n v="1911.2939999999999"/>
    <n v="3185.49"/>
    <n v="5"/>
    <n v="3702.3890831204699"/>
    <n v="3865.1374999999998"/>
    <n v="35167.809600000001"/>
    <n v="12232.2816"/>
    <n v="-934.48669999999993"/>
    <n v="-0.24177320987933806"/>
  </r>
  <r>
    <n v="478"/>
    <n v="80"/>
    <d v="2023-02-22T00:00:00"/>
    <n v="41"/>
    <n v="9"/>
    <n v="909.15370000000007"/>
    <x v="130"/>
    <x v="0"/>
    <n v="599.44200000000001"/>
    <n v="999.07"/>
    <n v="5"/>
    <n v="1085.026524282013"/>
    <n v="4319.1966666666667"/>
    <n v="37275.301700000004"/>
    <n v="12698.179700000002"/>
    <n v="-3410.0429666666669"/>
    <n v="-0.78950861232682934"/>
  </r>
  <r>
    <n v="479"/>
    <n v="4"/>
    <d v="2025-07-12T00:00:00"/>
    <n v="48"/>
    <n v="9"/>
    <n v="6447.6958000000004"/>
    <x v="62"/>
    <x v="4"/>
    <n v="4251.2280000000001"/>
    <n v="7085.38"/>
    <n v="4"/>
    <n v="7737.3406721666561"/>
    <n v="3570.2466666666674"/>
    <n v="309489.39840000001"/>
    <n v="105430.45440000002"/>
    <n v="2877.4491333333331"/>
    <n v="0.80595247387201985"/>
  </r>
  <r>
    <n v="480"/>
    <n v="130"/>
    <d v="2023-08-19T00:00:00"/>
    <n v="10"/>
    <n v="9"/>
    <n v="2898.7959000000001"/>
    <x v="111"/>
    <x v="4"/>
    <n v="1911.2939999999999"/>
    <n v="3185.49"/>
    <n v="5"/>
    <n v="3374.1363092717143"/>
    <n v="3865.1374999999998"/>
    <n v="28987.959000000003"/>
    <n v="9875.0190000000021"/>
    <n v="-966.34159999999974"/>
    <n v="-0.2500148054241278"/>
  </r>
  <r>
    <n v="481"/>
    <n v="101"/>
    <d v="2024-05-04T00:00:00"/>
    <n v="30"/>
    <n v="9"/>
    <n v="4295.4638999999997"/>
    <x v="5"/>
    <x v="3"/>
    <n v="2832.174"/>
    <n v="4720.29"/>
    <n v="2"/>
    <n v="6112.3139908549974"/>
    <n v="6068.0179999999991"/>
    <n v="128863.91699999999"/>
    <n v="43898.696999999993"/>
    <n v="-1772.5540999999994"/>
    <n v="-0.2921141796217479"/>
  </r>
  <r>
    <n v="482"/>
    <n v="80"/>
    <d v="2025-11-30T00:00:00"/>
    <n v="39"/>
    <n v="2"/>
    <n v="979.08860000000004"/>
    <x v="130"/>
    <x v="0"/>
    <n v="599.44200000000001"/>
    <n v="999.07"/>
    <n v="5"/>
    <n v="1215.2409763714682"/>
    <n v="4319.1966666666667"/>
    <n v="38184.455399999999"/>
    <n v="14806.217400000001"/>
    <n v="-3340.1080666666667"/>
    <n v="-0.77331696712120079"/>
  </r>
  <r>
    <n v="483"/>
    <n v="93"/>
    <d v="2025-04-24T00:00:00"/>
    <n v="2"/>
    <n v="2"/>
    <n v="7509.3185999999996"/>
    <x v="66"/>
    <x v="2"/>
    <n v="4597.5419999999995"/>
    <n v="7662.57"/>
    <n v="3"/>
    <n v="9098.7807874278205"/>
    <n v="991.00333333333344"/>
    <n v="15018.637199999999"/>
    <n v="5823.5532000000003"/>
    <n v="6518.3152666666665"/>
    <n v="6.5774907585241884"/>
  </r>
  <r>
    <n v="484"/>
    <n v="61"/>
    <d v="2024-08-21T00:00:00"/>
    <n v="44"/>
    <n v="2"/>
    <n v="2393.3951999999999"/>
    <x v="146"/>
    <x v="7"/>
    <n v="1465.3439999999998"/>
    <n v="2442.2399999999998"/>
    <n v="5"/>
    <n v="2619.212424292502"/>
    <n v="411.75600000000003"/>
    <n v="105309.3888"/>
    <n v="40834.252800000002"/>
    <n v="1981.6391999999998"/>
    <n v="4.8126540961151747"/>
  </r>
  <r>
    <n v="485"/>
    <n v="100"/>
    <d v="2024-02-03T00:00:00"/>
    <n v="27"/>
    <n v="6"/>
    <n v="3838.8283999999999"/>
    <x v="21"/>
    <x v="3"/>
    <n v="2450.3159999999998"/>
    <n v="4083.86"/>
    <n v="3"/>
    <n v="5061.1252754516972"/>
    <n v="3659.5875000000001"/>
    <n v="103648.3668"/>
    <n v="37489.834800000004"/>
    <n v="179.24089999999978"/>
    <n v="4.8978443608739992E-2"/>
  </r>
  <r>
    <n v="486"/>
    <n v="45"/>
    <d v="2025-06-02T00:00:00"/>
    <n v="25"/>
    <n v="2"/>
    <n v="5219.8622000000005"/>
    <x v="69"/>
    <x v="1"/>
    <n v="3195.8340000000003"/>
    <n v="5326.39"/>
    <n v="1"/>
    <n v="6405.3903145499989"/>
    <n v="4436.1279999999997"/>
    <n v="130496.55500000001"/>
    <n v="50600.705000000002"/>
    <n v="783.73420000000078"/>
    <n v="0.17667078136609243"/>
  </r>
  <r>
    <n v="487"/>
    <n v="81"/>
    <d v="2023-02-15T00:00:00"/>
    <n v="36"/>
    <n v="9"/>
    <n v="7064.7030999999997"/>
    <x v="147"/>
    <x v="0"/>
    <n v="4658.0459999999994"/>
    <n v="7763.41"/>
    <n v="2"/>
    <n v="8525.3858914932152"/>
    <n v="290.31399999999996"/>
    <n v="254329.31159999999"/>
    <n v="86639.655600000013"/>
    <n v="6774.3890999999994"/>
    <n v="23.334696569920844"/>
  </r>
  <r>
    <n v="488"/>
    <n v="88"/>
    <d v="2025-01-15T00:00:00"/>
    <n v="9"/>
    <n v="8"/>
    <n v="5737.4236000000001"/>
    <x v="116"/>
    <x v="5"/>
    <n v="3741.7979999999998"/>
    <n v="6236.33"/>
    <n v="5"/>
    <n v="7644.9755739301645"/>
    <n v="4981.5050000000001"/>
    <n v="51636.812400000003"/>
    <n v="17960.630400000002"/>
    <n v="755.91859999999997"/>
    <n v="0.15174502484690872"/>
  </r>
  <r>
    <n v="489"/>
    <n v="52"/>
    <d v="2024-11-23T00:00:00"/>
    <n v="1"/>
    <n v="5"/>
    <n v="4236.2210000000005"/>
    <x v="75"/>
    <x v="2"/>
    <n v="2675.5080000000003"/>
    <n v="4459.18"/>
    <n v="3"/>
    <n v="5360.1101739392079"/>
    <n v="6258.09"/>
    <n v="4236.2210000000005"/>
    <n v="1560.7130000000002"/>
    <n v="-2021.8689999999997"/>
    <n v="-0.32308084415532529"/>
  </r>
  <r>
    <n v="490"/>
    <n v="84"/>
    <d v="2024-03-17T00:00:00"/>
    <n v="5"/>
    <n v="9"/>
    <n v="7061.7456000000002"/>
    <x v="80"/>
    <x v="6"/>
    <n v="4656.0959999999995"/>
    <n v="7760.16"/>
    <n v="1"/>
    <n v="8923.6813466639433"/>
    <n v="2588.9250000000002"/>
    <n v="35308.728000000003"/>
    <n v="12028.248000000003"/>
    <n v="4472.8206"/>
    <n v="1.7276748457371303"/>
  </r>
  <r>
    <n v="491"/>
    <n v="41"/>
    <d v="2023-06-28T00:00:00"/>
    <n v="35"/>
    <n v="7"/>
    <n v="2865.7670999999996"/>
    <x v="72"/>
    <x v="7"/>
    <n v="1848.8819999999998"/>
    <n v="3081.47"/>
    <n v="1"/>
    <n v="3974.5888845928789"/>
    <n v="1589.1249999999998"/>
    <n v="100301.84849999998"/>
    <n v="35590.97849999999"/>
    <n v="1276.6420999999998"/>
    <n v="0.80336166129159126"/>
  </r>
  <r>
    <n v="492"/>
    <n v="127"/>
    <d v="2023-03-09T00:00:00"/>
    <n v="39"/>
    <n v="8"/>
    <n v="5051.3152000000009"/>
    <x v="101"/>
    <x v="4"/>
    <n v="3294.3360000000002"/>
    <n v="5490.56"/>
    <n v="1"/>
    <n v="6114.131030578993"/>
    <n v="5984.333333333333"/>
    <n v="197001.29280000002"/>
    <n v="68522.188800000033"/>
    <n v="-933.01813333333212"/>
    <n v="-0.1559101208711634"/>
  </r>
  <r>
    <n v="493"/>
    <n v="6"/>
    <d v="2025-03-20T00:00:00"/>
    <n v="43"/>
    <n v="9"/>
    <n v="3753.9138000000003"/>
    <x v="34"/>
    <x v="0"/>
    <n v="2475.1080000000002"/>
    <n v="4125.18"/>
    <n v="5"/>
    <n v="4576.4219459111428"/>
    <n v="6862.0275000000001"/>
    <n v="161418.29340000002"/>
    <n v="54988.649400000002"/>
    <n v="-3108.1136999999999"/>
    <n v="-0.45294392947273965"/>
  </r>
  <r>
    <n v="494"/>
    <n v="144"/>
    <d v="2025-12-01T00:00:00"/>
    <n v="20"/>
    <n v="8"/>
    <n v="1451.9624000000001"/>
    <x v="77"/>
    <x v="0"/>
    <n v="946.93200000000002"/>
    <n v="1578.22"/>
    <n v="2"/>
    <n v="1729.7128177032366"/>
    <n v="6414.0239999999994"/>
    <n v="29039.248000000003"/>
    <n v="10100.608000000002"/>
    <n v="-4962.0615999999991"/>
    <n v="-0.77362691502245695"/>
  </r>
  <r>
    <n v="495"/>
    <n v="120"/>
    <d v="2023-11-10T00:00:00"/>
    <n v="24"/>
    <n v="3"/>
    <n v="1917.3019999999999"/>
    <x v="125"/>
    <x v="0"/>
    <n v="1185.9599999999998"/>
    <n v="1976.6"/>
    <n v="2"/>
    <n v="2308.2136406451268"/>
    <n v="1688.8574999999998"/>
    <n v="46015.248"/>
    <n v="17552.208000000002"/>
    <n v="228.44450000000006"/>
    <n v="0.13526570477378944"/>
  </r>
  <r>
    <n v="496"/>
    <n v="103"/>
    <d v="2023-09-11T00:00:00"/>
    <n v="8"/>
    <n v="5"/>
    <n v="6093.3474999999999"/>
    <x v="12"/>
    <x v="1"/>
    <n v="3848.43"/>
    <n v="6414.05"/>
    <n v="4"/>
    <n v="7833.8076619348749"/>
    <n v="6457.8324999999995"/>
    <n v="48746.78"/>
    <n v="17959.34"/>
    <n v="-364.48499999999967"/>
    <n v="-5.6440763986987851E-2"/>
  </r>
  <r>
    <n v="497"/>
    <n v="36"/>
    <d v="2024-02-24T00:00:00"/>
    <n v="30"/>
    <n v="3"/>
    <n v="142.97800000000001"/>
    <x v="57"/>
    <x v="0"/>
    <n v="88.44"/>
    <n v="147.4"/>
    <n v="3"/>
    <n v="185.95347593154185"/>
    <n v="2726.4116666666664"/>
    <n v="4289.34"/>
    <n v="1636.1400000000003"/>
    <n v="-2583.4336666666663"/>
    <n v="-0.94755817628421235"/>
  </r>
  <r>
    <n v="498"/>
    <n v="52"/>
    <d v="2025-12-05T00:00:00"/>
    <n v="25"/>
    <n v="2"/>
    <n v="4369.9964"/>
    <x v="75"/>
    <x v="2"/>
    <n v="2675.5080000000003"/>
    <n v="4459.18"/>
    <n v="3"/>
    <n v="5464.5672119918936"/>
    <n v="6258.09"/>
    <n v="109249.91"/>
    <n v="42362.209999999992"/>
    <n v="-1888.0936000000002"/>
    <n v="-0.30170444976023036"/>
  </r>
  <r>
    <n v="499"/>
    <n v="123"/>
    <d v="2024-09-06T00:00:00"/>
    <n v="13"/>
    <n v="9"/>
    <n v="4211.1342000000004"/>
    <x v="148"/>
    <x v="3"/>
    <n v="2776.5719999999997"/>
    <n v="4627.62"/>
    <n v="2"/>
    <n v="5834.4260159272308"/>
    <n v="809.94800000000009"/>
    <n v="54744.744600000005"/>
    <n v="18649.308600000011"/>
    <n v="3401.1862000000001"/>
    <n v="4.1992648910794266"/>
  </r>
  <r>
    <n v="500"/>
    <n v="58"/>
    <d v="2023-10-26T00:00:00"/>
    <n v="12"/>
    <n v="3"/>
    <n v="1104.4225999999999"/>
    <x v="103"/>
    <x v="7"/>
    <n v="683.14799999999991"/>
    <n v="1138.58"/>
    <n v="2"/>
    <n v="1147.9158857044185"/>
    <n v="1439.8525"/>
    <n v="13253.071199999998"/>
    <n v="5055.2951999999996"/>
    <n v="-335.42990000000009"/>
    <n v="-0.23296129291021136"/>
  </r>
  <r>
    <n v="501"/>
    <n v="115"/>
    <d v="2023-10-25T00:00:00"/>
    <n v="28"/>
    <n v="8"/>
    <n v="4315.9776000000002"/>
    <x v="71"/>
    <x v="2"/>
    <n v="2814.7679999999996"/>
    <n v="4691.28"/>
    <n v="2"/>
    <n v="5845.4511130096871"/>
    <n v="4456.5325000000003"/>
    <n v="120847.37280000001"/>
    <n v="42033.868800000018"/>
    <n v="-140.55490000000009"/>
    <n v="-3.1539072137362421E-2"/>
  </r>
  <r>
    <n v="502"/>
    <n v="60"/>
    <d v="2023-01-13T00:00:00"/>
    <n v="13"/>
    <n v="7"/>
    <n v="2578.5272999999997"/>
    <x v="36"/>
    <x v="2"/>
    <n v="1663.566"/>
    <n v="2772.61"/>
    <n v="2"/>
    <n v="3477.8411199449833"/>
    <n v="3047.7533333333336"/>
    <n v="33520.854899999998"/>
    <n v="11894.496899999996"/>
    <n v="-469.22603333333382"/>
    <n v="-0.15395800841275445"/>
  </r>
  <r>
    <n v="503"/>
    <n v="83"/>
    <d v="2023-02-11T00:00:00"/>
    <n v="19"/>
    <n v="4"/>
    <n v="3663.7727999999997"/>
    <x v="28"/>
    <x v="6"/>
    <n v="2289.8579999999997"/>
    <n v="3816.43"/>
    <n v="2"/>
    <n v="4803.6932736395684"/>
    <n v="2990.2349999999997"/>
    <n v="69611.683199999999"/>
    <n v="26104.3812"/>
    <n v="673.53780000000006"/>
    <n v="0.22524577499761728"/>
  </r>
  <r>
    <n v="504"/>
    <n v="134"/>
    <d v="2025-05-10T00:00:00"/>
    <n v="18"/>
    <n v="6"/>
    <n v="631.87739999999997"/>
    <x v="121"/>
    <x v="5"/>
    <n v="403.32600000000002"/>
    <n v="672.21"/>
    <n v="1"/>
    <n v="745.13998674209938"/>
    <n v="4666.126666666667"/>
    <n v="11373.7932"/>
    <n v="4113.9251999999988"/>
    <n v="-4034.2492666666672"/>
    <n v="-0.86458203020635249"/>
  </r>
  <r>
    <n v="505"/>
    <n v="66"/>
    <d v="2024-08-13T00:00:00"/>
    <n v="14"/>
    <n v="5"/>
    <n v="5533.7595000000001"/>
    <x v="81"/>
    <x v="7"/>
    <n v="3495.0059999999999"/>
    <n v="5825.01"/>
    <n v="1"/>
    <n v="7138.2653825343341"/>
    <n v="6051.7379999999994"/>
    <n v="77472.633000000002"/>
    <n v="28542.549000000003"/>
    <n v="-517.97849999999926"/>
    <n v="-8.5591692832703486E-2"/>
  </r>
  <r>
    <n v="506"/>
    <n v="46"/>
    <d v="2024-12-05T00:00:00"/>
    <n v="32"/>
    <n v="10"/>
    <n v="1456.7940000000001"/>
    <x v="60"/>
    <x v="1"/>
    <n v="971.19600000000003"/>
    <n v="1618.66"/>
    <n v="4"/>
    <n v="2091.2112947778714"/>
    <n v="4497.6779999999999"/>
    <n v="46617.408000000003"/>
    <n v="15539.136000000002"/>
    <n v="-3040.884"/>
    <n v="-0.6761008680479127"/>
  </r>
  <r>
    <n v="507"/>
    <n v="124"/>
    <d v="2025-09-24T00:00:00"/>
    <n v="25"/>
    <n v="2"/>
    <n v="4063.6091999999999"/>
    <x v="149"/>
    <x v="3"/>
    <n v="2487.924"/>
    <n v="4146.54"/>
    <n v="3"/>
    <n v="4556.084875576631"/>
    <n v="7575.8475000000008"/>
    <n v="101590.23"/>
    <n v="39392.129999999997"/>
    <n v="-3512.2383000000009"/>
    <n v="-0.46360995254986331"/>
  </r>
  <r>
    <n v="508"/>
    <n v="88"/>
    <d v="2023-07-06T00:00:00"/>
    <n v="49"/>
    <n v="6"/>
    <n v="5862.1502"/>
    <x v="116"/>
    <x v="5"/>
    <n v="3741.7979999999998"/>
    <n v="6236.33"/>
    <n v="5"/>
    <n v="6834.7797978029084"/>
    <n v="4981.5050000000001"/>
    <n v="287245.35979999998"/>
    <n v="103897.25780000001"/>
    <n v="880.64519999999993"/>
    <n v="0.17678296016966757"/>
  </r>
  <r>
    <n v="509"/>
    <n v="30"/>
    <d v="2023-08-02T00:00:00"/>
    <n v="12"/>
    <n v="9"/>
    <n v="1863.9894000000002"/>
    <x v="123"/>
    <x v="1"/>
    <n v="1229.0040000000001"/>
    <n v="2048.34"/>
    <n v="1"/>
    <n v="2164.3488504155825"/>
    <n v="4153.6075000000001"/>
    <n v="22367.872800000001"/>
    <n v="7619.8248000000003"/>
    <n v="-2289.6180999999997"/>
    <n v="-0.55123602795882842"/>
  </r>
  <r>
    <n v="510"/>
    <n v="123"/>
    <d v="2025-05-20T00:00:00"/>
    <n v="12"/>
    <n v="6"/>
    <n v="4349.9627999999993"/>
    <x v="148"/>
    <x v="3"/>
    <n v="2776.5719999999997"/>
    <n v="4627.62"/>
    <n v="2"/>
    <n v="5717.1077679330756"/>
    <n v="809.94800000000009"/>
    <n v="52199.553599999992"/>
    <n v="18880.689599999998"/>
    <n v="3540.014799999999"/>
    <n v="4.3706692281479782"/>
  </r>
  <r>
    <n v="511"/>
    <n v="143"/>
    <d v="2024-09-28T00:00:00"/>
    <n v="23"/>
    <n v="10"/>
    <n v="270.26100000000002"/>
    <x v="139"/>
    <x v="1"/>
    <n v="180.17400000000001"/>
    <n v="300.29000000000002"/>
    <n v="5"/>
    <n v="331.91505353148239"/>
    <n v="2883.9133333333339"/>
    <n v="6216.0030000000006"/>
    <n v="2072.0010000000002"/>
    <n v="-2613.6523333333339"/>
    <n v="-0.90628671226828361"/>
  </r>
  <r>
    <n v="512"/>
    <n v="30"/>
    <d v="2024-02-01T00:00:00"/>
    <n v="26"/>
    <n v="7"/>
    <n v="1904.9562000000001"/>
    <x v="123"/>
    <x v="1"/>
    <n v="1229.0040000000001"/>
    <n v="2048.34"/>
    <n v="1"/>
    <n v="2632.1009133792591"/>
    <n v="4153.6075000000001"/>
    <n v="49528.861199999999"/>
    <n v="17574.7572"/>
    <n v="-2248.6513"/>
    <n v="-0.54137308351836322"/>
  </r>
  <r>
    <n v="513"/>
    <n v="33"/>
    <d v="2023-06-16T00:00:00"/>
    <n v="33"/>
    <n v="10"/>
    <n v="4547.6909999999998"/>
    <x v="84"/>
    <x v="0"/>
    <n v="3031.7939999999999"/>
    <n v="5052.99"/>
    <n v="3"/>
    <n v="5599.2434297960035"/>
    <n v="2776.7875000000004"/>
    <n v="150073.80299999999"/>
    <n v="50024.600999999995"/>
    <n v="1770.9034999999994"/>
    <n v="0.63775261880860501"/>
  </r>
  <r>
    <n v="514"/>
    <n v="87"/>
    <d v="2025-02-21T00:00:00"/>
    <n v="31"/>
    <n v="6"/>
    <n v="3848.4727999999996"/>
    <x v="15"/>
    <x v="5"/>
    <n v="2456.4719999999998"/>
    <n v="4094.12"/>
    <n v="2"/>
    <n v="5138.1022675673148"/>
    <n v="493.79250000000002"/>
    <n v="119302.65679999998"/>
    <n v="43152.024799999992"/>
    <n v="3354.6802999999995"/>
    <n v="6.7937044406304254"/>
  </r>
  <r>
    <n v="515"/>
    <n v="138"/>
    <d v="2023-01-11T00:00:00"/>
    <n v="21"/>
    <n v="7"/>
    <n v="2875.0856999999996"/>
    <x v="13"/>
    <x v="4"/>
    <n v="1854.8939999999998"/>
    <n v="3091.49"/>
    <n v="5"/>
    <n v="3371.6682137692355"/>
    <n v="4980.4933333333329"/>
    <n v="60376.799699999989"/>
    <n v="21424.025699999998"/>
    <n v="-2105.4076333333333"/>
    <n v="-0.42273074019441181"/>
  </r>
  <r>
    <n v="516"/>
    <n v="74"/>
    <d v="2024-08-05T00:00:00"/>
    <n v="46"/>
    <n v="6"/>
    <n v="1790.8973999999998"/>
    <x v="78"/>
    <x v="3"/>
    <n v="1143.126"/>
    <n v="1905.21"/>
    <n v="5"/>
    <n v="2314.2025124638121"/>
    <n v="2585.9039999999995"/>
    <n v="82381.280399999989"/>
    <n v="29797.484399999994"/>
    <n v="-795.00659999999971"/>
    <n v="-0.30743855920405394"/>
  </r>
  <r>
    <n v="517"/>
    <n v="131"/>
    <d v="2023-07-30T00:00:00"/>
    <n v="15"/>
    <n v="6"/>
    <n v="5821.0252"/>
    <x v="109"/>
    <x v="6"/>
    <n v="3715.5479999999998"/>
    <n v="6192.58"/>
    <n v="3"/>
    <n v="6329.2353895057431"/>
    <n v="1795.3133333333335"/>
    <n v="87315.377999999997"/>
    <n v="31582.158000000003"/>
    <n v="4025.7118666666665"/>
    <n v="2.2423449945599092"/>
  </r>
  <r>
    <n v="518"/>
    <n v="54"/>
    <d v="2024-08-27T00:00:00"/>
    <n v="41"/>
    <n v="8"/>
    <n v="855.18600000000004"/>
    <x v="50"/>
    <x v="2"/>
    <n v="557.7299999999999"/>
    <n v="929.55"/>
    <n v="3"/>
    <n v="1111.5025236952497"/>
    <n v="2958.2974999999997"/>
    <n v="35062.626000000004"/>
    <n v="12195.696000000005"/>
    <n v="-2103.1114999999995"/>
    <n v="-0.71091954071556351"/>
  </r>
  <r>
    <n v="519"/>
    <n v="5"/>
    <d v="2024-08-13T00:00:00"/>
    <n v="26"/>
    <n v="4"/>
    <n v="797.04"/>
    <x v="113"/>
    <x v="6"/>
    <n v="498.15"/>
    <n v="830.25"/>
    <n v="5"/>
    <n v="845.09098355473998"/>
    <n v="7010.5333333333328"/>
    <n v="20723.04"/>
    <n v="7771.1399999999994"/>
    <n v="-6213.4933333333329"/>
    <n v="-0.88630822191369174"/>
  </r>
  <r>
    <n v="520"/>
    <n v="19"/>
    <d v="2024-03-22T00:00:00"/>
    <n v="4"/>
    <n v="9"/>
    <n v="3103.8553000000002"/>
    <x v="95"/>
    <x v="0"/>
    <n v="2046.4979999999998"/>
    <n v="3410.83"/>
    <n v="2"/>
    <n v="4356.9202021717256"/>
    <n v="1213.8383333333334"/>
    <n v="12415.421200000001"/>
    <n v="4229.4292000000014"/>
    <n v="1890.0169666666668"/>
    <n v="1.557058229885089"/>
  </r>
  <r>
    <n v="521"/>
    <n v="142"/>
    <d v="2025-12-11T00:00:00"/>
    <n v="25"/>
    <n v="8"/>
    <n v="2743.7528000000002"/>
    <x v="141"/>
    <x v="3"/>
    <n v="1789.404"/>
    <n v="2982.34"/>
    <n v="4"/>
    <n v="3262.0405225933687"/>
    <n v="2210.1966666666667"/>
    <n v="68593.820000000007"/>
    <n v="23858.720000000005"/>
    <n v="533.55613333333349"/>
    <n v="0.24140663198900858"/>
  </r>
  <r>
    <n v="522"/>
    <n v="75"/>
    <d v="2025-05-09T00:00:00"/>
    <n v="16"/>
    <n v="7"/>
    <n v="3509.2991999999999"/>
    <x v="128"/>
    <x v="3"/>
    <n v="2264.0639999999999"/>
    <n v="3773.44"/>
    <n v="4"/>
    <n v="4732.6283510297771"/>
    <n v="3293.6366666666668"/>
    <n v="56148.787199999999"/>
    <n v="19923.763200000001"/>
    <n v="215.66253333333316"/>
    <n v="6.5478543980260873E-2"/>
  </r>
  <r>
    <n v="523"/>
    <n v="36"/>
    <d v="2025-06-09T00:00:00"/>
    <n v="50"/>
    <n v="10"/>
    <n v="132.66"/>
    <x v="57"/>
    <x v="0"/>
    <n v="88.44"/>
    <n v="147.4"/>
    <n v="3"/>
    <n v="154.61215702586108"/>
    <n v="2726.4116666666664"/>
    <n v="6633"/>
    <n v="2211"/>
    <n v="-2593.7516666666666"/>
    <n v="-0.95134263778947548"/>
  </r>
  <r>
    <n v="524"/>
    <n v="87"/>
    <d v="2023-11-22T00:00:00"/>
    <n v="18"/>
    <n v="4"/>
    <n v="3930.3552"/>
    <x v="15"/>
    <x v="5"/>
    <n v="2456.4719999999998"/>
    <n v="4094.12"/>
    <n v="2"/>
    <n v="4801.6170168544477"/>
    <n v="493.79250000000002"/>
    <n v="70746.393599999996"/>
    <n v="26529.897600000004"/>
    <n v="3436.5626999999999"/>
    <n v="6.959527939367244"/>
  </r>
  <r>
    <n v="525"/>
    <n v="82"/>
    <d v="2025-08-11T00:00:00"/>
    <n v="5"/>
    <n v="4"/>
    <n v="1220.3712"/>
    <x v="7"/>
    <x v="4"/>
    <n v="762.73199999999997"/>
    <n v="1271.22"/>
    <n v="2"/>
    <n v="1453.9011665726555"/>
    <n v="2617.7080000000001"/>
    <n v="6101.8559999999998"/>
    <n v="2288.1960000000004"/>
    <n v="-1397.3368"/>
    <n v="-0.53380163104517386"/>
  </r>
  <r>
    <n v="526"/>
    <n v="77"/>
    <d v="2025-08-19T00:00:00"/>
    <n v="41"/>
    <n v="2"/>
    <n v="1965.8604"/>
    <x v="48"/>
    <x v="7"/>
    <n v="1203.588"/>
    <n v="2005.98"/>
    <n v="1"/>
    <n v="2329.6392484422881"/>
    <n v="4139.2699999999995"/>
    <n v="80600.276400000002"/>
    <n v="31253.168400000002"/>
    <n v="-2173.4095999999995"/>
    <n v="-0.52507074919007457"/>
  </r>
  <r>
    <n v="527"/>
    <n v="80"/>
    <d v="2023-11-27T00:00:00"/>
    <n v="34"/>
    <n v="4"/>
    <n v="959.10720000000003"/>
    <x v="130"/>
    <x v="0"/>
    <n v="599.44200000000001"/>
    <n v="999.07"/>
    <n v="5"/>
    <n v="1055.9021807200243"/>
    <n v="4319.1966666666667"/>
    <n v="32609.644800000002"/>
    <n v="12228.616800000002"/>
    <n v="-3360.0894666666668"/>
    <n v="-0.77794315146566606"/>
  </r>
  <r>
    <n v="528"/>
    <n v="41"/>
    <d v="2025-10-22T00:00:00"/>
    <n v="13"/>
    <n v="5"/>
    <n v="2927.3964999999998"/>
    <x v="72"/>
    <x v="7"/>
    <n v="1848.8819999999998"/>
    <n v="3081.47"/>
    <n v="1"/>
    <n v="3194.9765577181579"/>
    <n v="1589.1249999999998"/>
    <n v="38056.154499999997"/>
    <n v="14020.6885"/>
    <n v="1338.2715000000001"/>
    <n v="0.84214363250216329"/>
  </r>
  <r>
    <n v="529"/>
    <n v="130"/>
    <d v="2025-11-27T00:00:00"/>
    <n v="4"/>
    <n v="7"/>
    <n v="2962.5056999999997"/>
    <x v="111"/>
    <x v="4"/>
    <n v="1911.2939999999999"/>
    <n v="3185.49"/>
    <n v="5"/>
    <n v="3591.1613390169268"/>
    <n v="3865.1374999999998"/>
    <n v="11850.022799999999"/>
    <n v="4204.8467999999993"/>
    <n v="-902.63180000000011"/>
    <n v="-0.2335316143345483"/>
  </r>
  <r>
    <n v="530"/>
    <n v="39"/>
    <d v="2024-05-12T00:00:00"/>
    <n v="37"/>
    <n v="2"/>
    <n v="3143.4283999999998"/>
    <x v="49"/>
    <x v="6"/>
    <n v="1924.5479999999998"/>
    <n v="3207.58"/>
    <n v="1"/>
    <n v="3373.6782399538465"/>
    <n v="9555.6079999999984"/>
    <n v="116306.85079999999"/>
    <n v="45098.574800000002"/>
    <n v="-6412.1795999999986"/>
    <n v="-0.671038368254537"/>
  </r>
  <r>
    <n v="531"/>
    <n v="100"/>
    <d v="2024-05-21T00:00:00"/>
    <n v="15"/>
    <n v="9"/>
    <n v="3716.3126000000002"/>
    <x v="21"/>
    <x v="3"/>
    <n v="2450.3159999999998"/>
    <n v="4083.86"/>
    <n v="3"/>
    <n v="4831.7140729670446"/>
    <n v="3659.5875000000001"/>
    <n v="55744.689000000006"/>
    <n v="18989.949000000008"/>
    <n v="56.725100000000111"/>
    <n v="1.5500408174418594E-2"/>
  </r>
  <r>
    <n v="532"/>
    <n v="17"/>
    <d v="2024-12-22T00:00:00"/>
    <n v="17"/>
    <n v="9"/>
    <n v="2711.0447000000004"/>
    <x v="135"/>
    <x v="4"/>
    <n v="1787.502"/>
    <n v="2979.17"/>
    <n v="2"/>
    <n v="3289.3637165586019"/>
    <n v="1105.6675"/>
    <n v="46087.759900000005"/>
    <n v="15700.225900000007"/>
    <n v="1605.3772000000004"/>
    <n v="1.4519529605419355"/>
  </r>
  <r>
    <n v="533"/>
    <n v="2"/>
    <d v="2024-10-19T00:00:00"/>
    <n v="50"/>
    <n v="9"/>
    <n v="4026.5497999999998"/>
    <x v="64"/>
    <x v="0"/>
    <n v="2654.8679999999999"/>
    <n v="4424.78"/>
    <n v="4"/>
    <n v="5483.1460859908975"/>
    <n v="1807.3"/>
    <n v="201327.49"/>
    <n v="68584.09"/>
    <n v="2219.2497999999996"/>
    <n v="1.2279365904941071"/>
  </r>
  <r>
    <n v="534"/>
    <n v="36"/>
    <d v="2025-12-07T00:00:00"/>
    <n v="42"/>
    <n v="5"/>
    <n v="140.03"/>
    <x v="57"/>
    <x v="0"/>
    <n v="88.44"/>
    <n v="147.4"/>
    <n v="3"/>
    <n v="166.54056527299011"/>
    <n v="2726.4116666666664"/>
    <n v="5881.26"/>
    <n v="2166.7800000000002"/>
    <n v="-2586.3816666666662"/>
    <n v="-0.9486394510000018"/>
  </r>
  <r>
    <n v="535"/>
    <n v="88"/>
    <d v="2023-01-26T00:00:00"/>
    <n v="36"/>
    <n v="8"/>
    <n v="5737.4236000000001"/>
    <x v="116"/>
    <x v="5"/>
    <n v="3741.7979999999998"/>
    <n v="6236.33"/>
    <n v="5"/>
    <n v="8107.0245585838493"/>
    <n v="4981.5050000000001"/>
    <n v="206547.24960000001"/>
    <n v="71842.521600000007"/>
    <n v="755.91859999999997"/>
    <n v="0.15174502484690872"/>
  </r>
  <r>
    <n v="536"/>
    <n v="65"/>
    <d v="2023-04-04T00:00:00"/>
    <n v="30"/>
    <n v="6"/>
    <n v="4240.6783999999998"/>
    <x v="90"/>
    <x v="2"/>
    <n v="2706.8159999999998"/>
    <n v="4511.3599999999997"/>
    <n v="1"/>
    <n v="5822.1565859556267"/>
    <n v="1786.8475000000001"/>
    <n v="127220.352"/>
    <n v="46015.872000000003"/>
    <n v="2453.8308999999999"/>
    <n v="1.3732738244310159"/>
  </r>
  <r>
    <n v="537"/>
    <n v="92"/>
    <d v="2024-02-04T00:00:00"/>
    <n v="25"/>
    <n v="4"/>
    <n v="3434.8991999999998"/>
    <x v="88"/>
    <x v="1"/>
    <n v="2146.8119999999999"/>
    <n v="3578.02"/>
    <n v="5"/>
    <n v="4267.5033549857499"/>
    <n v="5387.83"/>
    <n v="85872.48"/>
    <n v="32202.18"/>
    <n v="-1952.9308000000001"/>
    <n v="-0.36247075353157027"/>
  </r>
  <r>
    <n v="538"/>
    <n v="26"/>
    <d v="2025-10-26T00:00:00"/>
    <n v="37"/>
    <n v="6"/>
    <n v="5298.7047999999995"/>
    <x v="100"/>
    <x v="7"/>
    <n v="3382.152"/>
    <n v="5636.92"/>
    <n v="4"/>
    <n v="6209.629452565573"/>
    <n v="3474.7766666666666"/>
    <n v="196052.07759999999"/>
    <n v="70912.453599999979"/>
    <n v="1823.9281333333329"/>
    <n v="0.5249051401864675"/>
  </r>
  <r>
    <n v="539"/>
    <n v="118"/>
    <d v="2023-04-09T00:00:00"/>
    <n v="41"/>
    <n v="2"/>
    <n v="3086.2649999999999"/>
    <x v="131"/>
    <x v="1"/>
    <n v="1889.55"/>
    <n v="3149.25"/>
    <n v="5"/>
    <n v="3700.3995500681235"/>
    <n v="224.52399999999997"/>
    <n v="126536.86499999999"/>
    <n v="49065.314999999995"/>
    <n v="2861.741"/>
    <n v="12.745813365163636"/>
  </r>
  <r>
    <n v="540"/>
    <n v="59"/>
    <d v="2025-12-13T00:00:00"/>
    <n v="36"/>
    <n v="7"/>
    <n v="3859.9742999999999"/>
    <x v="43"/>
    <x v="5"/>
    <n v="2490.306"/>
    <n v="4150.51"/>
    <n v="3"/>
    <n v="4753.9770787904545"/>
    <n v="6105.9674999999997"/>
    <n v="138959.0748"/>
    <n v="49308.058799999992"/>
    <n v="-2245.9931999999999"/>
    <n v="-0.36783576067183454"/>
  </r>
  <r>
    <n v="541"/>
    <n v="98"/>
    <d v="2023-01-03T00:00:00"/>
    <n v="9"/>
    <n v="10"/>
    <n v="7026.9120000000003"/>
    <x v="124"/>
    <x v="1"/>
    <n v="4684.6080000000002"/>
    <n v="7807.68"/>
    <n v="3"/>
    <n v="9394.8444427656996"/>
    <n v="6533.69"/>
    <n v="63242.207999999999"/>
    <n v="21080.736000000001"/>
    <n v="493.22200000000066"/>
    <n v="7.5489042179840288E-2"/>
  </r>
  <r>
    <n v="542"/>
    <n v="78"/>
    <d v="2024-08-30T00:00:00"/>
    <n v="8"/>
    <n v="5"/>
    <n v="822.45299999999997"/>
    <x v="26"/>
    <x v="2"/>
    <n v="519.44399999999996"/>
    <n v="865.74"/>
    <n v="4"/>
    <n v="925.23995365532778"/>
    <n v="398.392"/>
    <n v="6579.6239999999998"/>
    <n v="2424.0720000000001"/>
    <n v="424.06099999999998"/>
    <n v="1.06443151468905"/>
  </r>
  <r>
    <n v="543"/>
    <n v="42"/>
    <d v="2024-08-04T00:00:00"/>
    <n v="31"/>
    <n v="5"/>
    <n v="406.22"/>
    <x v="132"/>
    <x v="1"/>
    <n v="256.56"/>
    <n v="427.6"/>
    <n v="2"/>
    <n v="443.54900614723215"/>
    <n v="513.45666666666671"/>
    <n v="12592.820000000002"/>
    <n v="4639.4600000000009"/>
    <n v="-107.23666666666668"/>
    <n v="-0.20885241857475803"/>
  </r>
  <r>
    <n v="544"/>
    <n v="149"/>
    <d v="2025-09-08T00:00:00"/>
    <n v="43"/>
    <n v="10"/>
    <n v="5515.0019999999995"/>
    <x v="14"/>
    <x v="5"/>
    <n v="3676.6679999999997"/>
    <n v="6127.78"/>
    <n v="4"/>
    <n v="6324.2103430783154"/>
    <n v="3159.4639999999999"/>
    <n v="237145.08599999998"/>
    <n v="79048.361999999994"/>
    <n v="2355.5379999999996"/>
    <n v="0.7455498780805857"/>
  </r>
  <r>
    <n v="545"/>
    <n v="150"/>
    <d v="2024-05-23T00:00:00"/>
    <n v="10"/>
    <n v="5"/>
    <n v="2175.2339999999999"/>
    <x v="29"/>
    <x v="1"/>
    <n v="1373.8319999999999"/>
    <n v="2289.7199999999998"/>
    <n v="3"/>
    <n v="2809.8304760530887"/>
    <n v="1810.3166666666666"/>
    <n v="21752.34"/>
    <n v="8014.02"/>
    <n v="364.91733333333332"/>
    <n v="0.20157651976173596"/>
  </r>
  <r>
    <n v="546"/>
    <n v="91"/>
    <d v="2025-02-19T00:00:00"/>
    <n v="45"/>
    <n v="7"/>
    <n v="2941.5899999999997"/>
    <x v="35"/>
    <x v="3"/>
    <n v="1897.8"/>
    <n v="3163"/>
    <n v="2"/>
    <n v="3970.3310068021278"/>
    <n v="4782.2433333333329"/>
    <n v="132371.54999999999"/>
    <n v="46970.549999999988"/>
    <n v="-1840.6533333333332"/>
    <n v="-0.38489328230196013"/>
  </r>
  <r>
    <n v="547"/>
    <n v="31"/>
    <d v="2024-06-23T00:00:00"/>
    <n v="45"/>
    <n v="9"/>
    <n v="931.14840000000004"/>
    <x v="52"/>
    <x v="5"/>
    <n v="613.94399999999996"/>
    <n v="1023.24"/>
    <n v="2"/>
    <n v="1029.5776524954524"/>
    <n v="1065.8219999999999"/>
    <n v="41901.678"/>
    <n v="14274.198000000004"/>
    <n v="-134.67359999999985"/>
    <n v="-0.12635655859984113"/>
  </r>
  <r>
    <n v="548"/>
    <n v="24"/>
    <d v="2025-06-08T00:00:00"/>
    <n v="45"/>
    <n v="9"/>
    <n v="3636.8332"/>
    <x v="32"/>
    <x v="7"/>
    <n v="2397.9119999999998"/>
    <n v="3996.52"/>
    <n v="4"/>
    <n v="4333.4809387888399"/>
    <n v="3028.7733333333331"/>
    <n v="163657.49400000001"/>
    <n v="55751.454000000012"/>
    <n v="608.05986666666695"/>
    <n v="0.20076110020338278"/>
  </r>
  <r>
    <n v="549"/>
    <n v="102"/>
    <d v="2024-08-17T00:00:00"/>
    <n v="50"/>
    <n v="8"/>
    <n v="3812.4247999999998"/>
    <x v="143"/>
    <x v="1"/>
    <n v="2486.3639999999996"/>
    <n v="4143.9399999999996"/>
    <n v="4"/>
    <n v="4864.6278860442335"/>
    <n v="2740.84"/>
    <n v="190621.24"/>
    <n v="66303.040000000008"/>
    <n v="1071.5847999999996"/>
    <n v="0.39096948380788354"/>
  </r>
  <r>
    <n v="550"/>
    <n v="99"/>
    <d v="2023-07-16T00:00:00"/>
    <n v="19"/>
    <n v="5"/>
    <n v="1941.7809999999999"/>
    <x v="106"/>
    <x v="3"/>
    <n v="1226.3879999999999"/>
    <n v="2043.98"/>
    <n v="2"/>
    <n v="2398.9539234799372"/>
    <n v="958.76666666666654"/>
    <n v="36893.839"/>
    <n v="13592.467000000001"/>
    <n v="983.01433333333341"/>
    <n v="1.0252904773493727"/>
  </r>
  <r>
    <n v="551"/>
    <n v="86"/>
    <d v="2025-03-24T00:00:00"/>
    <n v="29"/>
    <n v="9"/>
    <n v="2841.8481000000002"/>
    <x v="39"/>
    <x v="1"/>
    <n v="1873.7459999999999"/>
    <n v="3122.91"/>
    <n v="4"/>
    <n v="3143.4719278045072"/>
    <n v="2919.076"/>
    <n v="82413.594900000011"/>
    <n v="28074.960900000009"/>
    <n v="-77.227899999999863"/>
    <n v="-2.6456282741525009E-2"/>
  </r>
  <r>
    <n v="552"/>
    <n v="47"/>
    <d v="2024-02-14T00:00:00"/>
    <n v="23"/>
    <n v="5"/>
    <n v="3242.9009999999998"/>
    <x v="112"/>
    <x v="2"/>
    <n v="2048.1479999999997"/>
    <n v="3413.58"/>
    <n v="5"/>
    <n v="4139.7700356505411"/>
    <n v="2051.0440000000003"/>
    <n v="74586.722999999998"/>
    <n v="27479.319000000003"/>
    <n v="1191.8569999999995"/>
    <n v="0.58109772389085723"/>
  </r>
  <r>
    <n v="553"/>
    <n v="70"/>
    <d v="2025-02-12T00:00:00"/>
    <n v="22"/>
    <n v="7"/>
    <n v="3747.6674999999996"/>
    <x v="98"/>
    <x v="7"/>
    <n v="2417.85"/>
    <n v="4029.75"/>
    <n v="1"/>
    <n v="4836.3663355884801"/>
    <n v="2158.7083333333335"/>
    <n v="82448.684999999998"/>
    <n v="29255.984999999993"/>
    <n v="1588.9591666666661"/>
    <n v="0.73606940878997829"/>
  </r>
  <r>
    <n v="554"/>
    <n v="59"/>
    <d v="2023-09-18T00:00:00"/>
    <n v="31"/>
    <n v="9"/>
    <n v="3776.9641000000001"/>
    <x v="43"/>
    <x v="5"/>
    <n v="2490.306"/>
    <n v="4150.51"/>
    <n v="3"/>
    <n v="4461.0013059070907"/>
    <n v="6105.9674999999997"/>
    <n v="117085.88710000001"/>
    <n v="39886.401100000003"/>
    <n v="-2329.0033999999996"/>
    <n v="-0.38143069054985956"/>
  </r>
  <r>
    <n v="555"/>
    <n v="99"/>
    <d v="2023-06-26T00:00:00"/>
    <n v="28"/>
    <n v="3"/>
    <n v="1982.6605999999999"/>
    <x v="106"/>
    <x v="3"/>
    <n v="1226.3879999999999"/>
    <n v="2043.98"/>
    <n v="2"/>
    <n v="2599.61413502394"/>
    <n v="958.76666666666654"/>
    <n v="55514.496800000001"/>
    <n v="21175.632799999999"/>
    <n v="1023.8939333333334"/>
    <n v="1.0679281716093594"/>
  </r>
  <r>
    <n v="556"/>
    <n v="117"/>
    <d v="2025-01-04T00:00:00"/>
    <n v="30"/>
    <n v="8"/>
    <n v="1957.0056"/>
    <x v="1"/>
    <x v="0"/>
    <n v="1276.3079999999998"/>
    <n v="2127.1799999999998"/>
    <n v="1"/>
    <n v="2188.3159059584873"/>
    <n v="892.9766666666668"/>
    <n v="58710.167999999998"/>
    <n v="20420.928000000007"/>
    <n v="1064.028933333333"/>
    <n v="1.1915528961189723"/>
  </r>
  <r>
    <n v="557"/>
    <n v="88"/>
    <d v="2024-04-27T00:00:00"/>
    <n v="9"/>
    <n v="3"/>
    <n v="6049.2401"/>
    <x v="116"/>
    <x v="5"/>
    <n v="3741.7979999999998"/>
    <n v="6236.33"/>
    <n v="5"/>
    <n v="7896.1392629089778"/>
    <n v="4981.5050000000001"/>
    <n v="54443.160900000003"/>
    <n v="20766.978900000002"/>
    <n v="1067.7350999999999"/>
    <n v="0.2143398631538059"/>
  </r>
  <r>
    <n v="558"/>
    <n v="62"/>
    <d v="2023-12-11T00:00:00"/>
    <n v="31"/>
    <n v="5"/>
    <n v="3285.0430000000001"/>
    <x v="79"/>
    <x v="7"/>
    <n v="2074.7640000000001"/>
    <n v="3457.94"/>
    <n v="4"/>
    <n v="4137.1465391663296"/>
    <n v="5560.3266666666668"/>
    <n v="101836.333"/>
    <n v="37518.648999999998"/>
    <n v="-2275.2836666666667"/>
    <n v="-0.40919963934972647"/>
  </r>
  <r>
    <n v="559"/>
    <n v="56"/>
    <d v="2023-05-21T00:00:00"/>
    <n v="29"/>
    <n v="6"/>
    <n v="7502.8919999999998"/>
    <x v="17"/>
    <x v="5"/>
    <n v="4789.08"/>
    <n v="7981.8"/>
    <n v="5"/>
    <n v="9800.8466102398143"/>
    <n v="3458.9274999999998"/>
    <n v="217583.86799999999"/>
    <n v="78700.547999999995"/>
    <n v="4043.9645"/>
    <n v="1.1691382661243985"/>
  </r>
  <r>
    <n v="560"/>
    <n v="26"/>
    <d v="2024-08-04T00:00:00"/>
    <n v="32"/>
    <n v="6"/>
    <n v="5298.7047999999995"/>
    <x v="100"/>
    <x v="7"/>
    <n v="3382.152"/>
    <n v="5636.92"/>
    <n v="4"/>
    <n v="6325.4600098761275"/>
    <n v="3474.7766666666666"/>
    <n v="169558.55359999998"/>
    <n v="61329.689599999983"/>
    <n v="1823.9281333333329"/>
    <n v="0.5249051401864675"/>
  </r>
  <r>
    <n v="561"/>
    <n v="85"/>
    <d v="2023-12-20T00:00:00"/>
    <n v="36"/>
    <n v="8"/>
    <n v="3452.7876000000001"/>
    <x v="42"/>
    <x v="3"/>
    <n v="2251.8180000000002"/>
    <n v="3753.03"/>
    <n v="1"/>
    <n v="4295.4731420520584"/>
    <n v="3340.25"/>
    <n v="124300.3536"/>
    <n v="43234.905599999998"/>
    <n v="112.53760000000011"/>
    <n v="3.369137040640674E-2"/>
  </r>
  <r>
    <n v="562"/>
    <n v="87"/>
    <d v="2025-08-09T00:00:00"/>
    <n v="29"/>
    <n v="4"/>
    <n v="3930.3552"/>
    <x v="15"/>
    <x v="5"/>
    <n v="2456.4719999999998"/>
    <n v="4094.12"/>
    <n v="2"/>
    <n v="5024.7708991089848"/>
    <n v="493.79250000000002"/>
    <n v="113980.3008"/>
    <n v="42742.612800000003"/>
    <n v="3436.5626999999999"/>
    <n v="6.959527939367244"/>
  </r>
  <r>
    <n v="563"/>
    <n v="58"/>
    <d v="2023-06-03T00:00:00"/>
    <n v="46"/>
    <n v="7"/>
    <n v="1058.8793999999998"/>
    <x v="103"/>
    <x v="7"/>
    <n v="683.14799999999991"/>
    <n v="1138.58"/>
    <n v="2"/>
    <n v="1210.4016659758163"/>
    <n v="1439.8525"/>
    <n v="48708.452399999995"/>
    <n v="17283.644399999994"/>
    <n v="-380.97310000000016"/>
    <n v="-0.26459175505824395"/>
  </r>
  <r>
    <n v="564"/>
    <n v="42"/>
    <d v="2023-01-16T00:00:00"/>
    <n v="1"/>
    <n v="3"/>
    <n v="414.77199999999999"/>
    <x v="132"/>
    <x v="1"/>
    <n v="256.56"/>
    <n v="427.6"/>
    <n v="2"/>
    <n v="451.44925497845514"/>
    <n v="513.45666666666671"/>
    <n v="414.77199999999999"/>
    <n v="158.21199999999999"/>
    <n v="-98.684666666666715"/>
    <n v="-0.1921966800184372"/>
  </r>
  <r>
    <n v="565"/>
    <n v="89"/>
    <d v="2025-06-26T00:00:00"/>
    <n v="41"/>
    <n v="10"/>
    <n v="907.53300000000002"/>
    <x v="108"/>
    <x v="1"/>
    <n v="605.02199999999993"/>
    <n v="1008.37"/>
    <n v="4"/>
    <n v="1104.0543261799555"/>
    <n v="913.02"/>
    <n v="37208.853000000003"/>
    <n v="12402.951000000003"/>
    <n v="-5.4869999999999663"/>
    <n v="-6.0097259643819047E-3"/>
  </r>
  <r>
    <n v="566"/>
    <n v="53"/>
    <d v="2024-01-25T00:00:00"/>
    <n v="49"/>
    <n v="8"/>
    <n v="3187.2572"/>
    <x v="120"/>
    <x v="2"/>
    <n v="2078.6459999999997"/>
    <n v="3464.41"/>
    <n v="4"/>
    <n v="4365.8942436632442"/>
    <n v="954.33000000000015"/>
    <n v="156175.60279999999"/>
    <n v="54321.948800000013"/>
    <n v="2232.9272000000001"/>
    <n v="2.3397851896094641"/>
  </r>
  <r>
    <n v="567"/>
    <n v="2"/>
    <d v="2023-04-30T00:00:00"/>
    <n v="35"/>
    <n v="9"/>
    <n v="4026.5497999999998"/>
    <x v="64"/>
    <x v="0"/>
    <n v="2654.8679999999999"/>
    <n v="4424.78"/>
    <n v="4"/>
    <n v="5428.9979693383857"/>
    <n v="1807.3"/>
    <n v="140929.24299999999"/>
    <n v="48008.862999999998"/>
    <n v="2219.2497999999996"/>
    <n v="1.2279365904941071"/>
  </r>
  <r>
    <n v="568"/>
    <n v="36"/>
    <d v="2025-02-15T00:00:00"/>
    <n v="40"/>
    <n v="5"/>
    <n v="140.03"/>
    <x v="57"/>
    <x v="0"/>
    <n v="88.44"/>
    <n v="147.4"/>
    <n v="3"/>
    <n v="173.0638044826058"/>
    <n v="2726.4116666666664"/>
    <n v="5601.2"/>
    <n v="2063.6000000000004"/>
    <n v="-2586.3816666666662"/>
    <n v="-0.9486394510000018"/>
  </r>
  <r>
    <n v="569"/>
    <n v="133"/>
    <d v="2023-07-07T00:00:00"/>
    <n v="13"/>
    <n v="8"/>
    <n v="6076.5079999999998"/>
    <x v="40"/>
    <x v="1"/>
    <n v="3962.9399999999996"/>
    <n v="6604.9"/>
    <n v="4"/>
    <n v="7252.1719004369088"/>
    <n v="4666.1933333333336"/>
    <n v="78994.603999999992"/>
    <n v="27476.384000000002"/>
    <n v="1410.3146666666662"/>
    <n v="0.30224094158121739"/>
  </r>
  <r>
    <n v="570"/>
    <n v="69"/>
    <d v="2025-10-31T00:00:00"/>
    <n v="37"/>
    <n v="2"/>
    <n v="7309.5259999999998"/>
    <x v="102"/>
    <x v="1"/>
    <n v="4475.2199999999993"/>
    <n v="7458.7"/>
    <n v="3"/>
    <n v="9120.192515018025"/>
    <n v="809.57599999999991"/>
    <n v="270452.462"/>
    <n v="104869.32200000001"/>
    <n v="6499.95"/>
    <n v="8.028832376453849"/>
  </r>
  <r>
    <n v="571"/>
    <n v="79"/>
    <d v="2024-10-22T00:00:00"/>
    <n v="44"/>
    <n v="4"/>
    <n v="2119.6127999999999"/>
    <x v="134"/>
    <x v="2"/>
    <n v="1324.7579999999998"/>
    <n v="2207.9299999999998"/>
    <n v="1"/>
    <n v="2793.577907581996"/>
    <n v="197.005"/>
    <n v="93262.963199999998"/>
    <n v="34973.611199999999"/>
    <n v="1922.6077999999998"/>
    <n v="9.7591827618588347"/>
  </r>
  <r>
    <n v="572"/>
    <n v="116"/>
    <d v="2023-01-01T00:00:00"/>
    <n v="1"/>
    <n v="7"/>
    <n v="2197.7294999999999"/>
    <x v="58"/>
    <x v="1"/>
    <n v="1417.89"/>
    <n v="2363.15"/>
    <n v="5"/>
    <n v="2515.7158855875973"/>
    <n v="4469.4999999999991"/>
    <n v="2197.7294999999999"/>
    <n v="779.83949999999982"/>
    <n v="-2271.7704999999992"/>
    <n v="-0.50828291755229882"/>
  </r>
  <r>
    <n v="573"/>
    <n v="141"/>
    <d v="2024-06-16T00:00:00"/>
    <n v="10"/>
    <n v="3"/>
    <n v="7629.2342999999992"/>
    <x v="86"/>
    <x v="1"/>
    <n v="4719.1139999999996"/>
    <n v="7865.19"/>
    <n v="5"/>
    <n v="9972.5913841888578"/>
    <n v="7586.8133333333344"/>
    <n v="76292.342999999993"/>
    <n v="29101.202999999994"/>
    <n v="42.420966666664754"/>
    <n v="5.5914077232247818E-3"/>
  </r>
  <r>
    <n v="574"/>
    <n v="99"/>
    <d v="2023-09-29T00:00:00"/>
    <n v="18"/>
    <n v="6"/>
    <n v="1921.3411999999998"/>
    <x v="106"/>
    <x v="3"/>
    <n v="1226.3879999999999"/>
    <n v="2043.98"/>
    <n v="2"/>
    <n v="2546.8294644164421"/>
    <n v="958.76666666666654"/>
    <n v="34584.141599999995"/>
    <n v="12509.157599999999"/>
    <n v="962.57453333333331"/>
    <n v="1.0039716302193791"/>
  </r>
  <r>
    <n v="575"/>
    <n v="67"/>
    <d v="2025-01-11T00:00:00"/>
    <n v="9"/>
    <n v="4"/>
    <n v="1104.6815999999999"/>
    <x v="76"/>
    <x v="6"/>
    <n v="690.42600000000004"/>
    <n v="1150.71"/>
    <n v="4"/>
    <n v="1485.0784000003778"/>
    <n v="7069.7"/>
    <n v="9942.134399999999"/>
    <n v="3728.3003999999987"/>
    <n v="-5965.0183999999999"/>
    <n v="-0.84374420413878948"/>
  </r>
  <r>
    <n v="576"/>
    <n v="35"/>
    <d v="2025-05-23T00:00:00"/>
    <n v="40"/>
    <n v="8"/>
    <n v="124.37480000000001"/>
    <x v="104"/>
    <x v="3"/>
    <n v="81.11399999999999"/>
    <n v="135.19"/>
    <n v="3"/>
    <n v="144.88120695496227"/>
    <n v="2089.5899999999997"/>
    <n v="4974.9920000000002"/>
    <n v="1730.4320000000007"/>
    <n v="-1965.2151999999996"/>
    <n v="-0.94047884991792641"/>
  </r>
  <r>
    <n v="577"/>
    <n v="19"/>
    <d v="2023-07-05T00:00:00"/>
    <n v="45"/>
    <n v="5"/>
    <n v="3240.2884999999997"/>
    <x v="95"/>
    <x v="0"/>
    <n v="2046.4979999999998"/>
    <n v="3410.83"/>
    <n v="2"/>
    <n v="3435.0496129177063"/>
    <n v="1213.8383333333334"/>
    <n v="145812.98249999998"/>
    <n v="53720.572499999995"/>
    <n v="2026.4501666666663"/>
    <n v="1.6694563938360816"/>
  </r>
  <r>
    <n v="578"/>
    <n v="34"/>
    <d v="2023-04-14T00:00:00"/>
    <n v="48"/>
    <n v="7"/>
    <n v="1212.1527000000001"/>
    <x v="23"/>
    <x v="1"/>
    <n v="782.03399999999999"/>
    <n v="1303.3900000000001"/>
    <n v="2"/>
    <n v="1336.4061253183895"/>
    <n v="4145.4440000000004"/>
    <n v="58183.329600000005"/>
    <n v="20645.697600000007"/>
    <n v="-2933.2913000000003"/>
    <n v="-0.70759399958122704"/>
  </r>
  <r>
    <n v="579"/>
    <n v="44"/>
    <d v="2025-05-16T00:00:00"/>
    <n v="41"/>
    <n v="5"/>
    <n v="335.92"/>
    <x v="115"/>
    <x v="7"/>
    <n v="212.16"/>
    <n v="353.6"/>
    <n v="4"/>
    <n v="420.5398757315312"/>
    <n v="4064.8233333333333"/>
    <n v="13772.720000000001"/>
    <n v="5074.1600000000008"/>
    <n v="-3728.9033333333332"/>
    <n v="-0.91735926202614793"/>
  </r>
  <r>
    <n v="580"/>
    <n v="66"/>
    <d v="2025-07-31T00:00:00"/>
    <n v="5"/>
    <n v="2"/>
    <n v="5708.5097999999998"/>
    <x v="81"/>
    <x v="7"/>
    <n v="3495.0059999999999"/>
    <n v="5825.01"/>
    <n v="1"/>
    <n v="6717.4311117664438"/>
    <n v="6051.7379999999994"/>
    <n v="28542.548999999999"/>
    <n v="11067.519"/>
    <n v="-343.22819999999956"/>
    <n v="-5.6715641027420487E-2"/>
  </r>
  <r>
    <n v="581"/>
    <n v="44"/>
    <d v="2025-10-22T00:00:00"/>
    <n v="22"/>
    <n v="10"/>
    <n v="318.24"/>
    <x v="115"/>
    <x v="7"/>
    <n v="212.16"/>
    <n v="353.6"/>
    <n v="4"/>
    <n v="442.09466844437941"/>
    <n v="4064.8233333333333"/>
    <n v="7001.2800000000007"/>
    <n v="2333.7600000000002"/>
    <n v="-3746.583333333333"/>
    <n v="-0.92170877455108746"/>
  </r>
  <r>
    <n v="582"/>
    <n v="116"/>
    <d v="2025-03-10T00:00:00"/>
    <n v="37"/>
    <n v="7"/>
    <n v="2197.7294999999999"/>
    <x v="58"/>
    <x v="1"/>
    <n v="1417.89"/>
    <n v="2363.15"/>
    <n v="5"/>
    <n v="2568.8907863390168"/>
    <n v="4469.4999999999991"/>
    <n v="81315.991500000004"/>
    <n v="28854.061499999993"/>
    <n v="-2271.7704999999992"/>
    <n v="-0.50828291755229882"/>
  </r>
  <r>
    <n v="583"/>
    <n v="23"/>
    <d v="2023-05-05T00:00:00"/>
    <n v="8"/>
    <n v="2"/>
    <n v="3884.1320000000001"/>
    <x v="118"/>
    <x v="5"/>
    <n v="2378.04"/>
    <n v="3963.4"/>
    <n v="5"/>
    <n v="4986.3578730001036"/>
    <n v="5343.3279999999995"/>
    <n v="31073.056"/>
    <n v="12048.736000000001"/>
    <n v="-1459.1959999999995"/>
    <n v="-0.27308748405488109"/>
  </r>
  <r>
    <n v="584"/>
    <n v="84"/>
    <d v="2024-10-06T00:00:00"/>
    <n v="3"/>
    <n v="2"/>
    <n v="7604.9567999999999"/>
    <x v="80"/>
    <x v="6"/>
    <n v="4656.0959999999995"/>
    <n v="7760.16"/>
    <n v="1"/>
    <n v="7954.6773740981571"/>
    <n v="2588.9250000000002"/>
    <n v="22814.8704"/>
    <n v="8846.5824000000011"/>
    <n v="5016.0317999999997"/>
    <n v="1.9374959877169093"/>
  </r>
  <r>
    <n v="585"/>
    <n v="105"/>
    <d v="2025-03-29T00:00:00"/>
    <n v="39"/>
    <n v="2"/>
    <n v="4060.2183999999997"/>
    <x v="85"/>
    <x v="1"/>
    <n v="2485.848"/>
    <n v="4143.08"/>
    <n v="3"/>
    <n v="5208.7747845172089"/>
    <n v="4778.8849999999993"/>
    <n v="158348.51759999999"/>
    <n v="61400.445599999992"/>
    <n v="-718.66659999999956"/>
    <n v="-0.15038374014022093"/>
  </r>
  <r>
    <n v="586"/>
    <n v="99"/>
    <d v="2023-04-26T00:00:00"/>
    <n v="21"/>
    <n v="4"/>
    <n v="1962.2208000000001"/>
    <x v="106"/>
    <x v="3"/>
    <n v="1226.3879999999999"/>
    <n v="2043.98"/>
    <n v="2"/>
    <n v="2351.0189844883425"/>
    <n v="958.76666666666654"/>
    <n v="41206.6368"/>
    <n v="15452.488800000003"/>
    <n v="1003.4541333333335"/>
    <n v="1.0466093244793662"/>
  </r>
  <r>
    <n v="587"/>
    <n v="75"/>
    <d v="2024-06-12T00:00:00"/>
    <n v="35"/>
    <n v="2"/>
    <n v="3697.9712"/>
    <x v="128"/>
    <x v="3"/>
    <n v="2264.0639999999999"/>
    <n v="3773.44"/>
    <n v="4"/>
    <n v="4207.7445132642833"/>
    <n v="3293.6366666666668"/>
    <n v="129428.992"/>
    <n v="50186.752"/>
    <n v="404.33453333333318"/>
    <n v="0.12276233666737169"/>
  </r>
  <r>
    <n v="588"/>
    <n v="150"/>
    <d v="2025-12-23T00:00:00"/>
    <n v="6"/>
    <n v="8"/>
    <n v="2106.5423999999998"/>
    <x v="29"/>
    <x v="1"/>
    <n v="1373.8319999999999"/>
    <n v="2289.7199999999998"/>
    <n v="3"/>
    <n v="2632.5928977104932"/>
    <n v="1810.3166666666666"/>
    <n v="12639.254399999998"/>
    <n v="4396.2623999999996"/>
    <n v="296.22573333333321"/>
    <n v="0.16363199808504952"/>
  </r>
  <r>
    <n v="589"/>
    <n v="68"/>
    <d v="2025-11-17T00:00:00"/>
    <n v="40"/>
    <n v="5"/>
    <n v="5741.3154999999997"/>
    <x v="53"/>
    <x v="6"/>
    <n v="3626.0939999999996"/>
    <n v="6043.49"/>
    <n v="2"/>
    <n v="6257.4907697410754"/>
    <n v="796.21333333333325"/>
    <n v="229652.62"/>
    <n v="84608.86"/>
    <n v="4945.1021666666666"/>
    <n v="6.2107753784580355"/>
  </r>
  <r>
    <n v="590"/>
    <n v="135"/>
    <d v="2025-09-12T00:00:00"/>
    <n v="6"/>
    <n v="3"/>
    <n v="7546.3186999999998"/>
    <x v="140"/>
    <x v="0"/>
    <n v="4667.826"/>
    <n v="7779.71"/>
    <n v="5"/>
    <n v="8715.634760524712"/>
    <n v="4172.7833333333338"/>
    <n v="45277.912199999999"/>
    <n v="17270.956200000001"/>
    <n v="3373.5353666666661"/>
    <n v="0.8084616662739097"/>
  </r>
  <r>
    <n v="591"/>
    <n v="8"/>
    <d v="2025-01-10T00:00:00"/>
    <n v="39"/>
    <n v="9"/>
    <n v="5135.9853999999996"/>
    <x v="114"/>
    <x v="1"/>
    <n v="3386.3639999999996"/>
    <n v="5643.94"/>
    <n v="2"/>
    <n v="6314.9231893732476"/>
    <n v="2853.6650000000004"/>
    <n v="200303.43059999999"/>
    <n v="68235.234599999996"/>
    <n v="2282.3203999999992"/>
    <n v="0.79978567911790588"/>
  </r>
  <r>
    <n v="592"/>
    <n v="97"/>
    <d v="2024-03-04T00:00:00"/>
    <n v="47"/>
    <n v="7"/>
    <n v="857.12519999999995"/>
    <x v="73"/>
    <x v="0"/>
    <n v="552.98399999999992"/>
    <n v="921.64"/>
    <n v="3"/>
    <n v="985.60419833827984"/>
    <n v="2464.87"/>
    <n v="40284.884399999995"/>
    <n v="14294.636400000001"/>
    <n v="-1607.7447999999999"/>
    <n v="-0.65226352708256419"/>
  </r>
  <r>
    <n v="593"/>
    <n v="47"/>
    <d v="2025-06-15T00:00:00"/>
    <n v="18"/>
    <n v="5"/>
    <n v="3242.9009999999998"/>
    <x v="112"/>
    <x v="2"/>
    <n v="2048.1479999999997"/>
    <n v="3413.58"/>
    <n v="5"/>
    <n v="4226.286377791389"/>
    <n v="2051.0440000000003"/>
    <n v="58372.217999999993"/>
    <n v="21505.554000000004"/>
    <n v="1191.8569999999995"/>
    <n v="0.58109772389085723"/>
  </r>
  <r>
    <n v="594"/>
    <n v="144"/>
    <d v="2024-11-24T00:00:00"/>
    <n v="36"/>
    <n v="6"/>
    <n v="1483.5267999999999"/>
    <x v="77"/>
    <x v="0"/>
    <n v="946.93200000000002"/>
    <n v="1578.22"/>
    <n v="2"/>
    <n v="1859.8826134671824"/>
    <n v="6414.0239999999994"/>
    <n v="53406.964799999994"/>
    <n v="19317.412799999995"/>
    <n v="-4930.4971999999998"/>
    <n v="-0.76870576100120613"/>
  </r>
  <r>
    <n v="595"/>
    <n v="47"/>
    <d v="2025-02-21T00:00:00"/>
    <n v="34"/>
    <n v="7"/>
    <n v="3174.6293999999998"/>
    <x v="112"/>
    <x v="2"/>
    <n v="2048.1479999999997"/>
    <n v="3413.58"/>
    <n v="5"/>
    <n v="3470.9997152164729"/>
    <n v="2051.0440000000003"/>
    <n v="107937.39959999999"/>
    <n v="38300.367600000005"/>
    <n v="1123.5853999999995"/>
    <n v="0.54781145601947068"/>
  </r>
  <r>
    <n v="596"/>
    <n v="94"/>
    <d v="2023-08-09T00:00:00"/>
    <n v="23"/>
    <n v="2"/>
    <n v="4559.7244000000001"/>
    <x v="8"/>
    <x v="4"/>
    <n v="2791.6679999999997"/>
    <n v="4652.78"/>
    <n v="1"/>
    <n v="4892.1824942036083"/>
    <n v="6485.5883333333331"/>
    <n v="104873.6612"/>
    <n v="40665.297200000008"/>
    <n v="-1925.8639333333331"/>
    <n v="-0.29694513964680147"/>
  </r>
  <r>
    <n v="597"/>
    <n v="114"/>
    <d v="2023-08-22T00:00:00"/>
    <n v="33"/>
    <n v="2"/>
    <n v="7491.5217999999995"/>
    <x v="99"/>
    <x v="5"/>
    <n v="4586.6459999999997"/>
    <n v="7644.41"/>
    <n v="2"/>
    <n v="7758.8446407718866"/>
    <n v="6494.3074999999999"/>
    <n v="247220.21939999997"/>
    <n v="95860.901399999988"/>
    <n v="997.21429999999964"/>
    <n v="0.15355206078554173"/>
  </r>
  <r>
    <n v="598"/>
    <n v="139"/>
    <d v="2023-02-23T00:00:00"/>
    <n v="16"/>
    <n v="8"/>
    <n v="2383.7936"/>
    <x v="25"/>
    <x v="3"/>
    <n v="1554.6479999999999"/>
    <n v="2591.08"/>
    <n v="5"/>
    <n v="3218.685462211085"/>
    <n v="2839.1733333333336"/>
    <n v="38140.6976"/>
    <n v="13266.329600000001"/>
    <n v="-455.37973333333366"/>
    <n v="-0.16039166330105487"/>
  </r>
  <r>
    <n v="599"/>
    <n v="82"/>
    <d v="2023-09-11T00:00:00"/>
    <n v="22"/>
    <n v="4"/>
    <n v="1220.3712"/>
    <x v="7"/>
    <x v="4"/>
    <n v="762.73199999999997"/>
    <n v="1271.22"/>
    <n v="2"/>
    <n v="1361.5528770938088"/>
    <n v="2617.7080000000001"/>
    <n v="26848.166400000002"/>
    <n v="10068.062400000003"/>
    <n v="-1397.3368"/>
    <n v="-0.53380163104517386"/>
  </r>
  <r>
    <n v="600"/>
    <n v="26"/>
    <d v="2025-03-10T00:00:00"/>
    <n v="15"/>
    <n v="9"/>
    <n v="5129.5972000000002"/>
    <x v="100"/>
    <x v="7"/>
    <n v="3382.152"/>
    <n v="5636.92"/>
    <n v="4"/>
    <n v="6684.5931832852011"/>
    <n v="3474.7766666666666"/>
    <n v="76943.957999999999"/>
    <n v="26211.678"/>
    <n v="1654.8205333333335"/>
    <n v="0.47623795486136766"/>
  </r>
  <r>
    <n v="601"/>
    <n v="50"/>
    <d v="2025-09-26T00:00:00"/>
    <n v="36"/>
    <n v="9"/>
    <n v="1234.597"/>
    <x v="10"/>
    <x v="1"/>
    <n v="814.02"/>
    <n v="1356.7"/>
    <n v="3"/>
    <n v="1526.6589991769015"/>
    <n v="4909.6483333333335"/>
    <n v="44445.491999999998"/>
    <n v="15140.772000000001"/>
    <n v="-3675.0513333333338"/>
    <n v="-0.74853657203553958"/>
  </r>
  <r>
    <n v="602"/>
    <n v="49"/>
    <d v="2024-08-19T00:00:00"/>
    <n v="33"/>
    <n v="7"/>
    <n v="3130.6961999999999"/>
    <x v="136"/>
    <x v="6"/>
    <n v="2019.8040000000001"/>
    <n v="3366.34"/>
    <n v="4"/>
    <n v="4270.994360212002"/>
    <n v="1635.5425"/>
    <n v="103312.9746"/>
    <n v="36659.442599999995"/>
    <n v="1495.1536999999998"/>
    <n v="0.91416377134803883"/>
  </r>
  <r>
    <n v="603"/>
    <n v="131"/>
    <d v="2023-03-18T00:00:00"/>
    <n v="7"/>
    <n v="2"/>
    <n v="6068.7284"/>
    <x v="109"/>
    <x v="6"/>
    <n v="3715.5479999999998"/>
    <n v="6192.58"/>
    <n v="3"/>
    <n v="7254.1668420536444"/>
    <n v="1795.3133333333335"/>
    <n v="42481.0988"/>
    <n v="16472.2628"/>
    <n v="4273.4150666666665"/>
    <n v="2.3803171219879906"/>
  </r>
  <r>
    <n v="604"/>
    <n v="56"/>
    <d v="2024-06-10T00:00:00"/>
    <n v="48"/>
    <n v="6"/>
    <n v="7502.8919999999998"/>
    <x v="17"/>
    <x v="5"/>
    <n v="4789.08"/>
    <n v="7981.8"/>
    <n v="5"/>
    <n v="10303.480192886496"/>
    <n v="3458.9274999999998"/>
    <n v="360138.81599999999"/>
    <n v="130262.976"/>
    <n v="4043.9645"/>
    <n v="1.1691382661243985"/>
  </r>
  <r>
    <n v="605"/>
    <n v="76"/>
    <d v="2023-04-13T00:00:00"/>
    <n v="13"/>
    <n v="3"/>
    <n v="2973.6028999999999"/>
    <x v="63"/>
    <x v="5"/>
    <n v="1839.3420000000001"/>
    <n v="3065.57"/>
    <n v="1"/>
    <n v="3364.8359915548062"/>
    <n v="831.92600000000004"/>
    <n v="38656.837699999996"/>
    <n v="14745.391699999996"/>
    <n v="2141.6768999999999"/>
    <n v="2.5743598589297605"/>
  </r>
  <r>
    <n v="606"/>
    <n v="144"/>
    <d v="2023-02-17T00:00:00"/>
    <n v="39"/>
    <n v="2"/>
    <n v="1546.6556"/>
    <x v="77"/>
    <x v="0"/>
    <n v="946.93200000000002"/>
    <n v="1578.22"/>
    <n v="2"/>
    <n v="1698.0931163040975"/>
    <n v="6414.0239999999994"/>
    <n v="60319.568400000004"/>
    <n v="23389.220400000002"/>
    <n v="-4867.3683999999994"/>
    <n v="-0.75886345295870417"/>
  </r>
  <r>
    <n v="607"/>
    <n v="91"/>
    <d v="2024-06-10T00:00:00"/>
    <n v="45"/>
    <n v="10"/>
    <n v="2846.7000000000003"/>
    <x v="35"/>
    <x v="3"/>
    <n v="1897.8"/>
    <n v="3163"/>
    <n v="2"/>
    <n v="3255.6718868091416"/>
    <n v="4782.2433333333329"/>
    <n v="128101.50000000001"/>
    <n v="42700.500000000015"/>
    <n v="-1935.5433333333326"/>
    <n v="-0.40473543448576771"/>
  </r>
  <r>
    <n v="608"/>
    <n v="80"/>
    <d v="2024-06-10T00:00:00"/>
    <n v="45"/>
    <n v="5"/>
    <n v="949.11649999999997"/>
    <x v="130"/>
    <x v="0"/>
    <n v="599.44200000000001"/>
    <n v="999.07"/>
    <n v="5"/>
    <n v="1197.2620321170702"/>
    <n v="4319.1966666666667"/>
    <n v="42710.2425"/>
    <n v="15735.352499999999"/>
    <n v="-3370.0801666666666"/>
    <n v="-0.78025624363789869"/>
  </r>
  <r>
    <n v="609"/>
    <n v="96"/>
    <d v="2025-05-08T00:00:00"/>
    <n v="41"/>
    <n v="8"/>
    <n v="4953.6848"/>
    <x v="105"/>
    <x v="4"/>
    <n v="3230.6639999999998"/>
    <n v="5384.44"/>
    <n v="3"/>
    <n v="6408.8245725294018"/>
    <n v="3578.9180000000001"/>
    <n v="203101.07680000001"/>
    <n v="70643.852800000008"/>
    <n v="1374.7667999999999"/>
    <n v="0.38412916976583422"/>
  </r>
  <r>
    <n v="610"/>
    <n v="59"/>
    <d v="2025-02-05T00:00:00"/>
    <n v="21"/>
    <n v="6"/>
    <n v="3901.4794000000002"/>
    <x v="43"/>
    <x v="5"/>
    <n v="2490.306"/>
    <n v="4150.51"/>
    <n v="3"/>
    <n v="4757.0230239354842"/>
    <n v="6105.9674999999997"/>
    <n v="81931.0674"/>
    <n v="29634.641400000004"/>
    <n v="-2204.4880999999996"/>
    <n v="-0.36103829573282198"/>
  </r>
  <r>
    <n v="611"/>
    <n v="91"/>
    <d v="2023-02-02T00:00:00"/>
    <n v="6"/>
    <n v="6"/>
    <n v="2973.22"/>
    <x v="35"/>
    <x v="3"/>
    <n v="1897.8"/>
    <n v="3163"/>
    <n v="2"/>
    <n v="3711.512918600371"/>
    <n v="4782.2433333333329"/>
    <n v="17839.32"/>
    <n v="6452.5199999999986"/>
    <n v="-1809.0233333333331"/>
    <n v="-0.37827923157402416"/>
  </r>
  <r>
    <n v="612"/>
    <n v="144"/>
    <d v="2024-03-30T00:00:00"/>
    <n v="22"/>
    <n v="6"/>
    <n v="1483.5267999999999"/>
    <x v="77"/>
    <x v="0"/>
    <n v="946.93200000000002"/>
    <n v="1578.22"/>
    <n v="2"/>
    <n v="1777.2724991313412"/>
    <n v="6414.0239999999994"/>
    <n v="32637.589599999996"/>
    <n v="11805.085599999997"/>
    <n v="-4930.4971999999998"/>
    <n v="-0.76870576100120613"/>
  </r>
  <r>
    <n v="613"/>
    <n v="27"/>
    <d v="2023-01-20T00:00:00"/>
    <n v="20"/>
    <n v="5"/>
    <n v="1541.7550000000001"/>
    <x v="2"/>
    <x v="1"/>
    <n v="973.74"/>
    <n v="1622.9"/>
    <n v="1"/>
    <n v="1993.1531829873211"/>
    <n v="4440.416666666667"/>
    <n v="30835.100000000002"/>
    <n v="11360.300000000003"/>
    <n v="-2898.6616666666669"/>
    <n v="-0.65279046636013882"/>
  </r>
  <r>
    <n v="614"/>
    <n v="149"/>
    <d v="2024-12-14T00:00:00"/>
    <n v="41"/>
    <n v="8"/>
    <n v="5637.5576000000001"/>
    <x v="14"/>
    <x v="5"/>
    <n v="3676.6679999999997"/>
    <n v="6127.78"/>
    <n v="4"/>
    <n v="7408.0398737201158"/>
    <n v="3159.4639999999999"/>
    <n v="231139.8616"/>
    <n v="80396.473600000012"/>
    <n v="2478.0936000000002"/>
    <n v="0.78433987537126559"/>
  </r>
  <r>
    <n v="615"/>
    <n v="6"/>
    <d v="2025-12-08T00:00:00"/>
    <n v="40"/>
    <n v="8"/>
    <n v="3795.1656000000003"/>
    <x v="34"/>
    <x v="0"/>
    <n v="2475.1080000000002"/>
    <n v="4125.18"/>
    <n v="5"/>
    <n v="5282.8577872678015"/>
    <n v="6862.0275000000001"/>
    <n v="151806.62400000001"/>
    <n v="52802.304000000004"/>
    <n v="-3066.8618999999999"/>
    <n v="-0.44693232430211038"/>
  </r>
  <r>
    <n v="616"/>
    <n v="12"/>
    <d v="2025-06-14T00:00:00"/>
    <n v="35"/>
    <n v="7"/>
    <n v="1502.1824999999999"/>
    <x v="122"/>
    <x v="4"/>
    <n v="969.15"/>
    <n v="1615.25"/>
    <n v="3"/>
    <n v="1643.5423973124266"/>
    <n v="4365.21"/>
    <n v="52576.387499999997"/>
    <n v="18656.137499999997"/>
    <n v="-2863.0275000000001"/>
    <n v="-0.65587394420886969"/>
  </r>
  <r>
    <n v="617"/>
    <n v="132"/>
    <d v="2025-09-11T00:00:00"/>
    <n v="46"/>
    <n v="3"/>
    <n v="5323.6800999999996"/>
    <x v="145"/>
    <x v="4"/>
    <n v="3292.998"/>
    <n v="5488.33"/>
    <n v="5"/>
    <n v="6773.7490516712969"/>
    <n v="3374.6533333333332"/>
    <n v="244889.28459999998"/>
    <n v="93411.376599999974"/>
    <n v="1949.0267666666664"/>
    <n v="0.57754873587015354"/>
  </r>
  <r>
    <n v="618"/>
    <n v="91"/>
    <d v="2023-05-27T00:00:00"/>
    <n v="2"/>
    <n v="6"/>
    <n v="2973.22"/>
    <x v="35"/>
    <x v="3"/>
    <n v="1897.8"/>
    <n v="3163"/>
    <n v="2"/>
    <n v="3442.8540788365126"/>
    <n v="4782.2433333333329"/>
    <n v="5946.44"/>
    <n v="2150.8399999999997"/>
    <n v="-1809.0233333333331"/>
    <n v="-0.37827923157402416"/>
  </r>
  <r>
    <n v="619"/>
    <n v="71"/>
    <d v="2023-12-16T00:00:00"/>
    <n v="46"/>
    <n v="6"/>
    <n v="4635.3843999999999"/>
    <x v="54"/>
    <x v="2"/>
    <n v="2958.7559999999999"/>
    <n v="4931.26"/>
    <n v="3"/>
    <n v="6397.7746062280685"/>
    <n v="2482.0633333333335"/>
    <n v="213227.68239999999"/>
    <n v="77124.906400000007"/>
    <n v="2153.3210666666664"/>
    <n v="0.86755282903068531"/>
  </r>
  <r>
    <n v="620"/>
    <n v="87"/>
    <d v="2025-10-25T00:00:00"/>
    <n v="38"/>
    <n v="7"/>
    <n v="3807.5315999999998"/>
    <x v="15"/>
    <x v="5"/>
    <n v="2456.4719999999998"/>
    <n v="4094.12"/>
    <n v="2"/>
    <n v="5013.7548191834949"/>
    <n v="493.79250000000002"/>
    <n v="144686.20079999999"/>
    <n v="51340.264800000004"/>
    <n v="3313.7390999999998"/>
    <n v="6.7107926912620171"/>
  </r>
  <r>
    <n v="621"/>
    <n v="121"/>
    <d v="2025-02-09T00:00:00"/>
    <n v="6"/>
    <n v="4"/>
    <n v="1452.6528000000001"/>
    <x v="4"/>
    <x v="2"/>
    <n v="907.90800000000002"/>
    <n v="1513.18"/>
    <n v="2"/>
    <n v="1873.0176570414062"/>
    <n v="2967.0200000000004"/>
    <n v="8715.9168000000009"/>
    <n v="3268.4688000000006"/>
    <n v="-1514.3672000000004"/>
    <n v="-0.51040006471139399"/>
  </r>
  <r>
    <n v="622"/>
    <n v="90"/>
    <d v="2025-02-14T00:00:00"/>
    <n v="6"/>
    <n v="6"/>
    <n v="1294.1073999999999"/>
    <x v="0"/>
    <x v="0"/>
    <n v="826.02599999999995"/>
    <n v="1376.71"/>
    <n v="4"/>
    <n v="1567.5302441316578"/>
    <n v="2414.7550000000001"/>
    <n v="7764.6443999999992"/>
    <n v="2808.4883999999993"/>
    <n v="-1120.6476000000002"/>
    <n v="-0.46408335421191804"/>
  </r>
  <r>
    <n v="623"/>
    <n v="13"/>
    <d v="2024-12-10T00:00:00"/>
    <n v="28"/>
    <n v="7"/>
    <n v="1671.2657999999999"/>
    <x v="93"/>
    <x v="4"/>
    <n v="1078.2359999999999"/>
    <n v="1797.06"/>
    <n v="5"/>
    <n v="1932.0253154227346"/>
    <n v="1712.5580000000002"/>
    <n v="46795.4424"/>
    <n v="16604.8344"/>
    <n v="-41.292200000000321"/>
    <n v="-2.4111416956389398E-2"/>
  </r>
  <r>
    <n v="624"/>
    <n v="11"/>
    <d v="2025-11-27T00:00:00"/>
    <n v="39"/>
    <n v="5"/>
    <n v="3040.1899999999996"/>
    <x v="16"/>
    <x v="1"/>
    <n v="1920.12"/>
    <n v="3200.2"/>
    <n v="1"/>
    <n v="3824.3137119791368"/>
    <n v="7089.33"/>
    <n v="118567.40999999999"/>
    <n v="43682.729999999989"/>
    <n v="-4049.1400000000003"/>
    <n v="-0.57115975698690857"/>
  </r>
  <r>
    <n v="625"/>
    <n v="19"/>
    <d v="2024-10-02T00:00:00"/>
    <n v="2"/>
    <n v="6"/>
    <n v="3206.1801999999998"/>
    <x v="95"/>
    <x v="0"/>
    <n v="2046.4979999999998"/>
    <n v="3410.83"/>
    <n v="2"/>
    <n v="3770.0612288633374"/>
    <n v="1213.8383333333334"/>
    <n v="6412.3603999999996"/>
    <n v="2319.3643999999999"/>
    <n v="1992.3418666666664"/>
    <n v="1.6413568528483335"/>
  </r>
  <r>
    <n v="626"/>
    <n v="113"/>
    <d v="2023-02-22T00:00:00"/>
    <n v="14"/>
    <n v="7"/>
    <n v="4491.1187999999993"/>
    <x v="87"/>
    <x v="7"/>
    <n v="2897.4959999999996"/>
    <n v="4829.16"/>
    <n v="1"/>
    <n v="6159.7284491856171"/>
    <n v="4302.05"/>
    <n v="62875.663199999988"/>
    <n v="22310.719199999996"/>
    <n v="189.0687999999991"/>
    <n v="4.3948536162991853E-2"/>
  </r>
  <r>
    <n v="627"/>
    <n v="64"/>
    <d v="2023-03-26T00:00:00"/>
    <n v="21"/>
    <n v="2"/>
    <n v="3136"/>
    <x v="31"/>
    <x v="2"/>
    <n v="1920"/>
    <n v="3200"/>
    <n v="2"/>
    <n v="4053.3825610193721"/>
    <n v="3782.0099999999998"/>
    <n v="65856"/>
    <n v="25536"/>
    <n v="-646.00999999999976"/>
    <n v="-0.17081128817745056"/>
  </r>
  <r>
    <n v="628"/>
    <n v="118"/>
    <d v="2025-06-08T00:00:00"/>
    <n v="18"/>
    <n v="8"/>
    <n v="2897.31"/>
    <x v="131"/>
    <x v="1"/>
    <n v="1889.55"/>
    <n v="3149.25"/>
    <n v="5"/>
    <n v="3381.9647923399052"/>
    <n v="224.52399999999997"/>
    <n v="52151.58"/>
    <n v="18139.68"/>
    <n v="2672.7860000000001"/>
    <n v="11.904232955051578"/>
  </r>
  <r>
    <n v="629"/>
    <n v="130"/>
    <d v="2024-02-18T00:00:00"/>
    <n v="25"/>
    <n v="5"/>
    <n v="3026.2154999999998"/>
    <x v="111"/>
    <x v="4"/>
    <n v="1911.2939999999999"/>
    <n v="3185.49"/>
    <n v="5"/>
    <n v="3626.8009820024445"/>
    <n v="3865.1374999999998"/>
    <n v="75655.387499999997"/>
    <n v="27873.037499999999"/>
    <n v="-838.92200000000003"/>
    <n v="-0.21704842324496867"/>
  </r>
  <r>
    <n v="630"/>
    <n v="90"/>
    <d v="2023-09-27T00:00:00"/>
    <n v="27"/>
    <n v="5"/>
    <n v="1307.8744999999999"/>
    <x v="0"/>
    <x v="0"/>
    <n v="826.02599999999995"/>
    <n v="1376.71"/>
    <n v="4"/>
    <n v="1611.0734307723724"/>
    <n v="2414.7550000000001"/>
    <n v="35312.611499999999"/>
    <n v="13009.909499999998"/>
    <n v="-1106.8805000000002"/>
    <n v="-0.45838211329927886"/>
  </r>
  <r>
    <n v="631"/>
    <n v="16"/>
    <d v="2023-09-04T00:00:00"/>
    <n v="34"/>
    <n v="4"/>
    <n v="6481.7280000000001"/>
    <x v="142"/>
    <x v="2"/>
    <n v="4051.08"/>
    <n v="6751.8"/>
    <n v="4"/>
    <n v="7315.1159097316468"/>
    <n v="6827.7939999999999"/>
    <n v="220378.75200000001"/>
    <n v="82642.032000000007"/>
    <n v="-346.0659999999998"/>
    <n v="-5.0684891782030887E-2"/>
  </r>
  <r>
    <n v="632"/>
    <n v="112"/>
    <d v="2025-08-17T00:00:00"/>
    <n v="7"/>
    <n v="5"/>
    <n v="2597.6895"/>
    <x v="19"/>
    <x v="6"/>
    <n v="1640.646"/>
    <n v="2734.41"/>
    <n v="1"/>
    <n v="3003.3483135275615"/>
    <n v="7409.5025000000005"/>
    <n v="18183.826499999999"/>
    <n v="6699.3045000000002"/>
    <n v="-4811.8130000000001"/>
    <n v="-0.64941107719445401"/>
  </r>
  <r>
    <n v="633"/>
    <n v="51"/>
    <d v="2024-01-24T00:00:00"/>
    <n v="41"/>
    <n v="10"/>
    <n v="947.58299999999997"/>
    <x v="18"/>
    <x v="5"/>
    <n v="631.72199999999987"/>
    <n v="1052.8699999999999"/>
    <n v="2"/>
    <n v="1323.3493665846249"/>
    <n v="5383.6833333333334"/>
    <n v="38850.902999999998"/>
    <n v="12950.301000000005"/>
    <n v="-4436.1003333333338"/>
    <n v="-0.82398983347831878"/>
  </r>
  <r>
    <n v="634"/>
    <n v="92"/>
    <d v="2025-09-01T00:00:00"/>
    <n v="12"/>
    <n v="8"/>
    <n v="3291.7784000000001"/>
    <x v="88"/>
    <x v="1"/>
    <n v="2146.8119999999999"/>
    <n v="3578.02"/>
    <n v="5"/>
    <n v="3870.9729565039338"/>
    <n v="5387.83"/>
    <n v="39501.340800000005"/>
    <n v="13739.596800000003"/>
    <n v="-2096.0515999999998"/>
    <n v="-0.38903447213442144"/>
  </r>
  <r>
    <n v="635"/>
    <n v="119"/>
    <d v="2023-03-31T00:00:00"/>
    <n v="19"/>
    <n v="6"/>
    <n v="1825.3953999999999"/>
    <x v="45"/>
    <x v="7"/>
    <n v="1165.146"/>
    <n v="1941.91"/>
    <n v="4"/>
    <n v="2232.8405198223036"/>
    <n v="4902.3539999999994"/>
    <n v="34682.512599999995"/>
    <n v="12544.738599999999"/>
    <n v="-3076.9585999999995"/>
    <n v="-0.62764920689121995"/>
  </r>
  <r>
    <n v="636"/>
    <n v="121"/>
    <d v="2025-06-15T00:00:00"/>
    <n v="22"/>
    <n v="3"/>
    <n v="1467.7846"/>
    <x v="4"/>
    <x v="2"/>
    <n v="907.90800000000002"/>
    <n v="1513.18"/>
    <n v="2"/>
    <n v="1543.8225335692443"/>
    <n v="2967.0200000000004"/>
    <n v="32291.261200000001"/>
    <n v="12317.285199999998"/>
    <n v="-1499.2354000000005"/>
    <n v="-0.50530006538547101"/>
  </r>
  <r>
    <n v="637"/>
    <n v="59"/>
    <d v="2025-07-20T00:00:00"/>
    <n v="47"/>
    <n v="6"/>
    <n v="3901.4794000000002"/>
    <x v="43"/>
    <x v="5"/>
    <n v="2490.306"/>
    <n v="4150.51"/>
    <n v="3"/>
    <n v="5300.3142209400685"/>
    <n v="6105.9674999999997"/>
    <n v="183369.5318"/>
    <n v="66325.149799999999"/>
    <n v="-2204.4880999999996"/>
    <n v="-0.36103829573282198"/>
  </r>
  <r>
    <n v="638"/>
    <n v="99"/>
    <d v="2025-07-03T00:00:00"/>
    <n v="18"/>
    <n v="6"/>
    <n v="1921.3411999999998"/>
    <x v="106"/>
    <x v="3"/>
    <n v="1226.3879999999999"/>
    <n v="2043.98"/>
    <n v="2"/>
    <n v="2433.1477252051"/>
    <n v="958.76666666666654"/>
    <n v="34584.141599999995"/>
    <n v="12509.157599999999"/>
    <n v="962.57453333333331"/>
    <n v="1.0039716302193791"/>
  </r>
  <r>
    <n v="639"/>
    <n v="133"/>
    <d v="2023-01-18T00:00:00"/>
    <n v="7"/>
    <n v="8"/>
    <n v="6076.5079999999998"/>
    <x v="40"/>
    <x v="1"/>
    <n v="3962.9399999999996"/>
    <n v="6604.9"/>
    <n v="4"/>
    <n v="7706.679884396096"/>
    <n v="4666.1933333333336"/>
    <n v="42535.555999999997"/>
    <n v="14794.976000000002"/>
    <n v="1410.3146666666662"/>
    <n v="0.30224094158121739"/>
  </r>
  <r>
    <n v="640"/>
    <n v="82"/>
    <d v="2023-09-20T00:00:00"/>
    <n v="19"/>
    <n v="7"/>
    <n v="1182.2346"/>
    <x v="7"/>
    <x v="4"/>
    <n v="762.73199999999997"/>
    <n v="1271.22"/>
    <n v="2"/>
    <n v="1357.086506536039"/>
    <n v="2617.7080000000001"/>
    <n v="22462.457399999999"/>
    <n v="7970.5494000000008"/>
    <n v="-1435.4734000000001"/>
    <n v="-0.54837033007501224"/>
  </r>
  <r>
    <n v="641"/>
    <n v="119"/>
    <d v="2023-12-14T00:00:00"/>
    <n v="45"/>
    <n v="8"/>
    <n v="1786.5572000000002"/>
    <x v="45"/>
    <x v="7"/>
    <n v="1165.146"/>
    <n v="1941.91"/>
    <n v="4"/>
    <n v="2413.2372981937247"/>
    <n v="4902.3539999999994"/>
    <n v="80395.074000000008"/>
    <n v="27963.504000000012"/>
    <n v="-3115.7967999999992"/>
    <n v="-0.6355715641914067"/>
  </r>
  <r>
    <n v="642"/>
    <n v="106"/>
    <d v="2025-08-16T00:00:00"/>
    <n v="7"/>
    <n v="2"/>
    <n v="1405.3494000000001"/>
    <x v="74"/>
    <x v="1"/>
    <n v="860.41800000000001"/>
    <n v="1434.03"/>
    <n v="2"/>
    <n v="1711.5451298653054"/>
    <n v="695.38400000000001"/>
    <n v="9837.4458000000013"/>
    <n v="3814.5198000000005"/>
    <n v="709.96540000000005"/>
    <n v="1.0209688459901292"/>
  </r>
  <r>
    <n v="643"/>
    <n v="112"/>
    <d v="2025-08-28T00:00:00"/>
    <n v="28"/>
    <n v="10"/>
    <n v="2460.9690000000001"/>
    <x v="19"/>
    <x v="6"/>
    <n v="1640.646"/>
    <n v="2734.41"/>
    <n v="1"/>
    <n v="2818.6214494777755"/>
    <n v="7409.5025000000005"/>
    <n v="68907.131999999998"/>
    <n v="22969.044000000002"/>
    <n v="-4948.5335000000005"/>
    <n v="-0.66786312576316698"/>
  </r>
  <r>
    <n v="644"/>
    <n v="107"/>
    <d v="2023-12-20T00:00:00"/>
    <n v="15"/>
    <n v="4"/>
    <n v="1505.184"/>
    <x v="137"/>
    <x v="6"/>
    <n v="940.74"/>
    <n v="1567.9"/>
    <n v="2"/>
    <n v="1740.6449386823438"/>
    <n v="979.96"/>
    <n v="22577.759999999998"/>
    <n v="8466.66"/>
    <n v="525.22399999999993"/>
    <n v="0.53596473325441851"/>
  </r>
  <r>
    <n v="645"/>
    <n v="139"/>
    <d v="2025-06-19T00:00:00"/>
    <n v="41"/>
    <n v="6"/>
    <n v="2435.6151999999997"/>
    <x v="25"/>
    <x v="3"/>
    <n v="1554.6479999999999"/>
    <n v="2591.08"/>
    <n v="5"/>
    <n v="3010.4511868513782"/>
    <n v="2839.1733333333336"/>
    <n v="99860.223199999993"/>
    <n v="36119.655199999994"/>
    <n v="-403.5581333333339"/>
    <n v="-0.14213930815542572"/>
  </r>
  <r>
    <n v="646"/>
    <n v="8"/>
    <d v="2024-05-06T00:00:00"/>
    <n v="13"/>
    <n v="3"/>
    <n v="5474.6217999999999"/>
    <x v="114"/>
    <x v="1"/>
    <n v="3386.3639999999996"/>
    <n v="5643.94"/>
    <n v="2"/>
    <n v="6211.4023021400917"/>
    <n v="2853.6650000000004"/>
    <n v="71170.083400000003"/>
    <n v="27147.351400000003"/>
    <n v="2620.9567999999995"/>
    <n v="0.91845286675205362"/>
  </r>
  <r>
    <n v="647"/>
    <n v="120"/>
    <d v="2025-06-29T00:00:00"/>
    <n v="45"/>
    <n v="3"/>
    <n v="1917.3019999999999"/>
    <x v="125"/>
    <x v="0"/>
    <n v="1185.9599999999998"/>
    <n v="1976.6"/>
    <n v="2"/>
    <n v="2514.3362294478097"/>
    <n v="1688.8574999999998"/>
    <n v="86278.59"/>
    <n v="32910.390000000007"/>
    <n v="228.44450000000006"/>
    <n v="0.13526570477378944"/>
  </r>
  <r>
    <n v="648"/>
    <n v="30"/>
    <d v="2023-05-09T00:00:00"/>
    <n v="35"/>
    <n v="9"/>
    <n v="1863.9894000000002"/>
    <x v="123"/>
    <x v="1"/>
    <n v="1229.0040000000001"/>
    <n v="2048.34"/>
    <n v="1"/>
    <n v="2223.213503622173"/>
    <n v="4153.6075000000001"/>
    <n v="65239.629000000008"/>
    <n v="22224.489000000001"/>
    <n v="-2289.6180999999997"/>
    <n v="-0.55123602795882842"/>
  </r>
  <r>
    <n v="649"/>
    <n v="1"/>
    <d v="2024-11-12T00:00:00"/>
    <n v="6"/>
    <n v="5"/>
    <n v="1815.4024999999999"/>
    <x v="97"/>
    <x v="7"/>
    <n v="1146.57"/>
    <n v="1910.95"/>
    <n v="1"/>
    <n v="2171.0292172629274"/>
    <n v="4785.0083333333332"/>
    <n v="10892.414999999999"/>
    <n v="4012.9949999999999"/>
    <n v="-2969.6058333333331"/>
    <n v="-0.6206061988746101"/>
  </r>
  <r>
    <n v="650"/>
    <n v="138"/>
    <d v="2025-03-30T00:00:00"/>
    <n v="21"/>
    <n v="10"/>
    <n v="2782.3409999999999"/>
    <x v="13"/>
    <x v="4"/>
    <n v="1854.8939999999998"/>
    <n v="3091.49"/>
    <n v="5"/>
    <n v="3208.1140502710464"/>
    <n v="4980.4933333333329"/>
    <n v="58429.161"/>
    <n v="19476.387000000002"/>
    <n v="-2198.152333333333"/>
    <n v="-0.44135232922039846"/>
  </r>
  <r>
    <n v="651"/>
    <n v="82"/>
    <d v="2024-08-28T00:00:00"/>
    <n v="25"/>
    <n v="4"/>
    <n v="1220.3712"/>
    <x v="7"/>
    <x v="4"/>
    <n v="762.73199999999997"/>
    <n v="1271.22"/>
    <n v="2"/>
    <n v="1467.748284816425"/>
    <n v="2617.7080000000001"/>
    <n v="30509.280000000002"/>
    <n v="11440.980000000001"/>
    <n v="-1397.3368"/>
    <n v="-0.53380163104517386"/>
  </r>
  <r>
    <n v="652"/>
    <n v="74"/>
    <d v="2025-02-27T00:00:00"/>
    <n v="17"/>
    <n v="5"/>
    <n v="1809.9494999999999"/>
    <x v="78"/>
    <x v="3"/>
    <n v="1143.126"/>
    <n v="1905.21"/>
    <n v="5"/>
    <n v="2201.2180491824752"/>
    <n v="2585.9039999999995"/>
    <n v="30769.141499999998"/>
    <n v="11335.9995"/>
    <n v="-775.9544999999996"/>
    <n v="-0.30007088430196932"/>
  </r>
  <r>
    <n v="653"/>
    <n v="96"/>
    <d v="2023-06-23T00:00:00"/>
    <n v="47"/>
    <n v="7"/>
    <n v="5007.529199999999"/>
    <x v="105"/>
    <x v="4"/>
    <n v="3230.6639999999998"/>
    <n v="5384.44"/>
    <n v="3"/>
    <n v="6915.1997724632656"/>
    <n v="3578.9180000000001"/>
    <n v="235353.87239999996"/>
    <n v="83512.664399999965"/>
    <n v="1428.6111999999989"/>
    <n v="0.39917405204589734"/>
  </r>
  <r>
    <n v="654"/>
    <n v="113"/>
    <d v="2023-05-01T00:00:00"/>
    <n v="28"/>
    <n v="2"/>
    <n v="4732.5767999999998"/>
    <x v="87"/>
    <x v="7"/>
    <n v="2897.4959999999996"/>
    <n v="4829.16"/>
    <n v="1"/>
    <n v="5913.6936899309476"/>
    <n v="4302.05"/>
    <n v="132512.15039999998"/>
    <n v="51382.262400000007"/>
    <n v="430.52679999999964"/>
    <n v="0.10007480154809907"/>
  </r>
  <r>
    <n v="655"/>
    <n v="28"/>
    <d v="2025-10-27T00:00:00"/>
    <n v="18"/>
    <n v="10"/>
    <n v="5144.9579999999996"/>
    <x v="70"/>
    <x v="0"/>
    <n v="3429.9719999999998"/>
    <n v="5716.62"/>
    <n v="5"/>
    <n v="6647.4592122556096"/>
    <n v="3542.9559999999997"/>
    <n v="92609.243999999992"/>
    <n v="30869.748"/>
    <n v="1602.002"/>
    <n v="0.45216536699863052"/>
  </r>
  <r>
    <n v="656"/>
    <n v="86"/>
    <d v="2025-05-24T00:00:00"/>
    <n v="47"/>
    <n v="6"/>
    <n v="2935.5353999999998"/>
    <x v="39"/>
    <x v="1"/>
    <n v="1873.7459999999999"/>
    <n v="3122.91"/>
    <n v="4"/>
    <n v="3818.0477942257185"/>
    <n v="2919.076"/>
    <n v="137970.16379999998"/>
    <n v="49904.101799999997"/>
    <n v="16.459399999999732"/>
    <n v="5.6385650801828151E-3"/>
  </r>
  <r>
    <n v="657"/>
    <n v="123"/>
    <d v="2023-10-30T00:00:00"/>
    <n v="46"/>
    <n v="3"/>
    <n v="4488.7914000000001"/>
    <x v="148"/>
    <x v="3"/>
    <n v="2776.5719999999997"/>
    <n v="4627.62"/>
    <n v="2"/>
    <n v="5651.7617244794847"/>
    <n v="809.94800000000009"/>
    <n v="206484.4044"/>
    <n v="78762.092400000023"/>
    <n v="3678.8433999999997"/>
    <n v="4.5420735652165316"/>
  </r>
  <r>
    <n v="658"/>
    <n v="93"/>
    <d v="2023-03-23T00:00:00"/>
    <n v="23"/>
    <n v="10"/>
    <n v="6896.3130000000001"/>
    <x v="66"/>
    <x v="2"/>
    <n v="4597.5419999999995"/>
    <n v="7662.57"/>
    <n v="3"/>
    <n v="7671.7486069883607"/>
    <n v="991.00333333333344"/>
    <n v="158615.19899999999"/>
    <n v="52871.733000000015"/>
    <n v="5905.309666666667"/>
    <n v="5.9589200843589492"/>
  </r>
  <r>
    <n v="659"/>
    <n v="60"/>
    <d v="2024-09-11T00:00:00"/>
    <n v="23"/>
    <n v="9"/>
    <n v="2523.0751"/>
    <x v="36"/>
    <x v="2"/>
    <n v="1663.566"/>
    <n v="2772.61"/>
    <n v="2"/>
    <n v="3597.6885017543391"/>
    <n v="3047.7533333333336"/>
    <n v="58030.727299999999"/>
    <n v="19768.709299999999"/>
    <n v="-524.67823333333354"/>
    <n v="-0.17215245984473815"/>
  </r>
  <r>
    <n v="660"/>
    <n v="127"/>
    <d v="2024-04-27T00:00:00"/>
    <n v="28"/>
    <n v="3"/>
    <n v="5325.8432000000003"/>
    <x v="101"/>
    <x v="4"/>
    <n v="3294.3360000000002"/>
    <n v="5490.56"/>
    <n v="1"/>
    <n v="5700.0530220706469"/>
    <n v="5984.333333333333"/>
    <n v="149123.6096"/>
    <n v="56882.2016"/>
    <n v="-658.49013333333278"/>
    <n v="-0.11003567091850935"/>
  </r>
  <r>
    <n v="661"/>
    <n v="20"/>
    <d v="2024-12-18T00:00:00"/>
    <n v="35"/>
    <n v="5"/>
    <n v="2879.6209999999996"/>
    <x v="61"/>
    <x v="7"/>
    <n v="1818.7079999999999"/>
    <n v="3031.18"/>
    <n v="4"/>
    <n v="3928.0462393428684"/>
    <n v="4553.9966666666669"/>
    <n v="100786.73499999999"/>
    <n v="37131.954999999994"/>
    <n v="-1674.3756666666673"/>
    <n v="-0.36767169350877887"/>
  </r>
  <r>
    <n v="662"/>
    <n v="125"/>
    <d v="2024-07-14T00:00:00"/>
    <n v="47"/>
    <n v="4"/>
    <n v="4177.0271999999995"/>
    <x v="22"/>
    <x v="0"/>
    <n v="2610.6419999999998"/>
    <n v="4351.07"/>
    <n v="5"/>
    <n v="4845.3549941536903"/>
    <n v="5094.8040000000001"/>
    <n v="196320.27839999998"/>
    <n v="73620.104399999982"/>
    <n v="-917.77680000000055"/>
    <n v="-0.18013976592622613"/>
  </r>
  <r>
    <n v="663"/>
    <n v="97"/>
    <d v="2024-05-19T00:00:00"/>
    <n v="24"/>
    <n v="7"/>
    <n v="857.12519999999995"/>
    <x v="73"/>
    <x v="0"/>
    <n v="552.98399999999992"/>
    <n v="921.64"/>
    <n v="3"/>
    <n v="1033.0326833044026"/>
    <n v="2464.87"/>
    <n v="20571.004799999999"/>
    <n v="7299.3888000000006"/>
    <n v="-1607.7447999999999"/>
    <n v="-0.65226352708256419"/>
  </r>
  <r>
    <n v="664"/>
    <n v="91"/>
    <d v="2023-01-07T00:00:00"/>
    <n v="24"/>
    <n v="5"/>
    <n v="3004.85"/>
    <x v="35"/>
    <x v="3"/>
    <n v="1897.8"/>
    <n v="3163"/>
    <n v="2"/>
    <n v="3999.9381175113199"/>
    <n v="4782.2433333333329"/>
    <n v="72116.399999999994"/>
    <n v="26569.199999999997"/>
    <n v="-1777.393333333333"/>
    <n v="-0.37166518084608824"/>
  </r>
  <r>
    <n v="665"/>
    <n v="109"/>
    <d v="2024-11-09T00:00:00"/>
    <n v="20"/>
    <n v="9"/>
    <n v="2015.1858999999999"/>
    <x v="94"/>
    <x v="2"/>
    <n v="1328.6939999999997"/>
    <n v="2214.4899999999998"/>
    <n v="2"/>
    <n v="2656.5295211528928"/>
    <n v="6555.1760000000013"/>
    <n v="40303.718000000001"/>
    <n v="13729.838000000003"/>
    <n v="-4539.9901000000009"/>
    <n v="-0.69258096197569674"/>
  </r>
  <r>
    <n v="666"/>
    <n v="33"/>
    <d v="2024-07-09T00:00:00"/>
    <n v="17"/>
    <n v="8"/>
    <n v="4648.7507999999998"/>
    <x v="84"/>
    <x v="0"/>
    <n v="3031.7939999999999"/>
    <n v="5052.99"/>
    <n v="3"/>
    <n v="6263.4214181534689"/>
    <n v="2776.7875000000004"/>
    <n v="79028.763599999991"/>
    <n v="27488.265599999999"/>
    <n v="1871.9632999999994"/>
    <n v="0.67414712144879618"/>
  </r>
  <r>
    <n v="667"/>
    <n v="44"/>
    <d v="2024-06-13T00:00:00"/>
    <n v="13"/>
    <n v="4"/>
    <n v="339.45600000000002"/>
    <x v="115"/>
    <x v="7"/>
    <n v="212.16"/>
    <n v="353.6"/>
    <n v="4"/>
    <n v="360.51657368540765"/>
    <n v="4064.8233333333333"/>
    <n v="4412.9279999999999"/>
    <n v="1654.8480000000002"/>
    <n v="-3725.3673333333331"/>
    <n v="-0.91648935952115995"/>
  </r>
  <r>
    <n v="668"/>
    <n v="34"/>
    <d v="2025-11-16T00:00:00"/>
    <n v="6"/>
    <n v="5"/>
    <n v="1238.2205000000001"/>
    <x v="23"/>
    <x v="1"/>
    <n v="782.03399999999999"/>
    <n v="1303.3900000000001"/>
    <n v="2"/>
    <n v="1438.4685351253179"/>
    <n v="4145.4440000000004"/>
    <n v="7429.3230000000003"/>
    <n v="2737.1190000000006"/>
    <n v="-2907.2235000000001"/>
    <n v="-0.70130569849695223"/>
  </r>
  <r>
    <n v="669"/>
    <n v="87"/>
    <d v="2023-05-22T00:00:00"/>
    <n v="34"/>
    <n v="9"/>
    <n v="3725.6491999999998"/>
    <x v="15"/>
    <x v="5"/>
    <n v="2456.4719999999998"/>
    <n v="4094.12"/>
    <n v="2"/>
    <n v="4489.0652032488024"/>
    <n v="493.79250000000002"/>
    <n v="126672.07279999999"/>
    <n v="43152.024799999999"/>
    <n v="3231.8566999999998"/>
    <n v="6.5449691925251994"/>
  </r>
  <r>
    <n v="670"/>
    <n v="126"/>
    <d v="2023-09-17T00:00:00"/>
    <n v="10"/>
    <n v="7"/>
    <n v="942.3039"/>
    <x v="59"/>
    <x v="4"/>
    <n v="607.93799999999999"/>
    <n v="1013.23"/>
    <n v="5"/>
    <n v="1255.3524076074291"/>
    <n v="7593.0025000000005"/>
    <n v="9423.0390000000007"/>
    <n v="3343.6590000000001"/>
    <n v="-6650.6986000000006"/>
    <n v="-0.87589838143738263"/>
  </r>
  <r>
    <n v="671"/>
    <n v="129"/>
    <d v="2025-10-17T00:00:00"/>
    <n v="46"/>
    <n v="2"/>
    <n v="1236.0347999999999"/>
    <x v="68"/>
    <x v="5"/>
    <n v="756.75599999999997"/>
    <n v="1261.26"/>
    <n v="4"/>
    <n v="1626.4911585354973"/>
    <n v="4881.2166666666662"/>
    <n v="56857.600799999993"/>
    <n v="22046.824799999999"/>
    <n v="-3645.1818666666663"/>
    <n v="-0.74677731303329431"/>
  </r>
  <r>
    <n v="672"/>
    <n v="35"/>
    <d v="2024-09-04T00:00:00"/>
    <n v="2"/>
    <n v="2"/>
    <n v="132.4862"/>
    <x v="104"/>
    <x v="3"/>
    <n v="81.11399999999999"/>
    <n v="135.19"/>
    <n v="3"/>
    <n v="172.43031745406066"/>
    <n v="2089.5899999999997"/>
    <n v="264.97239999999999"/>
    <n v="102.74440000000001"/>
    <n v="-1957.1037999999996"/>
    <n v="-0.93659703578213904"/>
  </r>
  <r>
    <n v="673"/>
    <n v="149"/>
    <d v="2023-01-17T00:00:00"/>
    <n v="12"/>
    <n v="6"/>
    <n v="5760.1131999999998"/>
    <x v="14"/>
    <x v="5"/>
    <n v="3676.6679999999997"/>
    <n v="6127.78"/>
    <n v="4"/>
    <n v="6757.6501382416673"/>
    <n v="3159.4639999999999"/>
    <n v="69121.358399999997"/>
    <n v="25001.342400000001"/>
    <n v="2600.6491999999998"/>
    <n v="0.82312987266194515"/>
  </r>
  <r>
    <n v="674"/>
    <n v="99"/>
    <d v="2025-03-15T00:00:00"/>
    <n v="37"/>
    <n v="2"/>
    <n v="2003.1004"/>
    <x v="106"/>
    <x v="3"/>
    <n v="1226.3879999999999"/>
    <n v="2043.98"/>
    <n v="2"/>
    <n v="2458.3457415161542"/>
    <n v="958.76666666666654"/>
    <n v="74114.714800000002"/>
    <n v="28738.358800000005"/>
    <n v="1044.3337333333334"/>
    <n v="1.0892470187393528"/>
  </r>
  <r>
    <n v="675"/>
    <n v="115"/>
    <d v="2023-12-08T00:00:00"/>
    <n v="35"/>
    <n v="10"/>
    <n v="4222.152"/>
    <x v="71"/>
    <x v="2"/>
    <n v="2814.7679999999996"/>
    <n v="4691.28"/>
    <n v="2"/>
    <n v="4978.5109200665911"/>
    <n v="4456.5325000000003"/>
    <n v="147775.32"/>
    <n v="49258.440000000017"/>
    <n v="-234.38050000000021"/>
    <n v="-5.2592570569158913E-2"/>
  </r>
  <r>
    <n v="676"/>
    <n v="71"/>
    <d v="2023-11-11T00:00:00"/>
    <n v="50"/>
    <n v="8"/>
    <n v="4536.7592000000004"/>
    <x v="54"/>
    <x v="2"/>
    <n v="2958.7559999999999"/>
    <n v="4931.26"/>
    <n v="3"/>
    <n v="6182.6080122047952"/>
    <n v="2482.0633333333335"/>
    <n v="226837.96000000002"/>
    <n v="78900.160000000033"/>
    <n v="2054.6958666666669"/>
    <n v="0.82781766245556454"/>
  </r>
  <r>
    <n v="677"/>
    <n v="2"/>
    <d v="2025-05-15T00:00:00"/>
    <n v="11"/>
    <n v="7"/>
    <n v="4115.0453999999991"/>
    <x v="64"/>
    <x v="0"/>
    <n v="2654.8679999999999"/>
    <n v="4424.78"/>
    <n v="4"/>
    <n v="5323.3138254636333"/>
    <n v="1807.3"/>
    <n v="45265.499399999986"/>
    <n v="16061.951399999991"/>
    <n v="2307.7453999999989"/>
    <n v="1.2769022298456254"/>
  </r>
  <r>
    <n v="678"/>
    <n v="126"/>
    <d v="2024-07-11T00:00:00"/>
    <n v="7"/>
    <n v="9"/>
    <n v="922.03930000000003"/>
    <x v="59"/>
    <x v="4"/>
    <n v="607.93799999999999"/>
    <n v="1013.23"/>
    <n v="5"/>
    <n v="1119.9693055310322"/>
    <n v="7593.0025000000005"/>
    <n v="6454.2750999999998"/>
    <n v="2198.7091"/>
    <n v="-6670.9632000000001"/>
    <n v="-0.87856723344948195"/>
  </r>
  <r>
    <n v="679"/>
    <n v="46"/>
    <d v="2024-11-05T00:00:00"/>
    <n v="6"/>
    <n v="9"/>
    <n v="1472.9806000000001"/>
    <x v="60"/>
    <x v="1"/>
    <n v="971.19600000000003"/>
    <n v="1618.66"/>
    <n v="4"/>
    <n v="1944.8385466913862"/>
    <n v="4497.6779999999999"/>
    <n v="8837.883600000001"/>
    <n v="3010.7076000000006"/>
    <n v="-3024.6974"/>
    <n v="-0.67250198880400069"/>
  </r>
  <r>
    <n v="680"/>
    <n v="65"/>
    <d v="2023-01-31T00:00:00"/>
    <n v="37"/>
    <n v="6"/>
    <n v="4240.6783999999998"/>
    <x v="90"/>
    <x v="2"/>
    <n v="2706.8159999999998"/>
    <n v="4511.3599999999997"/>
    <n v="1"/>
    <n v="5147.8687873548251"/>
    <n v="1786.8475000000001"/>
    <n v="156905.10079999999"/>
    <n v="56752.908799999997"/>
    <n v="2453.8308999999999"/>
    <n v="1.3732738244310159"/>
  </r>
  <r>
    <n v="681"/>
    <n v="50"/>
    <d v="2023-02-27T00:00:00"/>
    <n v="15"/>
    <n v="10"/>
    <n v="1221.03"/>
    <x v="10"/>
    <x v="1"/>
    <n v="814.02"/>
    <n v="1356.7"/>
    <n v="3"/>
    <n v="1437.0596368244217"/>
    <n v="4909.6483333333335"/>
    <n v="18315.45"/>
    <n v="6105.15"/>
    <n v="-3688.6183333333338"/>
    <n v="-0.75129990640877542"/>
  </r>
  <r>
    <n v="682"/>
    <n v="53"/>
    <d v="2024-07-24T00:00:00"/>
    <n v="3"/>
    <n v="9"/>
    <n v="3152.6131"/>
    <x v="120"/>
    <x v="2"/>
    <n v="2078.6459999999997"/>
    <n v="3464.41"/>
    <n v="4"/>
    <n v="3780.8038952617899"/>
    <n v="954.33000000000015"/>
    <n v="9457.8392999999996"/>
    <n v="3221.9013000000009"/>
    <n v="2198.2830999999996"/>
    <n v="2.3034831766789257"/>
  </r>
  <r>
    <n v="683"/>
    <n v="57"/>
    <d v="2023-11-29T00:00:00"/>
    <n v="21"/>
    <n v="2"/>
    <n v="6675.5150000000003"/>
    <x v="55"/>
    <x v="6"/>
    <n v="4087.0499999999997"/>
    <n v="6811.75"/>
    <n v="2"/>
    <n v="6824.8302075175325"/>
    <n v="1836.9825000000001"/>
    <n v="140185.815"/>
    <n v="54357.765000000014"/>
    <n v="4838.5325000000003"/>
    <n v="2.633956774220767"/>
  </r>
  <r>
    <n v="684"/>
    <n v="10"/>
    <d v="2023-11-10T00:00:00"/>
    <n v="41"/>
    <n v="8"/>
    <n v="2573.5068000000001"/>
    <x v="33"/>
    <x v="3"/>
    <n v="1678.374"/>
    <n v="2797.29"/>
    <n v="4"/>
    <n v="3220.096444919694"/>
    <n v="6310.5433333333322"/>
    <n v="105513.7788"/>
    <n v="36700.444800000005"/>
    <n v="-3737.036533333332"/>
    <n v="-0.59218934661199263"/>
  </r>
  <r>
    <n v="685"/>
    <n v="40"/>
    <d v="2024-01-21T00:00:00"/>
    <n v="41"/>
    <n v="8"/>
    <n v="452.88839999999999"/>
    <x v="9"/>
    <x v="3"/>
    <n v="295.36199999999997"/>
    <n v="492.27"/>
    <n v="1"/>
    <n v="602.10489444365487"/>
    <n v="603.70600000000002"/>
    <n v="18568.4244"/>
    <n v="6458.5824000000011"/>
    <n v="-150.81760000000003"/>
    <n v="-0.24981961418306264"/>
  </r>
  <r>
    <n v="686"/>
    <n v="29"/>
    <d v="2025-11-09T00:00:00"/>
    <n v="35"/>
    <n v="6"/>
    <n v="7024.62"/>
    <x v="56"/>
    <x v="5"/>
    <n v="4483.8"/>
    <n v="7473"/>
    <n v="2"/>
    <n v="8154.8936656696114"/>
    <n v="1925.7060000000001"/>
    <n v="245861.69999999998"/>
    <n v="88928.699999999983"/>
    <n v="5098.9139999999998"/>
    <n v="2.647815398612249"/>
  </r>
  <r>
    <n v="687"/>
    <n v="3"/>
    <d v="2023-10-05T00:00:00"/>
    <n v="46"/>
    <n v="3"/>
    <n v="5011.7765999999992"/>
    <x v="129"/>
    <x v="2"/>
    <n v="3100.0679999999998"/>
    <n v="5166.78"/>
    <n v="1"/>
    <n v="6612.2148466601338"/>
    <n v="7049.42"/>
    <n v="230541.72359999997"/>
    <n v="87938.595599999971"/>
    <n v="-2037.6434000000008"/>
    <n v="-0.28905121272388379"/>
  </r>
  <r>
    <n v="688"/>
    <n v="130"/>
    <d v="2024-03-12T00:00:00"/>
    <n v="46"/>
    <n v="10"/>
    <n v="2866.9409999999998"/>
    <x v="111"/>
    <x v="4"/>
    <n v="1911.2939999999999"/>
    <n v="3185.49"/>
    <n v="5"/>
    <n v="3516.5447825019814"/>
    <n v="3865.1374999999998"/>
    <n v="131879.28599999999"/>
    <n v="43959.761999999995"/>
    <n v="-998.19650000000001"/>
    <n v="-0.25825640096891767"/>
  </r>
  <r>
    <n v="689"/>
    <n v="60"/>
    <d v="2024-08-26T00:00:00"/>
    <n v="25"/>
    <n v="9"/>
    <n v="2523.0751"/>
    <x v="36"/>
    <x v="2"/>
    <n v="1663.566"/>
    <n v="2772.61"/>
    <n v="2"/>
    <n v="3011.2150331078224"/>
    <n v="3047.7533333333336"/>
    <n v="63076.877500000002"/>
    <n v="21487.727500000001"/>
    <n v="-524.67823333333354"/>
    <n v="-0.17215245984473815"/>
  </r>
  <r>
    <n v="690"/>
    <n v="87"/>
    <d v="2023-02-18T00:00:00"/>
    <n v="39"/>
    <n v="2"/>
    <n v="4012.2375999999999"/>
    <x v="15"/>
    <x v="5"/>
    <n v="2456.4719999999998"/>
    <n v="4094.12"/>
    <n v="2"/>
    <n v="4237.0601720213226"/>
    <n v="493.79250000000002"/>
    <n v="156477.26639999999"/>
    <n v="60674.858400000005"/>
    <n v="3518.4450999999999"/>
    <n v="7.1253514381040617"/>
  </r>
  <r>
    <n v="691"/>
    <n v="90"/>
    <d v="2023-11-20T00:00:00"/>
    <n v="22"/>
    <n v="8"/>
    <n v="1266.5732"/>
    <x v="0"/>
    <x v="0"/>
    <n v="826.02599999999995"/>
    <n v="1376.71"/>
    <n v="4"/>
    <n v="1482.8111626273208"/>
    <n v="2414.7550000000001"/>
    <n v="27864.610400000001"/>
    <n v="9692.0384000000013"/>
    <n v="-1148.1818000000001"/>
    <n v="-0.47548583603719635"/>
  </r>
  <r>
    <n v="692"/>
    <n v="94"/>
    <d v="2023-02-05T00:00:00"/>
    <n v="36"/>
    <n v="5"/>
    <n v="4420.1409999999996"/>
    <x v="8"/>
    <x v="4"/>
    <n v="2791.6679999999997"/>
    <n v="4652.78"/>
    <n v="1"/>
    <n v="6017.7169644649812"/>
    <n v="6485.5883333333331"/>
    <n v="159125.076"/>
    <n v="58625.027999999998"/>
    <n v="-2065.4473333333335"/>
    <n v="-0.31846722720863413"/>
  </r>
  <r>
    <n v="693"/>
    <n v="61"/>
    <d v="2024-12-28T00:00:00"/>
    <n v="16"/>
    <n v="3"/>
    <n v="2368.9727999999996"/>
    <x v="146"/>
    <x v="7"/>
    <n v="1465.3439999999998"/>
    <n v="2442.2399999999998"/>
    <n v="5"/>
    <n v="2620.6785654536166"/>
    <n v="411.75600000000003"/>
    <n v="37903.564799999993"/>
    <n v="14458.060799999996"/>
    <n v="1957.2167999999995"/>
    <n v="4.7533412992160393"/>
  </r>
  <r>
    <n v="694"/>
    <n v="68"/>
    <d v="2025-07-25T00:00:00"/>
    <n v="35"/>
    <n v="9"/>
    <n v="5499.5758999999998"/>
    <x v="53"/>
    <x v="6"/>
    <n v="3626.0939999999996"/>
    <n v="6043.49"/>
    <n v="2"/>
    <n v="6898.8315276734647"/>
    <n v="796.21333333333325"/>
    <n v="192485.15649999998"/>
    <n v="65571.866500000004"/>
    <n v="4703.3625666666667"/>
    <n v="5.9071637835755917"/>
  </r>
  <r>
    <n v="695"/>
    <n v="119"/>
    <d v="2023-10-03T00:00:00"/>
    <n v="25"/>
    <n v="6"/>
    <n v="1825.3953999999999"/>
    <x v="45"/>
    <x v="7"/>
    <n v="1165.146"/>
    <n v="1941.91"/>
    <n v="4"/>
    <n v="2265.3527525144291"/>
    <n v="4902.3539999999994"/>
    <n v="45634.884999999995"/>
    <n v="16506.234999999997"/>
    <n v="-3076.9585999999995"/>
    <n v="-0.62764920689121995"/>
  </r>
  <r>
    <n v="696"/>
    <n v="90"/>
    <d v="2023-03-19T00:00:00"/>
    <n v="45"/>
    <n v="9"/>
    <n v="1252.8061"/>
    <x v="0"/>
    <x v="0"/>
    <n v="826.02599999999995"/>
    <n v="1376.71"/>
    <n v="4"/>
    <n v="1666.0465261177262"/>
    <n v="2414.7550000000001"/>
    <n v="56376.2745"/>
    <n v="19205.104500000001"/>
    <n v="-1161.9489000000001"/>
    <n v="-0.48118707694983553"/>
  </r>
  <r>
    <n v="697"/>
    <n v="70"/>
    <d v="2024-11-02T00:00:00"/>
    <n v="2"/>
    <n v="5"/>
    <n v="3828.2624999999998"/>
    <x v="98"/>
    <x v="7"/>
    <n v="2417.85"/>
    <n v="4029.75"/>
    <n v="1"/>
    <n v="4593.9630065236415"/>
    <n v="2158.7083333333335"/>
    <n v="7656.5249999999996"/>
    <n v="2820.8249999999998"/>
    <n v="1669.5541666666663"/>
    <n v="0.77340423478546183"/>
  </r>
  <r>
    <n v="698"/>
    <n v="25"/>
    <d v="2023-04-18T00:00:00"/>
    <n v="4"/>
    <n v="7"/>
    <n v="528.39809999999989"/>
    <x v="38"/>
    <x v="4"/>
    <n v="340.90199999999999"/>
    <n v="568.16999999999996"/>
    <n v="1"/>
    <n v="569.46845569446941"/>
    <n v="2024.2300000000002"/>
    <n v="2113.5923999999995"/>
    <n v="749.9843999999996"/>
    <n v="-1495.8319000000004"/>
    <n v="-0.7389634083083445"/>
  </r>
  <r>
    <n v="699"/>
    <n v="71"/>
    <d v="2023-07-02T00:00:00"/>
    <n v="6"/>
    <n v="8"/>
    <n v="4536.7592000000004"/>
    <x v="54"/>
    <x v="2"/>
    <n v="2958.7559999999999"/>
    <n v="4931.26"/>
    <n v="3"/>
    <n v="5081.3577080878167"/>
    <n v="2482.0633333333335"/>
    <n v="27220.555200000003"/>
    <n v="9468.0192000000025"/>
    <n v="2054.6958666666669"/>
    <n v="0.82781766245556454"/>
  </r>
  <r>
    <n v="700"/>
    <n v="60"/>
    <d v="2023-08-17T00:00:00"/>
    <n v="31"/>
    <n v="7"/>
    <n v="2578.5272999999997"/>
    <x v="36"/>
    <x v="2"/>
    <n v="1663.566"/>
    <n v="2772.61"/>
    <n v="2"/>
    <n v="2897.1926951446126"/>
    <n v="3047.7533333333336"/>
    <n v="79934.34629999999"/>
    <n v="28363.800299999992"/>
    <n v="-469.22603333333382"/>
    <n v="-0.15395800841275445"/>
  </r>
  <r>
    <n v="701"/>
    <n v="110"/>
    <d v="2025-05-16T00:00:00"/>
    <n v="45"/>
    <n v="6"/>
    <n v="1460.9574"/>
    <x v="91"/>
    <x v="2"/>
    <n v="932.52599999999995"/>
    <n v="1554.21"/>
    <n v="3"/>
    <n v="1587.1679832560239"/>
    <n v="764.66499999999996"/>
    <n v="65743.082999999999"/>
    <n v="23779.413000000004"/>
    <n v="696.29240000000004"/>
    <n v="0.91058489665409048"/>
  </r>
  <r>
    <n v="702"/>
    <n v="25"/>
    <d v="2023-07-28T00:00:00"/>
    <n v="11"/>
    <n v="4"/>
    <n v="545.44319999999993"/>
    <x v="38"/>
    <x v="4"/>
    <n v="340.90199999999999"/>
    <n v="568.16999999999996"/>
    <n v="1"/>
    <n v="648.13426192446252"/>
    <n v="2024.2300000000002"/>
    <n v="5999.8751999999995"/>
    <n v="2249.9531999999995"/>
    <n v="-1478.7868000000003"/>
    <n v="-0.73054287309248467"/>
  </r>
  <r>
    <n v="703"/>
    <n v="41"/>
    <d v="2023-03-17T00:00:00"/>
    <n v="47"/>
    <n v="9"/>
    <n v="2804.1376999999998"/>
    <x v="72"/>
    <x v="7"/>
    <n v="1848.8819999999998"/>
    <n v="3081.47"/>
    <n v="1"/>
    <n v="3124.0274873762842"/>
    <n v="1589.1249999999998"/>
    <n v="131794.47189999997"/>
    <n v="44897.017899999999"/>
    <n v="1215.0127"/>
    <n v="0.76457969008101956"/>
  </r>
  <r>
    <n v="704"/>
    <n v="149"/>
    <d v="2023-10-17T00:00:00"/>
    <n v="43"/>
    <n v="6"/>
    <n v="5760.1131999999998"/>
    <x v="14"/>
    <x v="5"/>
    <n v="3676.6679999999997"/>
    <n v="6127.78"/>
    <n v="4"/>
    <n v="7404.4279553081215"/>
    <n v="3159.4639999999999"/>
    <n v="247684.8676"/>
    <n v="89588.14360000001"/>
    <n v="2600.6491999999998"/>
    <n v="0.82312987266194515"/>
  </r>
  <r>
    <n v="705"/>
    <n v="56"/>
    <d v="2025-02-11T00:00:00"/>
    <n v="27"/>
    <n v="7"/>
    <n v="7423.0739999999996"/>
    <x v="17"/>
    <x v="5"/>
    <n v="4789.08"/>
    <n v="7981.8"/>
    <n v="5"/>
    <n v="10370.746557352233"/>
    <n v="3458.9274999999998"/>
    <n v="200422.99799999999"/>
    <n v="71117.837999999989"/>
    <n v="3964.1464999999998"/>
    <n v="1.146062327123075"/>
  </r>
  <r>
    <n v="706"/>
    <n v="22"/>
    <d v="2025-09-23T00:00:00"/>
    <n v="38"/>
    <n v="8"/>
    <n v="1503.74"/>
    <x v="6"/>
    <x v="3"/>
    <n v="980.69999999999993"/>
    <n v="1634.5"/>
    <n v="1"/>
    <n v="1846.4561093255379"/>
    <n v="3187.4450000000002"/>
    <n v="57142.12"/>
    <n v="19875.520000000004"/>
    <n v="-1683.7050000000002"/>
    <n v="-0.52823029103247277"/>
  </r>
  <r>
    <n v="707"/>
    <n v="7"/>
    <d v="2024-11-05T00:00:00"/>
    <n v="44"/>
    <n v="7"/>
    <n v="7779.2639999999992"/>
    <x v="24"/>
    <x v="3"/>
    <n v="5018.8799999999992"/>
    <n v="8364.7999999999993"/>
    <n v="1"/>
    <n v="8526.5294010857797"/>
    <n v="1679.8333333333333"/>
    <n v="342287.61599999998"/>
    <n v="121456.89600000001"/>
    <n v="6099.4306666666662"/>
    <n v="3.630973707709098"/>
  </r>
  <r>
    <n v="708"/>
    <n v="110"/>
    <d v="2024-02-13T00:00:00"/>
    <n v="28"/>
    <n v="9"/>
    <n v="1414.3311000000001"/>
    <x v="91"/>
    <x v="2"/>
    <n v="932.52599999999995"/>
    <n v="1554.21"/>
    <n v="3"/>
    <n v="1980.4734810980497"/>
    <n v="764.66499999999996"/>
    <n v="39601.270800000006"/>
    <n v="13490.542800000005"/>
    <n v="649.66610000000014"/>
    <n v="0.84960878293108766"/>
  </r>
  <r>
    <n v="709"/>
    <n v="16"/>
    <d v="2024-10-11T00:00:00"/>
    <n v="24"/>
    <n v="10"/>
    <n v="6076.62"/>
    <x v="142"/>
    <x v="2"/>
    <n v="4051.08"/>
    <n v="6751.8"/>
    <n v="4"/>
    <n v="8749.059192021281"/>
    <n v="6827.7939999999999"/>
    <n v="145838.88"/>
    <n v="48612.959999999999"/>
    <n v="-751.17399999999998"/>
    <n v="-0.11001708604565398"/>
  </r>
  <r>
    <n v="710"/>
    <n v="23"/>
    <d v="2024-08-02T00:00:00"/>
    <n v="3"/>
    <n v="3"/>
    <n v="3844.498"/>
    <x v="118"/>
    <x v="5"/>
    <n v="2378.04"/>
    <n v="3963.4"/>
    <n v="5"/>
    <n v="5121.912519345271"/>
    <n v="5343.3279999999995"/>
    <n v="11533.494000000001"/>
    <n v="4399.3739999999998"/>
    <n v="-1498.8299999999995"/>
    <n v="-0.28050495870738229"/>
  </r>
  <r>
    <n v="711"/>
    <n v="26"/>
    <d v="2024-02-06T00:00:00"/>
    <n v="41"/>
    <n v="10"/>
    <n v="5073.2280000000001"/>
    <x v="100"/>
    <x v="7"/>
    <n v="3382.152"/>
    <n v="5636.92"/>
    <n v="4"/>
    <n v="5684.0561157751008"/>
    <n v="3474.7766666666666"/>
    <n v="208002.348"/>
    <n v="69334.115999999995"/>
    <n v="1598.4513333333334"/>
    <n v="0.46001555975300096"/>
  </r>
  <r>
    <n v="712"/>
    <n v="59"/>
    <d v="2025-06-08T00:00:00"/>
    <n v="15"/>
    <n v="8"/>
    <n v="3818.4692000000005"/>
    <x v="43"/>
    <x v="5"/>
    <n v="2490.306"/>
    <n v="4150.51"/>
    <n v="3"/>
    <n v="4415.6377097437235"/>
    <n v="6105.9674999999997"/>
    <n v="57277.038000000008"/>
    <n v="19922.448000000008"/>
    <n v="-2287.4982999999993"/>
    <n v="-0.374633225610847"/>
  </r>
  <r>
    <n v="713"/>
    <n v="150"/>
    <d v="2024-05-01T00:00:00"/>
    <n v="49"/>
    <n v="7"/>
    <n v="2129.4395999999997"/>
    <x v="29"/>
    <x v="1"/>
    <n v="1373.8319999999999"/>
    <n v="2289.7199999999998"/>
    <n v="3"/>
    <n v="2499.7113925790641"/>
    <n v="1810.3166666666666"/>
    <n v="104342.54039999998"/>
    <n v="37024.772399999994"/>
    <n v="319.12293333333309"/>
    <n v="0.17628017197727824"/>
  </r>
  <r>
    <n v="714"/>
    <n v="95"/>
    <d v="2023-09-07T00:00:00"/>
    <n v="9"/>
    <n v="8"/>
    <n v="6411.1764000000003"/>
    <x v="51"/>
    <x v="7"/>
    <n v="4181.2020000000002"/>
    <n v="6968.67"/>
    <n v="2"/>
    <n v="7085.7663270964213"/>
    <n v="2797.7239999999997"/>
    <n v="57700.587599999999"/>
    <n v="20069.7696"/>
    <n v="3613.4524000000006"/>
    <n v="1.2915685750274155"/>
  </r>
  <r>
    <n v="715"/>
    <n v="69"/>
    <d v="2025-04-21T00:00:00"/>
    <n v="21"/>
    <n v="3"/>
    <n v="7234.9389999999994"/>
    <x v="102"/>
    <x v="1"/>
    <n v="4475.2199999999993"/>
    <n v="7458.7"/>
    <n v="3"/>
    <n v="7565.4758992973429"/>
    <n v="809.57599999999991"/>
    <n v="151933.71899999998"/>
    <n v="57954.099000000002"/>
    <n v="6425.3629999999994"/>
    <n v="7.9367014338369719"/>
  </r>
  <r>
    <n v="716"/>
    <n v="102"/>
    <d v="2025-03-30T00:00:00"/>
    <n v="11"/>
    <n v="4"/>
    <n v="3978.1823999999997"/>
    <x v="143"/>
    <x v="1"/>
    <n v="2486.3639999999996"/>
    <n v="4143.9399999999996"/>
    <n v="4"/>
    <n v="5109.1793585928999"/>
    <n v="2740.84"/>
    <n v="43760.006399999998"/>
    <n v="16410.002400000001"/>
    <n v="1237.3423999999995"/>
    <n v="0.45144641788648715"/>
  </r>
  <r>
    <n v="717"/>
    <n v="112"/>
    <d v="2024-12-21T00:00:00"/>
    <n v="20"/>
    <n v="4"/>
    <n v="2625.0335999999998"/>
    <x v="19"/>
    <x v="6"/>
    <n v="1640.646"/>
    <n v="2734.41"/>
    <n v="1"/>
    <n v="3158.9754451682425"/>
    <n v="7409.5025000000005"/>
    <n v="52500.671999999991"/>
    <n v="19687.751999999997"/>
    <n v="-4784.4689000000008"/>
    <n v="-0.64572066748071144"/>
  </r>
  <r>
    <n v="718"/>
    <n v="73"/>
    <d v="2024-01-10T00:00:00"/>
    <n v="16"/>
    <n v="4"/>
    <n v="4354.1664000000001"/>
    <x v="83"/>
    <x v="1"/>
    <n v="2721.3539999999998"/>
    <n v="4535.59"/>
    <n v="1"/>
    <n v="5696.4923671298629"/>
    <n v="5380.9516666666668"/>
    <n v="69666.662400000001"/>
    <n v="26124.998400000004"/>
    <n v="-1026.7852666666668"/>
    <n v="-0.19081852621484863"/>
  </r>
  <r>
    <n v="719"/>
    <n v="89"/>
    <d v="2024-11-19T00:00:00"/>
    <n v="10"/>
    <n v="5"/>
    <n v="957.95150000000001"/>
    <x v="108"/>
    <x v="1"/>
    <n v="605.02199999999993"/>
    <n v="1008.37"/>
    <n v="4"/>
    <n v="1116.398304523048"/>
    <n v="913.02"/>
    <n v="9579.5149999999994"/>
    <n v="3529.295000000001"/>
    <n v="44.931500000000028"/>
    <n v="4.9211955926485758E-2"/>
  </r>
  <r>
    <n v="720"/>
    <n v="33"/>
    <d v="2023-03-15T00:00:00"/>
    <n v="9"/>
    <n v="2"/>
    <n v="4951.9301999999998"/>
    <x v="84"/>
    <x v="0"/>
    <n v="3031.7939999999999"/>
    <n v="5052.99"/>
    <n v="3"/>
    <n v="5087.8832279223725"/>
    <n v="2776.7875000000004"/>
    <n v="44567.371800000001"/>
    <n v="17281.2258"/>
    <n v="2175.1426999999994"/>
    <n v="0.78333062936936992"/>
  </r>
  <r>
    <n v="721"/>
    <n v="63"/>
    <d v="2023-06-19T00:00:00"/>
    <n v="21"/>
    <n v="4"/>
    <n v="6721.6992"/>
    <x v="41"/>
    <x v="7"/>
    <n v="4201.0619999999999"/>
    <n v="7001.77"/>
    <n v="4"/>
    <n v="8688.0307629535637"/>
    <n v="4859.22"/>
    <n v="141155.6832"/>
    <n v="52933.381200000003"/>
    <n v="1862.4791999999998"/>
    <n v="0.38328768814748038"/>
  </r>
  <r>
    <n v="722"/>
    <n v="139"/>
    <d v="2025-09-11T00:00:00"/>
    <n v="3"/>
    <n v="5"/>
    <n v="2461.5259999999998"/>
    <x v="25"/>
    <x v="3"/>
    <n v="1554.6479999999999"/>
    <n v="2591.08"/>
    <n v="5"/>
    <n v="3358.5674624961944"/>
    <n v="2839.1733333333336"/>
    <n v="7384.5779999999995"/>
    <n v="2720.634"/>
    <n v="-377.64733333333379"/>
    <n v="-0.13301313058261105"/>
  </r>
  <r>
    <n v="723"/>
    <n v="49"/>
    <d v="2025-12-24T00:00:00"/>
    <n v="19"/>
    <n v="9"/>
    <n v="3063.3694"/>
    <x v="136"/>
    <x v="6"/>
    <n v="2019.8040000000001"/>
    <n v="3366.34"/>
    <n v="4"/>
    <n v="4072.6816534949844"/>
    <n v="1635.5425"/>
    <n v="58204.018600000003"/>
    <n v="19827.742599999998"/>
    <n v="1427.8269"/>
    <n v="0.87299895906098435"/>
  </r>
  <r>
    <n v="724"/>
    <n v="102"/>
    <d v="2024-12-21T00:00:00"/>
    <n v="24"/>
    <n v="7"/>
    <n v="3853.8641999999995"/>
    <x v="143"/>
    <x v="1"/>
    <n v="2486.3639999999996"/>
    <n v="4143.9399999999996"/>
    <n v="4"/>
    <n v="4276.7750438335916"/>
    <n v="2740.84"/>
    <n v="92492.740799999985"/>
    <n v="32820.004799999995"/>
    <n v="1113.0241999999994"/>
    <n v="0.40608871732753438"/>
  </r>
  <r>
    <n v="725"/>
    <n v="60"/>
    <d v="2025-06-26T00:00:00"/>
    <n v="4"/>
    <n v="4"/>
    <n v="2661.7056000000002"/>
    <x v="36"/>
    <x v="2"/>
    <n v="1663.566"/>
    <n v="2772.61"/>
    <n v="2"/>
    <n v="3084.412633526978"/>
    <n v="3047.7533333333336"/>
    <n v="10646.822400000001"/>
    <n v="3992.5584000000008"/>
    <n v="-386.04773333333333"/>
    <n v="-0.12666633126477864"/>
  </r>
  <r>
    <n v="726"/>
    <n v="49"/>
    <d v="2023-04-15T00:00:00"/>
    <n v="15"/>
    <n v="5"/>
    <n v="3198.0230000000001"/>
    <x v="136"/>
    <x v="6"/>
    <n v="2019.8040000000001"/>
    <n v="3366.34"/>
    <n v="4"/>
    <n v="4254.4395411070736"/>
    <n v="1635.5425"/>
    <n v="47970.345000000001"/>
    <n v="17673.285"/>
    <n v="1562.4805000000001"/>
    <n v="0.95532858363509365"/>
  </r>
  <r>
    <n v="727"/>
    <n v="62"/>
    <d v="2023-11-10T00:00:00"/>
    <n v="48"/>
    <n v="8"/>
    <n v="3181.3048000000003"/>
    <x v="79"/>
    <x v="7"/>
    <n v="2074.7640000000001"/>
    <n v="3457.94"/>
    <n v="4"/>
    <n v="4422.7884207238621"/>
    <n v="5560.3266666666668"/>
    <n v="152702.63040000002"/>
    <n v="53113.95840000001"/>
    <n v="-2379.0218666666665"/>
    <n v="-0.42785649284394556"/>
  </r>
  <r>
    <n v="728"/>
    <n v="44"/>
    <d v="2025-11-06T00:00:00"/>
    <n v="42"/>
    <n v="5"/>
    <n v="335.92"/>
    <x v="115"/>
    <x v="7"/>
    <n v="212.16"/>
    <n v="353.6"/>
    <n v="4"/>
    <n v="420.99996740093752"/>
    <n v="4064.8233333333333"/>
    <n v="14108.640000000001"/>
    <n v="5197.920000000001"/>
    <n v="-3728.9033333333332"/>
    <n v="-0.91735926202614793"/>
  </r>
  <r>
    <n v="729"/>
    <n v="25"/>
    <d v="2025-04-22T00:00:00"/>
    <n v="47"/>
    <n v="6"/>
    <n v="534.07979999999998"/>
    <x v="38"/>
    <x v="4"/>
    <n v="340.90199999999999"/>
    <n v="568.16999999999996"/>
    <n v="1"/>
    <n v="648.23920323138623"/>
    <n v="2024.2300000000002"/>
    <n v="25101.750599999999"/>
    <n v="9079.3565999999992"/>
    <n v="-1490.1502000000003"/>
    <n v="-0.73615656323639111"/>
  </r>
  <r>
    <n v="730"/>
    <n v="130"/>
    <d v="2025-01-14T00:00:00"/>
    <n v="15"/>
    <n v="7"/>
    <n v="2962.5056999999997"/>
    <x v="111"/>
    <x v="4"/>
    <n v="1911.2939999999999"/>
    <n v="3185.49"/>
    <n v="5"/>
    <n v="3324.9763578046718"/>
    <n v="3865.1374999999998"/>
    <n v="44437.585499999994"/>
    <n v="15768.175499999998"/>
    <n v="-902.63180000000011"/>
    <n v="-0.2335316143345483"/>
  </r>
  <r>
    <n v="731"/>
    <n v="81"/>
    <d v="2025-03-15T00:00:00"/>
    <n v="12"/>
    <n v="4"/>
    <n v="7452.8735999999999"/>
    <x v="147"/>
    <x v="0"/>
    <n v="4658.0459999999994"/>
    <n v="7763.41"/>
    <n v="2"/>
    <n v="8149.8920551136371"/>
    <n v="290.31399999999996"/>
    <n v="89434.483200000002"/>
    <n v="33537.931200000006"/>
    <n v="7162.5595999999996"/>
    <n v="24.671767810026388"/>
  </r>
  <r>
    <n v="732"/>
    <n v="72"/>
    <d v="2025-04-24T00:00:00"/>
    <n v="22"/>
    <n v="9"/>
    <n v="5279.2739999999994"/>
    <x v="65"/>
    <x v="5"/>
    <n v="3480.8399999999997"/>
    <n v="5801.4"/>
    <n v="3"/>
    <n v="5819.4991414085307"/>
    <n v="5210.5919999999996"/>
    <n v="116144.02799999999"/>
    <n v="39565.547999999995"/>
    <n v="68.681999999999789"/>
    <n v="1.3181227776037693E-2"/>
  </r>
  <r>
    <n v="733"/>
    <n v="73"/>
    <d v="2023-10-12T00:00:00"/>
    <n v="25"/>
    <n v="10"/>
    <n v="4082.0310000000004"/>
    <x v="83"/>
    <x v="1"/>
    <n v="2721.3539999999998"/>
    <n v="4535.59"/>
    <n v="1"/>
    <n v="5813.6935725347375"/>
    <n v="5380.9516666666668"/>
    <n v="102050.77500000001"/>
    <n v="34016.925000000017"/>
    <n v="-1298.9206666666664"/>
    <n v="-0.24139236832642053"/>
  </r>
  <r>
    <n v="734"/>
    <n v="58"/>
    <d v="2024-03-05T00:00:00"/>
    <n v="27"/>
    <n v="6"/>
    <n v="1070.2651999999998"/>
    <x v="103"/>
    <x v="7"/>
    <n v="683.14799999999991"/>
    <n v="1138.58"/>
    <n v="2"/>
    <n v="1234.5456713227345"/>
    <n v="1439.8525"/>
    <n v="28897.160399999993"/>
    <n v="10452.164399999998"/>
    <n v="-369.58730000000014"/>
    <n v="-0.25668413952123581"/>
  </r>
  <r>
    <n v="735"/>
    <n v="82"/>
    <d v="2024-08-01T00:00:00"/>
    <n v="48"/>
    <n v="3"/>
    <n v="1233.0834"/>
    <x v="7"/>
    <x v="4"/>
    <n v="762.73199999999997"/>
    <n v="1271.22"/>
    <n v="2"/>
    <n v="1550.9713290444424"/>
    <n v="2617.7080000000001"/>
    <n v="59188.003199999999"/>
    <n v="22576.867200000001"/>
    <n v="-1384.6246000000001"/>
    <n v="-0.52894539803522778"/>
  </r>
  <r>
    <n v="736"/>
    <n v="100"/>
    <d v="2025-02-24T00:00:00"/>
    <n v="17"/>
    <n v="8"/>
    <n v="3757.1512000000002"/>
    <x v="21"/>
    <x v="3"/>
    <n v="2450.3159999999998"/>
    <n v="4083.86"/>
    <n v="3"/>
    <n v="4451.52552424433"/>
    <n v="3659.5875000000001"/>
    <n v="63871.570400000004"/>
    <n v="22216.198400000008"/>
    <n v="97.563700000000154"/>
    <n v="2.6659753319192438E-2"/>
  </r>
  <r>
    <n v="737"/>
    <n v="140"/>
    <d v="2024-05-11T00:00:00"/>
    <n v="13"/>
    <n v="5"/>
    <n v="849.072"/>
    <x v="92"/>
    <x v="1"/>
    <n v="536.25599999999997"/>
    <n v="893.76"/>
    <n v="3"/>
    <n v="1095.6274075550746"/>
    <n v="4472.5149999999994"/>
    <n v="11037.936"/>
    <n v="4066.6080000000002"/>
    <n v="-3623.4429999999993"/>
    <n v="-0.81015781948187982"/>
  </r>
  <r>
    <n v="738"/>
    <n v="97"/>
    <d v="2024-09-22T00:00:00"/>
    <n v="2"/>
    <n v="4"/>
    <n v="884.7743999999999"/>
    <x v="73"/>
    <x v="0"/>
    <n v="552.98399999999992"/>
    <n v="921.64"/>
    <n v="3"/>
    <n v="955.24505656986685"/>
    <n v="2464.87"/>
    <n v="1769.5487999999998"/>
    <n v="663.58079999999995"/>
    <n v="-1580.0956000000001"/>
    <n v="-0.64104622150458246"/>
  </r>
  <r>
    <n v="739"/>
    <n v="54"/>
    <d v="2024-02-06T00:00:00"/>
    <n v="33"/>
    <n v="8"/>
    <n v="855.18600000000004"/>
    <x v="50"/>
    <x v="2"/>
    <n v="557.7299999999999"/>
    <n v="929.55"/>
    <n v="3"/>
    <n v="972.38422740692988"/>
    <n v="2958.2974999999997"/>
    <n v="28221.138000000003"/>
    <n v="9816.0480000000043"/>
    <n v="-2103.1114999999995"/>
    <n v="-0.71091954071556351"/>
  </r>
  <r>
    <n v="740"/>
    <n v="78"/>
    <d v="2023-08-29T00:00:00"/>
    <n v="19"/>
    <n v="2"/>
    <n v="848.42520000000002"/>
    <x v="26"/>
    <x v="2"/>
    <n v="519.44399999999996"/>
    <n v="865.74"/>
    <n v="4"/>
    <n v="1023.1517910893868"/>
    <n v="398.392"/>
    <n v="16120.078800000001"/>
    <n v="6250.6428000000014"/>
    <n v="450.03320000000002"/>
    <n v="1.1296240888371254"/>
  </r>
  <r>
    <n v="741"/>
    <n v="135"/>
    <d v="2024-11-21T00:00:00"/>
    <n v="30"/>
    <n v="7"/>
    <n v="7235.1302999999998"/>
    <x v="140"/>
    <x v="0"/>
    <n v="4667.826"/>
    <n v="7779.71"/>
    <n v="5"/>
    <n v="8819.99650146567"/>
    <n v="4172.7833333333338"/>
    <n v="217053.90899999999"/>
    <n v="77019.128999999986"/>
    <n v="3062.346966666666"/>
    <n v="0.73388592745849068"/>
  </r>
  <r>
    <n v="742"/>
    <n v="18"/>
    <d v="2023-01-10T00:00:00"/>
    <n v="17"/>
    <n v="9"/>
    <n v="7676.714500000001"/>
    <x v="46"/>
    <x v="7"/>
    <n v="5061.5700000000006"/>
    <n v="8435.9500000000007"/>
    <n v="3"/>
    <n v="10325.956352636169"/>
    <n v="1552.9240000000002"/>
    <n v="130504.14650000002"/>
    <n v="44457.456500000008"/>
    <n v="6123.790500000001"/>
    <n v="3.9433935595045218"/>
  </r>
  <r>
    <n v="743"/>
    <n v="43"/>
    <d v="2024-03-24T00:00:00"/>
    <n v="40"/>
    <n v="5"/>
    <n v="3063.7309999999998"/>
    <x v="119"/>
    <x v="3"/>
    <n v="1934.9879999999998"/>
    <n v="3224.98"/>
    <n v="2"/>
    <n v="3799.2786886835011"/>
    <n v="445.53000000000003"/>
    <n v="122549.23999999999"/>
    <n v="45149.72"/>
    <n v="2618.2009999999996"/>
    <n v="5.8765986577783753"/>
  </r>
  <r>
    <n v="744"/>
    <n v="78"/>
    <d v="2023-01-22T00:00:00"/>
    <n v="34"/>
    <n v="10"/>
    <n v="779.16600000000005"/>
    <x v="26"/>
    <x v="2"/>
    <n v="519.44399999999996"/>
    <n v="865.74"/>
    <n v="4"/>
    <n v="1110.1156632993047"/>
    <n v="398.392"/>
    <n v="26491.644"/>
    <n v="8830.5480000000025"/>
    <n v="380.77400000000006"/>
    <n v="0.95577722444225799"/>
  </r>
  <r>
    <n v="745"/>
    <n v="41"/>
    <d v="2025-05-09T00:00:00"/>
    <n v="20"/>
    <n v="7"/>
    <n v="2865.7670999999996"/>
    <x v="72"/>
    <x v="7"/>
    <n v="1848.8819999999998"/>
    <n v="3081.47"/>
    <n v="1"/>
    <n v="3934.3135933429899"/>
    <n v="1589.1249999999998"/>
    <n v="57315.34199999999"/>
    <n v="20337.701999999994"/>
    <n v="1276.6420999999998"/>
    <n v="0.80336166129159126"/>
  </r>
  <r>
    <n v="746"/>
    <n v="59"/>
    <d v="2025-01-25T00:00:00"/>
    <n v="5"/>
    <n v="7"/>
    <n v="3859.9742999999999"/>
    <x v="43"/>
    <x v="5"/>
    <n v="2490.306"/>
    <n v="4150.51"/>
    <n v="3"/>
    <n v="4786.6143871350905"/>
    <n v="6105.9674999999997"/>
    <n v="19299.871500000001"/>
    <n v="6848.3414999999986"/>
    <n v="-2245.9931999999999"/>
    <n v="-0.36783576067183454"/>
  </r>
  <r>
    <n v="747"/>
    <n v="126"/>
    <d v="2025-12-22T00:00:00"/>
    <n v="14"/>
    <n v="4"/>
    <n v="972.70079999999996"/>
    <x v="59"/>
    <x v="4"/>
    <n v="607.93799999999999"/>
    <n v="1013.23"/>
    <n v="5"/>
    <n v="1095.9504059533529"/>
    <n v="7593.0025000000005"/>
    <n v="13617.8112"/>
    <n v="5106.6791999999996"/>
    <n v="-6620.3017000000009"/>
    <n v="-0.87189510341923371"/>
  </r>
  <r>
    <n v="748"/>
    <n v="35"/>
    <d v="2024-06-05T00:00:00"/>
    <n v="16"/>
    <n v="7"/>
    <n v="125.72669999999999"/>
    <x v="104"/>
    <x v="3"/>
    <n v="81.11399999999999"/>
    <n v="135.19"/>
    <n v="3"/>
    <n v="153.5234315101296"/>
    <n v="2089.5899999999997"/>
    <n v="2011.6271999999999"/>
    <n v="713.80320000000006"/>
    <n v="-1963.8632999999998"/>
    <n v="-0.93983188089529524"/>
  </r>
  <r>
    <n v="749"/>
    <n v="12"/>
    <d v="2025-01-28T00:00:00"/>
    <n v="39"/>
    <n v="9"/>
    <n v="1469.8775000000001"/>
    <x v="122"/>
    <x v="4"/>
    <n v="969.15"/>
    <n v="1615.25"/>
    <n v="3"/>
    <n v="1923.4029370285027"/>
    <n v="4365.21"/>
    <n v="57325.222500000003"/>
    <n v="19528.372500000001"/>
    <n v="-2895.3325"/>
    <n v="-0.66327450454846382"/>
  </r>
  <r>
    <n v="750"/>
    <n v="60"/>
    <d v="2025-12-03T00:00:00"/>
    <n v="41"/>
    <n v="10"/>
    <n v="2495.3490000000002"/>
    <x v="36"/>
    <x v="2"/>
    <n v="1663.566"/>
    <n v="2772.61"/>
    <n v="2"/>
    <n v="3145.8174581806807"/>
    <n v="3047.7533333333336"/>
    <n v="102309.30900000001"/>
    <n v="34103.103000000003"/>
    <n v="-552.4043333333334"/>
    <n v="-0.18124968556072998"/>
  </r>
  <r>
    <n v="751"/>
    <n v="97"/>
    <d v="2023-10-25T00:00:00"/>
    <n v="15"/>
    <n v="9"/>
    <n v="838.69240000000002"/>
    <x v="73"/>
    <x v="0"/>
    <n v="552.98399999999992"/>
    <n v="921.64"/>
    <n v="3"/>
    <n v="1109.8276813382556"/>
    <n v="2464.87"/>
    <n v="12580.386"/>
    <n v="4285.6260000000011"/>
    <n v="-1626.1776"/>
    <n v="-0.65974173080121878"/>
  </r>
  <r>
    <n v="752"/>
    <n v="49"/>
    <d v="2023-03-07T00:00:00"/>
    <n v="23"/>
    <n v="7"/>
    <n v="3130.6961999999999"/>
    <x v="136"/>
    <x v="6"/>
    <n v="2019.8040000000001"/>
    <n v="3366.34"/>
    <n v="4"/>
    <n v="4203.7159204609034"/>
    <n v="1635.5425"/>
    <n v="72006.012600000002"/>
    <n v="25550.520599999996"/>
    <n v="1495.1536999999998"/>
    <n v="0.91416377134803883"/>
  </r>
  <r>
    <n v="753"/>
    <n v="84"/>
    <d v="2023-03-18T00:00:00"/>
    <n v="5"/>
    <n v="4"/>
    <n v="7449.7536"/>
    <x v="80"/>
    <x v="6"/>
    <n v="4656.0959999999995"/>
    <n v="7760.16"/>
    <n v="1"/>
    <n v="10018.231184798364"/>
    <n v="2588.9250000000002"/>
    <n v="37248.767999999996"/>
    <n v="13968.288000000002"/>
    <n v="4860.8285999999998"/>
    <n v="1.877547090008401"/>
  </r>
  <r>
    <n v="754"/>
    <n v="12"/>
    <d v="2025-07-24T00:00:00"/>
    <n v="48"/>
    <n v="4"/>
    <n v="1550.6399999999999"/>
    <x v="122"/>
    <x v="4"/>
    <n v="969.15"/>
    <n v="1615.25"/>
    <n v="3"/>
    <n v="1880.8604985715042"/>
    <n v="4365.21"/>
    <n v="74430.720000000001"/>
    <n v="27911.519999999997"/>
    <n v="-2814.57"/>
    <n v="-0.64477310369947838"/>
  </r>
  <r>
    <n v="755"/>
    <n v="47"/>
    <d v="2023-04-26T00:00:00"/>
    <n v="25"/>
    <n v="9"/>
    <n v="3106.3578000000002"/>
    <x v="112"/>
    <x v="2"/>
    <n v="2048.1479999999997"/>
    <n v="3413.58"/>
    <n v="5"/>
    <n v="3668.5562295698742"/>
    <n v="2051.0440000000003"/>
    <n v="77658.945000000007"/>
    <n v="26455.245000000014"/>
    <n v="1055.3137999999999"/>
    <n v="0.51452518814808446"/>
  </r>
  <r>
    <n v="756"/>
    <n v="112"/>
    <d v="2023-10-01T00:00:00"/>
    <n v="6"/>
    <n v="7"/>
    <n v="2543.0012999999999"/>
    <x v="19"/>
    <x v="6"/>
    <n v="1640.646"/>
    <n v="2734.41"/>
    <n v="1"/>
    <n v="3074.8147798440086"/>
    <n v="7409.5025000000005"/>
    <n v="15258.007799999999"/>
    <n v="5414.1317999999992"/>
    <n v="-4866.5012000000006"/>
    <n v="-0.65679189662193926"/>
  </r>
  <r>
    <n v="757"/>
    <n v="87"/>
    <d v="2025-10-31T00:00:00"/>
    <n v="33"/>
    <n v="10"/>
    <n v="3684.7080000000001"/>
    <x v="15"/>
    <x v="5"/>
    <n v="2456.4719999999998"/>
    <n v="4094.12"/>
    <n v="2"/>
    <n v="4650.0180806354456"/>
    <n v="493.79250000000002"/>
    <n v="121595.364"/>
    <n v="40531.788000000008"/>
    <n v="3190.9155000000001"/>
    <n v="6.4620574431567919"/>
  </r>
  <r>
    <n v="758"/>
    <n v="61"/>
    <d v="2024-10-06T00:00:00"/>
    <n v="9"/>
    <n v="8"/>
    <n v="2246.8607999999999"/>
    <x v="146"/>
    <x v="7"/>
    <n v="1465.3439999999998"/>
    <n v="2442.2399999999998"/>
    <n v="5"/>
    <n v="2648.3965535890679"/>
    <n v="411.75600000000003"/>
    <n v="20221.747199999998"/>
    <n v="7033.6512000000012"/>
    <n v="1835.1047999999998"/>
    <n v="4.4567773147203678"/>
  </r>
  <r>
    <n v="759"/>
    <n v="18"/>
    <d v="2023-08-27T00:00:00"/>
    <n v="43"/>
    <n v="2"/>
    <n v="8267.2309999999998"/>
    <x v="46"/>
    <x v="7"/>
    <n v="5061.5700000000006"/>
    <n v="8435.9500000000007"/>
    <n v="3"/>
    <n v="9463.9007704780233"/>
    <n v="1552.9240000000002"/>
    <n v="355490.93299999996"/>
    <n v="137843.42299999995"/>
    <n v="6714.3069999999998"/>
    <n v="4.3236546025433302"/>
  </r>
  <r>
    <n v="760"/>
    <n v="139"/>
    <d v="2025-02-10T00:00:00"/>
    <n v="50"/>
    <n v="2"/>
    <n v="2539.2583999999997"/>
    <x v="25"/>
    <x v="3"/>
    <n v="1554.6479999999999"/>
    <n v="2591.08"/>
    <n v="5"/>
    <n v="3038.2307582838093"/>
    <n v="2839.1733333333336"/>
    <n v="126962.91999999998"/>
    <n v="49230.51999999999"/>
    <n v="-299.91493333333392"/>
    <n v="-0.10563459786416723"/>
  </r>
  <r>
    <n v="761"/>
    <n v="9"/>
    <d v="2023-05-26T00:00:00"/>
    <n v="28"/>
    <n v="9"/>
    <n v="2606.1035000000002"/>
    <x v="20"/>
    <x v="0"/>
    <n v="1718.31"/>
    <n v="2863.85"/>
    <n v="5"/>
    <n v="2996.3606424966447"/>
    <n v="6325.1699999999992"/>
    <n v="72970.898000000001"/>
    <n v="24858.218000000008"/>
    <n v="-3719.066499999999"/>
    <n v="-0.58797890017185306"/>
  </r>
  <r>
    <n v="762"/>
    <n v="115"/>
    <d v="2024-08-12T00:00:00"/>
    <n v="44"/>
    <n v="5"/>
    <n v="4456.7159999999994"/>
    <x v="71"/>
    <x v="2"/>
    <n v="2814.7679999999996"/>
    <n v="4691.28"/>
    <n v="2"/>
    <n v="5872.3791505606641"/>
    <n v="4456.5325000000003"/>
    <n v="196095.50399999999"/>
    <n v="72245.712"/>
    <n v="0.18349999999918509"/>
    <n v="4.1175510332121463E-5"/>
  </r>
  <r>
    <n v="763"/>
    <n v="78"/>
    <d v="2024-04-25T00:00:00"/>
    <n v="1"/>
    <n v="2"/>
    <n v="848.42520000000002"/>
    <x v="26"/>
    <x v="2"/>
    <n v="519.44399999999996"/>
    <n v="865.74"/>
    <n v="4"/>
    <n v="1033.8093262473765"/>
    <n v="398.392"/>
    <n v="848.42520000000002"/>
    <n v="328.98120000000006"/>
    <n v="450.03320000000002"/>
    <n v="1.1296240888371254"/>
  </r>
  <r>
    <n v="764"/>
    <n v="15"/>
    <d v="2024-04-01T00:00:00"/>
    <n v="27"/>
    <n v="6"/>
    <n v="4550.9911999999995"/>
    <x v="27"/>
    <x v="4"/>
    <n v="2904.8879999999995"/>
    <n v="4841.4799999999996"/>
    <n v="4"/>
    <n v="5373.4467486932635"/>
    <n v="5242.3433333333332"/>
    <n v="122876.76239999999"/>
    <n v="44444.786399999997"/>
    <n v="-691.35213333333377"/>
    <n v="-0.13187845384665772"/>
  </r>
  <r>
    <n v="765"/>
    <n v="22"/>
    <d v="2023-01-28T00:00:00"/>
    <n v="3"/>
    <n v="5"/>
    <n v="1552.7749999999999"/>
    <x v="6"/>
    <x v="3"/>
    <n v="980.69999999999993"/>
    <n v="1634.5"/>
    <n v="1"/>
    <n v="1756.6336088701894"/>
    <n v="3187.4450000000002"/>
    <n v="4658.3249999999998"/>
    <n v="1716.2249999999999"/>
    <n v="-1634.6700000000003"/>
    <n v="-0.51284649617483602"/>
  </r>
  <r>
    <n v="766"/>
    <n v="85"/>
    <d v="2025-03-24T00:00:00"/>
    <n v="32"/>
    <n v="4"/>
    <n v="3602.9088000000002"/>
    <x v="42"/>
    <x v="3"/>
    <n v="2251.8180000000002"/>
    <n v="3753.03"/>
    <n v="1"/>
    <n v="4276.9670636542724"/>
    <n v="3340.25"/>
    <n v="115293.0816"/>
    <n v="43234.905599999998"/>
    <n v="262.65880000000016"/>
    <n v="7.8634473467554866E-2"/>
  </r>
  <r>
    <n v="767"/>
    <n v="87"/>
    <d v="2023-06-17T00:00:00"/>
    <n v="19"/>
    <n v="5"/>
    <n v="3889.4139999999998"/>
    <x v="15"/>
    <x v="5"/>
    <n v="2456.4719999999998"/>
    <n v="4094.12"/>
    <n v="2"/>
    <n v="4095.5000662558614"/>
    <n v="493.79250000000002"/>
    <n v="73898.865999999995"/>
    <n v="27225.898000000001"/>
    <n v="3395.6214999999997"/>
    <n v="6.8766161899988347"/>
  </r>
  <r>
    <n v="768"/>
    <n v="52"/>
    <d v="2024-01-21T00:00:00"/>
    <n v="32"/>
    <n v="3"/>
    <n v="4325.4045999999998"/>
    <x v="75"/>
    <x v="2"/>
    <n v="2675.5080000000003"/>
    <n v="4459.18"/>
    <n v="3"/>
    <n v="5017.4326501946898"/>
    <n v="6258.09"/>
    <n v="138412.9472"/>
    <n v="52796.691199999987"/>
    <n v="-1932.6854000000003"/>
    <n v="-0.30882991455859538"/>
  </r>
  <r>
    <n v="769"/>
    <n v="22"/>
    <d v="2024-11-06T00:00:00"/>
    <n v="25"/>
    <n v="3"/>
    <n v="1585.4649999999999"/>
    <x v="6"/>
    <x v="3"/>
    <n v="980.69999999999993"/>
    <n v="1634.5"/>
    <n v="1"/>
    <n v="1951.0693899497237"/>
    <n v="3187.4450000000002"/>
    <n v="39636.625"/>
    <n v="15119.125"/>
    <n v="-1601.9800000000002"/>
    <n v="-0.50259063293641149"/>
  </r>
  <r>
    <n v="770"/>
    <n v="133"/>
    <d v="2023-12-30T00:00:00"/>
    <n v="16"/>
    <n v="4"/>
    <n v="6340.7039999999997"/>
    <x v="40"/>
    <x v="1"/>
    <n v="3962.9399999999996"/>
    <n v="6604.9"/>
    <n v="4"/>
    <n v="7414.2505178236397"/>
    <n v="4666.1933333333336"/>
    <n v="101451.264"/>
    <n v="38044.224000000002"/>
    <n v="1674.5106666666661"/>
    <n v="0.3588601129543138"/>
  </r>
  <r>
    <n v="771"/>
    <n v="42"/>
    <d v="2025-09-13T00:00:00"/>
    <n v="34"/>
    <n v="8"/>
    <n v="393.39200000000005"/>
    <x v="132"/>
    <x v="1"/>
    <n v="256.56"/>
    <n v="427.6"/>
    <n v="2"/>
    <n v="449.37714302831074"/>
    <n v="513.45666666666671"/>
    <n v="13375.328000000001"/>
    <n v="4652.2880000000014"/>
    <n v="-120.06466666666665"/>
    <n v="-0.23383602640923928"/>
  </r>
  <r>
    <n v="772"/>
    <n v="52"/>
    <d v="2023-07-07T00:00:00"/>
    <n v="17"/>
    <n v="8"/>
    <n v="4102.4456"/>
    <x v="75"/>
    <x v="2"/>
    <n v="2675.5080000000003"/>
    <n v="4459.18"/>
    <n v="3"/>
    <n v="5457.0999691930028"/>
    <n v="6258.09"/>
    <n v="69741.575200000007"/>
    <n v="24257.939199999997"/>
    <n v="-2155.6444000000001"/>
    <n v="-0.34445723855042037"/>
  </r>
  <r>
    <n v="773"/>
    <n v="139"/>
    <d v="2023-11-13T00:00:00"/>
    <n v="36"/>
    <n v="8"/>
    <n v="2383.7936"/>
    <x v="25"/>
    <x v="3"/>
    <n v="1554.6479999999999"/>
    <n v="2591.08"/>
    <n v="5"/>
    <n v="2694.2355681718591"/>
    <n v="2839.1733333333336"/>
    <n v="85816.569600000003"/>
    <n v="29849.241600000001"/>
    <n v="-455.37973333333366"/>
    <n v="-0.16039166330105487"/>
  </r>
  <r>
    <n v="774"/>
    <n v="117"/>
    <d v="2024-12-17T00:00:00"/>
    <n v="35"/>
    <n v="2"/>
    <n v="2084.6363999999999"/>
    <x v="1"/>
    <x v="0"/>
    <n v="1276.3079999999998"/>
    <n v="2127.1799999999998"/>
    <n v="1"/>
    <n v="2485.2093675360579"/>
    <n v="892.9766666666668"/>
    <n v="72962.27399999999"/>
    <n v="28291.494000000002"/>
    <n v="1191.659733333333"/>
    <n v="1.3344802589093401"/>
  </r>
  <r>
    <n v="775"/>
    <n v="7"/>
    <d v="2023-07-23T00:00:00"/>
    <n v="16"/>
    <n v="3"/>
    <n v="8113.8559999999989"/>
    <x v="24"/>
    <x v="3"/>
    <n v="5018.8799999999992"/>
    <n v="8364.7999999999993"/>
    <n v="1"/>
    <n v="10734.815850337869"/>
    <n v="1679.8333333333333"/>
    <n v="129821.69599999998"/>
    <n v="49519.615999999995"/>
    <n v="6434.0226666666658"/>
    <n v="3.8301553725568009"/>
  </r>
  <r>
    <n v="776"/>
    <n v="43"/>
    <d v="2024-12-13T00:00:00"/>
    <n v="43"/>
    <n v="9"/>
    <n v="2934.7318"/>
    <x v="119"/>
    <x v="3"/>
    <n v="1934.9879999999998"/>
    <n v="3224.98"/>
    <n v="2"/>
    <n v="3394.9764119472179"/>
    <n v="445.53000000000003"/>
    <n v="126193.46739999999"/>
    <n v="42988.983400000012"/>
    <n v="2489.2017999999998"/>
    <n v="5.5870576616613912"/>
  </r>
  <r>
    <n v="777"/>
    <n v="114"/>
    <d v="2023-10-30T00:00:00"/>
    <n v="42"/>
    <n v="8"/>
    <n v="7032.8572000000004"/>
    <x v="99"/>
    <x v="5"/>
    <n v="4586.6459999999997"/>
    <n v="7644.41"/>
    <n v="2"/>
    <n v="9290.2911564089172"/>
    <n v="6494.3074999999999"/>
    <n v="295380.0024"/>
    <n v="102740.87040000003"/>
    <n v="538.54970000000048"/>
    <n v="8.2926424410916869E-2"/>
  </r>
  <r>
    <n v="778"/>
    <n v="16"/>
    <d v="2025-10-09T00:00:00"/>
    <n v="33"/>
    <n v="9"/>
    <n v="6144.1380000000008"/>
    <x v="142"/>
    <x v="2"/>
    <n v="4051.08"/>
    <n v="6751.8"/>
    <n v="4"/>
    <n v="8265.9790615726779"/>
    <n v="6827.7939999999999"/>
    <n v="202756.55400000003"/>
    <n v="69070.914000000033"/>
    <n v="-683.65599999999904"/>
    <n v="-0.10012838700171667"/>
  </r>
  <r>
    <n v="779"/>
    <n v="115"/>
    <d v="2024-01-12T00:00:00"/>
    <n v="21"/>
    <n v="6"/>
    <n v="4409.8031999999994"/>
    <x v="71"/>
    <x v="2"/>
    <n v="2814.7679999999996"/>
    <n v="4691.28"/>
    <n v="2"/>
    <n v="5288.6863569387597"/>
    <n v="4456.5325000000003"/>
    <n v="92605.867199999993"/>
    <n v="33495.739199999996"/>
    <n v="-46.729300000000876"/>
    <n v="-1.0485573705566126E-2"/>
  </r>
  <r>
    <n v="780"/>
    <n v="120"/>
    <d v="2024-08-18T00:00:00"/>
    <n v="37"/>
    <n v="7"/>
    <n v="1838.2379999999998"/>
    <x v="125"/>
    <x v="0"/>
    <n v="1185.9599999999998"/>
    <n v="1976.6"/>
    <n v="2"/>
    <n v="1981.6743109473059"/>
    <n v="1688.8574999999998"/>
    <n v="68014.805999999997"/>
    <n v="24134.286"/>
    <n v="149.38049999999998"/>
    <n v="8.8450624164560954E-2"/>
  </r>
  <r>
    <n v="781"/>
    <n v="91"/>
    <d v="2024-10-07T00:00:00"/>
    <n v="22"/>
    <n v="2"/>
    <n v="3099.74"/>
    <x v="35"/>
    <x v="3"/>
    <n v="1897.8"/>
    <n v="3163"/>
    <n v="2"/>
    <n v="3299.7157844319358"/>
    <n v="4782.2433333333329"/>
    <n v="68194.28"/>
    <n v="26442.679999999997"/>
    <n v="-1682.5033333333331"/>
    <n v="-0.35182302866228055"/>
  </r>
  <r>
    <n v="782"/>
    <n v="16"/>
    <d v="2023-01-18T00:00:00"/>
    <n v="19"/>
    <n v="8"/>
    <n v="6211.6560000000009"/>
    <x v="142"/>
    <x v="2"/>
    <n v="4051.08"/>
    <n v="6751.8"/>
    <n v="4"/>
    <n v="8363.2202297279819"/>
    <n v="6827.7939999999999"/>
    <n v="118021.46400000002"/>
    <n v="41050.944000000018"/>
    <n v="-616.13799999999901"/>
    <n v="-9.023968795777948E-2"/>
  </r>
  <r>
    <n v="783"/>
    <n v="135"/>
    <d v="2023-04-02T00:00:00"/>
    <n v="48"/>
    <n v="6"/>
    <n v="7312.9273999999996"/>
    <x v="140"/>
    <x v="0"/>
    <n v="4667.826"/>
    <n v="7779.71"/>
    <n v="5"/>
    <n v="9587.6407846672337"/>
    <n v="4172.7833333333338"/>
    <n v="351020.51519999997"/>
    <n v="126964.86719999998"/>
    <n v="3140.1440666666658"/>
    <n v="0.75252986216234541"/>
  </r>
  <r>
    <n v="784"/>
    <n v="28"/>
    <d v="2024-02-21T00:00:00"/>
    <n v="2"/>
    <n v="3"/>
    <n v="5545.1214"/>
    <x v="70"/>
    <x v="0"/>
    <n v="3429.9719999999998"/>
    <n v="5716.62"/>
    <n v="5"/>
    <n v="6803.658921132147"/>
    <n v="3542.9559999999997"/>
    <n v="11090.2428"/>
    <n v="4230.2988000000005"/>
    <n v="2002.1654000000003"/>
    <n v="0.56511156220963521"/>
  </r>
  <r>
    <n v="785"/>
    <n v="120"/>
    <d v="2025-08-22T00:00:00"/>
    <n v="47"/>
    <n v="8"/>
    <n v="1818.472"/>
    <x v="125"/>
    <x v="0"/>
    <n v="1185.9599999999998"/>
    <n v="1976.6"/>
    <n v="2"/>
    <n v="2078.4424061491691"/>
    <n v="1688.8574999999998"/>
    <n v="85468.183999999994"/>
    <n v="29728.064000000009"/>
    <n v="129.61450000000013"/>
    <n v="7.6746854012253937E-2"/>
  </r>
  <r>
    <n v="786"/>
    <n v="92"/>
    <d v="2025-01-20T00:00:00"/>
    <n v="13"/>
    <n v="4"/>
    <n v="3434.8991999999998"/>
    <x v="88"/>
    <x v="1"/>
    <n v="2146.8119999999999"/>
    <n v="3578.02"/>
    <n v="5"/>
    <n v="3943.7143659506992"/>
    <n v="5387.83"/>
    <n v="44653.689599999998"/>
    <n v="16745.133600000001"/>
    <n v="-1952.9308000000001"/>
    <n v="-0.36247075353157027"/>
  </r>
  <r>
    <n v="787"/>
    <n v="76"/>
    <d v="2025-06-16T00:00:00"/>
    <n v="26"/>
    <n v="6"/>
    <n v="2881.6358"/>
    <x v="63"/>
    <x v="5"/>
    <n v="1839.3420000000001"/>
    <n v="3065.57"/>
    <n v="1"/>
    <n v="3897.9855575670085"/>
    <n v="831.92600000000004"/>
    <n v="74922.530800000008"/>
    <n v="27099.638799999997"/>
    <n v="2049.7098000000001"/>
    <n v="2.4638126467979125"/>
  </r>
  <r>
    <n v="788"/>
    <n v="64"/>
    <d v="2023-06-24T00:00:00"/>
    <n v="1"/>
    <n v="2"/>
    <n v="3136"/>
    <x v="31"/>
    <x v="2"/>
    <n v="1920"/>
    <n v="3200"/>
    <n v="2"/>
    <n v="3315.4019930024228"/>
    <n v="3782.0099999999998"/>
    <n v="3136"/>
    <n v="1216"/>
    <n v="-646.00999999999976"/>
    <n v="-0.17081128817745056"/>
  </r>
  <r>
    <n v="789"/>
    <n v="12"/>
    <d v="2024-04-23T00:00:00"/>
    <n v="7"/>
    <n v="4"/>
    <n v="1550.6399999999999"/>
    <x v="122"/>
    <x v="4"/>
    <n v="969.15"/>
    <n v="1615.25"/>
    <n v="3"/>
    <n v="2014.8360334642682"/>
    <n v="4365.21"/>
    <n v="10854.48"/>
    <n v="4070.4299999999994"/>
    <n v="-2814.57"/>
    <n v="-0.64477310369947838"/>
  </r>
  <r>
    <n v="790"/>
    <n v="78"/>
    <d v="2023-07-26T00:00:00"/>
    <n v="46"/>
    <n v="8"/>
    <n v="796.48080000000004"/>
    <x v="26"/>
    <x v="2"/>
    <n v="519.44399999999996"/>
    <n v="865.74"/>
    <n v="4"/>
    <n v="952.99675524738143"/>
    <n v="398.392"/>
    <n v="36638.116800000003"/>
    <n v="12743.692800000004"/>
    <n v="398.08880000000005"/>
    <n v="0.99923894054097484"/>
  </r>
  <r>
    <n v="791"/>
    <n v="38"/>
    <d v="2023-03-29T00:00:00"/>
    <n v="4"/>
    <n v="10"/>
    <n v="5935.9409999999998"/>
    <x v="126"/>
    <x v="3"/>
    <n v="3957.2939999999999"/>
    <n v="6595.49"/>
    <n v="5"/>
    <n v="6712.1489409621145"/>
    <n v="517.86"/>
    <n v="23743.763999999999"/>
    <n v="7914.5879999999997"/>
    <n v="5418.0810000000001"/>
    <n v="10.462443517553007"/>
  </r>
  <r>
    <n v="792"/>
    <n v="24"/>
    <d v="2025-02-13T00:00:00"/>
    <n v="25"/>
    <n v="3"/>
    <n v="3876.6243999999997"/>
    <x v="32"/>
    <x v="7"/>
    <n v="2397.9119999999998"/>
    <n v="3996.52"/>
    <n v="4"/>
    <n v="4348.9372478114074"/>
    <n v="3028.7733333333331"/>
    <n v="96915.609999999986"/>
    <n v="36967.81"/>
    <n v="847.85106666666661"/>
    <n v="0.27993216175525404"/>
  </r>
  <r>
    <n v="793"/>
    <n v="65"/>
    <d v="2023-01-05T00:00:00"/>
    <n v="41"/>
    <n v="4"/>
    <n v="4330.9055999999991"/>
    <x v="90"/>
    <x v="2"/>
    <n v="2706.8159999999998"/>
    <n v="4511.3599999999997"/>
    <n v="1"/>
    <n v="4577.5286031639871"/>
    <n v="1786.8475000000001"/>
    <n v="177567.12959999996"/>
    <n v="66587.67359999998"/>
    <n v="2544.0580999999993"/>
    <n v="1.423769012184867"/>
  </r>
  <r>
    <n v="794"/>
    <n v="48"/>
    <d v="2025-05-24T00:00:00"/>
    <n v="29"/>
    <n v="8"/>
    <n v="3393.2084"/>
    <x v="3"/>
    <x v="0"/>
    <n v="2212.962"/>
    <n v="3688.27"/>
    <n v="4"/>
    <n v="4257.8287648030127"/>
    <n v="1050.3625000000002"/>
    <n v="98403.043600000005"/>
    <n v="34227.145600000003"/>
    <n v="2342.8458999999998"/>
    <n v="2.2305117518951785"/>
  </r>
  <r>
    <n v="795"/>
    <n v="59"/>
    <d v="2023-07-18T00:00:00"/>
    <n v="17"/>
    <n v="7"/>
    <n v="3859.9742999999999"/>
    <x v="43"/>
    <x v="5"/>
    <n v="2490.306"/>
    <n v="4150.51"/>
    <n v="3"/>
    <n v="4254.0682313348761"/>
    <n v="6105.9674999999997"/>
    <n v="65619.563099999999"/>
    <n v="23284.361099999998"/>
    <n v="-2245.9931999999999"/>
    <n v="-0.36783576067183454"/>
  </r>
  <r>
    <n v="796"/>
    <n v="123"/>
    <d v="2025-08-03T00:00:00"/>
    <n v="44"/>
    <n v="9"/>
    <n v="4211.1342000000004"/>
    <x v="148"/>
    <x v="3"/>
    <n v="2776.5719999999997"/>
    <n v="4627.62"/>
    <n v="2"/>
    <n v="4936.737607276893"/>
    <n v="809.94800000000009"/>
    <n v="185289.90480000002"/>
    <n v="63120.736800000035"/>
    <n v="3401.1862000000001"/>
    <n v="4.1992648910794266"/>
  </r>
  <r>
    <n v="797"/>
    <n v="74"/>
    <d v="2023-05-22T00:00:00"/>
    <n v="40"/>
    <n v="8"/>
    <n v="1752.7932000000001"/>
    <x v="78"/>
    <x v="3"/>
    <n v="1143.126"/>
    <n v="1905.21"/>
    <n v="5"/>
    <n v="1963.8049613548997"/>
    <n v="2585.9039999999995"/>
    <n v="70111.728000000003"/>
    <n v="24386.688000000002"/>
    <n v="-833.11079999999947"/>
    <n v="-0.3221739090082229"/>
  </r>
  <r>
    <n v="798"/>
    <n v="16"/>
    <d v="2023-03-18T00:00:00"/>
    <n v="16"/>
    <n v="10"/>
    <n v="6076.62"/>
    <x v="142"/>
    <x v="2"/>
    <n v="4051.08"/>
    <n v="6751.8"/>
    <n v="4"/>
    <n v="7838.6397048536255"/>
    <n v="6827.7939999999999"/>
    <n v="97225.919999999998"/>
    <n v="32408.639999999999"/>
    <n v="-751.17399999999998"/>
    <n v="-0.11001708604565398"/>
  </r>
  <r>
    <n v="799"/>
    <n v="123"/>
    <d v="2023-01-14T00:00:00"/>
    <n v="50"/>
    <n v="10"/>
    <n v="4164.8580000000002"/>
    <x v="148"/>
    <x v="3"/>
    <n v="2776.5719999999997"/>
    <n v="4627.62"/>
    <n v="2"/>
    <n v="5468.9961285223844"/>
    <n v="809.94800000000009"/>
    <n v="208242.90000000002"/>
    <n v="69414.300000000032"/>
    <n v="3354.91"/>
    <n v="4.1421301120565754"/>
  </r>
  <r>
    <n v="800"/>
    <n v="45"/>
    <d v="2023-06-17T00:00:00"/>
    <n v="41"/>
    <n v="5"/>
    <n v="5060.0704999999998"/>
    <x v="69"/>
    <x v="1"/>
    <n v="3195.8340000000003"/>
    <n v="5326.39"/>
    <n v="1"/>
    <n v="6906.5834371394167"/>
    <n v="4436.1279999999997"/>
    <n v="207462.89049999998"/>
    <n v="76433.696499999976"/>
    <n v="623.94250000000011"/>
    <n v="0.14065024724264047"/>
  </r>
  <r>
    <n v="801"/>
    <n v="15"/>
    <d v="2023-06-24T00:00:00"/>
    <n v="20"/>
    <n v="3"/>
    <n v="4696.2355999999991"/>
    <x v="27"/>
    <x v="4"/>
    <n v="2904.8879999999995"/>
    <n v="4841.4799999999996"/>
    <n v="4"/>
    <n v="6006.7771001586761"/>
    <n v="5242.3433333333332"/>
    <n v="93924.711999999985"/>
    <n v="35826.95199999999"/>
    <n v="-546.10773333333418"/>
    <n v="-0.10417244705452985"/>
  </r>
  <r>
    <n v="802"/>
    <n v="58"/>
    <d v="2024-08-05T00:00:00"/>
    <n v="47"/>
    <n v="2"/>
    <n v="1115.8083999999999"/>
    <x v="103"/>
    <x v="7"/>
    <n v="683.14799999999991"/>
    <n v="1138.58"/>
    <n v="2"/>
    <n v="1145.9840312898091"/>
    <n v="1439.8525"/>
    <n v="52442.994799999993"/>
    <n v="20335.038799999998"/>
    <n v="-324.04410000000007"/>
    <n v="-0.22505367737320323"/>
  </r>
  <r>
    <n v="803"/>
    <n v="94"/>
    <d v="2023-02-27T00:00:00"/>
    <n v="37"/>
    <n v="4"/>
    <n v="4466.6687999999995"/>
    <x v="8"/>
    <x v="4"/>
    <n v="2791.6679999999997"/>
    <n v="4652.78"/>
    <n v="1"/>
    <n v="5609.9196994551758"/>
    <n v="6485.5883333333331"/>
    <n v="165266.74559999997"/>
    <n v="61975.029599999994"/>
    <n v="-2018.9195333333337"/>
    <n v="-0.31129319802135663"/>
  </r>
  <r>
    <n v="804"/>
    <n v="21"/>
    <d v="2025-10-30T00:00:00"/>
    <n v="8"/>
    <n v="5"/>
    <n v="2735.335"/>
    <x v="67"/>
    <x v="0"/>
    <n v="1727.5800000000002"/>
    <n v="2879.3"/>
    <n v="3"/>
    <n v="3573.5499563618073"/>
    <n v="4150.0079999999998"/>
    <n v="21882.68"/>
    <n v="8062.0399999999991"/>
    <n v="-1414.6729999999998"/>
    <n v="-0.3408844031144036"/>
  </r>
  <r>
    <n v="805"/>
    <n v="100"/>
    <d v="2024-12-01T00:00:00"/>
    <n v="9"/>
    <n v="7"/>
    <n v="3797.9897999999998"/>
    <x v="21"/>
    <x v="3"/>
    <n v="2450.3159999999998"/>
    <n v="4083.86"/>
    <n v="3"/>
    <n v="4481.8134877949797"/>
    <n v="3659.5875000000001"/>
    <n v="34181.908199999998"/>
    <n v="12129.064200000001"/>
    <n v="138.40229999999974"/>
    <n v="3.7819098463966153E-2"/>
  </r>
  <r>
    <n v="806"/>
    <n v="149"/>
    <d v="2023-08-13T00:00:00"/>
    <n v="11"/>
    <n v="9"/>
    <n v="5576.2798000000003"/>
    <x v="14"/>
    <x v="5"/>
    <n v="3676.6679999999997"/>
    <n v="6127.78"/>
    <n v="4"/>
    <n v="6371.4403069665386"/>
    <n v="3159.4639999999999"/>
    <n v="61339.077799999999"/>
    <n v="20895.729800000008"/>
    <n v="2416.8158000000003"/>
    <n v="0.76494487672592582"/>
  </r>
  <r>
    <n v="807"/>
    <n v="18"/>
    <d v="2023-07-29T00:00:00"/>
    <n v="42"/>
    <n v="8"/>
    <n v="7761.0740000000014"/>
    <x v="46"/>
    <x v="7"/>
    <n v="5061.5700000000006"/>
    <n v="8435.9500000000007"/>
    <n v="3"/>
    <n v="9251.1437607765802"/>
    <n v="1552.9240000000002"/>
    <n v="325965.10800000007"/>
    <n v="113379.16800000003"/>
    <n v="6208.1500000000015"/>
    <n v="3.9977165656529237"/>
  </r>
  <r>
    <n v="808"/>
    <n v="141"/>
    <d v="2024-05-07T00:00:00"/>
    <n v="49"/>
    <n v="8"/>
    <n v="7235.9748"/>
    <x v="86"/>
    <x v="1"/>
    <n v="4719.1139999999996"/>
    <n v="7865.19"/>
    <n v="5"/>
    <n v="7949.1073826536312"/>
    <n v="7586.8133333333344"/>
    <n v="354562.76520000002"/>
    <n v="123326.17920000001"/>
    <n v="-350.83853333333445"/>
    <n v="-4.624320092230217E-2"/>
  </r>
  <r>
    <n v="809"/>
    <n v="18"/>
    <d v="2023-06-09T00:00:00"/>
    <n v="14"/>
    <n v="9"/>
    <n v="7676.714500000001"/>
    <x v="46"/>
    <x v="7"/>
    <n v="5061.5700000000006"/>
    <n v="8435.9500000000007"/>
    <n v="3"/>
    <n v="9985.3490093160108"/>
    <n v="1552.9240000000002"/>
    <n v="107474.00300000001"/>
    <n v="36612.023000000001"/>
    <n v="6123.790500000001"/>
    <n v="3.9433935595045218"/>
  </r>
  <r>
    <n v="810"/>
    <n v="56"/>
    <d v="2025-05-15T00:00:00"/>
    <n v="5"/>
    <n v="8"/>
    <n v="7343.2560000000003"/>
    <x v="17"/>
    <x v="5"/>
    <n v="4789.08"/>
    <n v="7981.8"/>
    <n v="5"/>
    <n v="10183.894994765038"/>
    <n v="3458.9274999999998"/>
    <n v="36716.28"/>
    <n v="12770.880000000001"/>
    <n v="3884.3285000000005"/>
    <n v="1.1229863881217519"/>
  </r>
  <r>
    <n v="811"/>
    <n v="53"/>
    <d v="2023-05-21T00:00:00"/>
    <n v="49"/>
    <n v="2"/>
    <n v="3395.1217999999999"/>
    <x v="120"/>
    <x v="2"/>
    <n v="2078.6459999999997"/>
    <n v="3464.41"/>
    <n v="4"/>
    <n v="4286.0079102580239"/>
    <n v="954.33000000000015"/>
    <n v="166360.9682"/>
    <n v="64507.314200000008"/>
    <n v="2440.7918"/>
    <n v="2.5575972671926896"/>
  </r>
  <r>
    <n v="812"/>
    <n v="104"/>
    <d v="2023-08-02T00:00:00"/>
    <n v="7"/>
    <n v="7"/>
    <n v="3007.2015000000001"/>
    <x v="44"/>
    <x v="2"/>
    <n v="1940.13"/>
    <n v="3233.55"/>
    <n v="1"/>
    <n v="3569.4398147669526"/>
    <n v="5121.3466666666664"/>
    <n v="21050.410500000002"/>
    <n v="7469.5005000000001"/>
    <n v="-2114.1451666666662"/>
    <n v="-0.41281040012913262"/>
  </r>
  <r>
    <n v="813"/>
    <n v="108"/>
    <d v="2025-10-23T00:00:00"/>
    <n v="18"/>
    <n v="6"/>
    <n v="790.10759999999993"/>
    <x v="82"/>
    <x v="6"/>
    <n v="504.32399999999996"/>
    <n v="840.54"/>
    <n v="3"/>
    <n v="947.55126101967664"/>
    <n v="5163.7120000000004"/>
    <n v="14221.936799999999"/>
    <n v="5144.1047999999992"/>
    <n v="-4373.6044000000002"/>
    <n v="-0.84698844552136132"/>
  </r>
  <r>
    <n v="814"/>
    <n v="64"/>
    <d v="2023-09-12T00:00:00"/>
    <n v="9"/>
    <n v="4"/>
    <n v="3072"/>
    <x v="31"/>
    <x v="2"/>
    <n v="1920"/>
    <n v="3200"/>
    <n v="2"/>
    <n v="3842.9150607527317"/>
    <n v="3782.0099999999998"/>
    <n v="27648"/>
    <n v="10368"/>
    <n v="-710.00999999999976"/>
    <n v="-0.18773350678607403"/>
  </r>
  <r>
    <n v="815"/>
    <n v="119"/>
    <d v="2025-12-24T00:00:00"/>
    <n v="25"/>
    <n v="10"/>
    <n v="1747.7190000000001"/>
    <x v="45"/>
    <x v="7"/>
    <n v="1165.146"/>
    <n v="1941.91"/>
    <n v="4"/>
    <n v="2307.3864907942998"/>
    <n v="4902.3539999999994"/>
    <n v="43692.974999999999"/>
    <n v="14564.325000000003"/>
    <n v="-3154.6349999999993"/>
    <n v="-0.64349392149159357"/>
  </r>
  <r>
    <n v="816"/>
    <n v="98"/>
    <d v="2024-06-26T00:00:00"/>
    <n v="2"/>
    <n v="9"/>
    <n v="7104.9888000000001"/>
    <x v="124"/>
    <x v="1"/>
    <n v="4684.6080000000002"/>
    <n v="7807.68"/>
    <n v="3"/>
    <n v="10076.761531847917"/>
    <n v="6533.69"/>
    <n v="14209.9776"/>
    <n v="4840.7615999999998"/>
    <n v="571.29880000000048"/>
    <n v="8.7438920426282929E-2"/>
  </r>
  <r>
    <n v="817"/>
    <n v="39"/>
    <d v="2023-06-24T00:00:00"/>
    <n v="20"/>
    <n v="10"/>
    <n v="2886.8220000000001"/>
    <x v="49"/>
    <x v="6"/>
    <n v="1924.5479999999998"/>
    <n v="3207.58"/>
    <n v="1"/>
    <n v="4155.4635000149192"/>
    <n v="9555.6079999999984"/>
    <n v="57736.44"/>
    <n v="19245.480000000007"/>
    <n v="-6668.7859999999982"/>
    <n v="-0.69789237900926859"/>
  </r>
  <r>
    <n v="818"/>
    <n v="11"/>
    <d v="2023-03-02T00:00:00"/>
    <n v="43"/>
    <n v="6"/>
    <n v="3008.1879999999996"/>
    <x v="16"/>
    <x v="1"/>
    <n v="1920.12"/>
    <n v="3200.2"/>
    <n v="1"/>
    <n v="3392.1677756799295"/>
    <n v="7089.33"/>
    <n v="129352.08399999999"/>
    <n v="46786.923999999992"/>
    <n v="-4081.1420000000003"/>
    <n v="-0.57567386480809901"/>
  </r>
  <r>
    <n v="819"/>
    <n v="68"/>
    <d v="2024-08-09T00:00:00"/>
    <n v="41"/>
    <n v="10"/>
    <n v="5439.1409999999996"/>
    <x v="53"/>
    <x v="6"/>
    <n v="3626.0939999999996"/>
    <n v="6043.49"/>
    <n v="2"/>
    <n v="7768.8030779390774"/>
    <n v="796.21333333333325"/>
    <n v="223004.78099999999"/>
    <n v="74334.926999999996"/>
    <n v="4642.9276666666665"/>
    <n v="5.8312608848549807"/>
  </r>
  <r>
    <n v="820"/>
    <n v="15"/>
    <d v="2025-06-16T00:00:00"/>
    <n v="4"/>
    <n v="10"/>
    <n v="4357.3319999999994"/>
    <x v="27"/>
    <x v="4"/>
    <n v="2904.8879999999995"/>
    <n v="4841.4799999999996"/>
    <n v="4"/>
    <n v="5689.3363835656537"/>
    <n v="5242.3433333333332"/>
    <n v="17429.327999999998"/>
    <n v="5809.7759999999998"/>
    <n v="-885.01133333333382"/>
    <n v="-0.16881979623616167"/>
  </r>
  <r>
    <n v="821"/>
    <n v="118"/>
    <d v="2023-01-09T00:00:00"/>
    <n v="29"/>
    <n v="5"/>
    <n v="2991.7874999999999"/>
    <x v="131"/>
    <x v="1"/>
    <n v="1889.55"/>
    <n v="3149.25"/>
    <n v="5"/>
    <n v="3395.4995203823646"/>
    <n v="224.52399999999997"/>
    <n v="86761.837499999994"/>
    <n v="31964.887499999997"/>
    <n v="2767.2635"/>
    <n v="12.325023160107607"/>
  </r>
  <r>
    <n v="822"/>
    <n v="57"/>
    <d v="2024-04-05T00:00:00"/>
    <n v="29"/>
    <n v="6"/>
    <n v="6403.0450000000001"/>
    <x v="55"/>
    <x v="6"/>
    <n v="4087.0499999999997"/>
    <n v="6811.75"/>
    <n v="2"/>
    <n v="7787.7887814465503"/>
    <n v="1836.9825000000001"/>
    <n v="185688.30499999999"/>
    <n v="67163.85500000001"/>
    <n v="4566.0625"/>
    <n v="2.4856320079260414"/>
  </r>
  <r>
    <n v="823"/>
    <n v="21"/>
    <d v="2023-03-20T00:00:00"/>
    <n v="41"/>
    <n v="4"/>
    <n v="2764.1280000000002"/>
    <x v="67"/>
    <x v="0"/>
    <n v="1727.5800000000002"/>
    <n v="2879.3"/>
    <n v="3"/>
    <n v="2958.0171573768175"/>
    <n v="4150.0079999999998"/>
    <n v="113329.24800000001"/>
    <n v="42498.468000000001"/>
    <n v="-1385.8799999999997"/>
    <n v="-0.33394634419981833"/>
  </r>
  <r>
    <n v="824"/>
    <n v="55"/>
    <d v="2023-08-03T00:00:00"/>
    <n v="14"/>
    <n v="7"/>
    <n v="896.78969999999993"/>
    <x v="47"/>
    <x v="6"/>
    <n v="578.57399999999996"/>
    <n v="964.29"/>
    <n v="2"/>
    <n v="1017.5798552486999"/>
    <n v="1508.7675000000002"/>
    <n v="12555.055799999998"/>
    <n v="4455.0198"/>
    <n v="-611.97780000000023"/>
    <n v="-0.40561438392595289"/>
  </r>
  <r>
    <n v="825"/>
    <n v="72"/>
    <d v="2025-11-19T00:00:00"/>
    <n v="12"/>
    <n v="8"/>
    <n v="5337.2879999999996"/>
    <x v="65"/>
    <x v="5"/>
    <n v="3480.8399999999997"/>
    <n v="5801.4"/>
    <n v="3"/>
    <n v="6673.4479341046444"/>
    <n v="5210.5919999999996"/>
    <n v="64047.455999999991"/>
    <n v="22277.375999999997"/>
    <n v="126.69599999999991"/>
    <n v="2.4315087421928241E-2"/>
  </r>
  <r>
    <n v="826"/>
    <n v="99"/>
    <d v="2024-09-20T00:00:00"/>
    <n v="1"/>
    <n v="10"/>
    <n v="1839.5820000000001"/>
    <x v="106"/>
    <x v="3"/>
    <n v="1226.3879999999999"/>
    <n v="2043.98"/>
    <n v="2"/>
    <n v="2382.1849087687524"/>
    <n v="958.76666666666654"/>
    <n v="1839.5820000000001"/>
    <n v="613.19400000000019"/>
    <n v="880.81533333333357"/>
    <n v="0.91869624169940589"/>
  </r>
  <r>
    <n v="827"/>
    <n v="130"/>
    <d v="2023-04-12T00:00:00"/>
    <n v="10"/>
    <n v="3"/>
    <n v="3089.9252999999999"/>
    <x v="111"/>
    <x v="4"/>
    <n v="1911.2939999999999"/>
    <n v="3185.49"/>
    <n v="5"/>
    <n v="4067.3095757264323"/>
    <n v="3865.1374999999998"/>
    <n v="30899.252999999997"/>
    <n v="11786.313"/>
    <n v="-775.21219999999994"/>
    <n v="-0.20056523215538904"/>
  </r>
  <r>
    <n v="828"/>
    <n v="123"/>
    <d v="2024-10-29T00:00:00"/>
    <n v="47"/>
    <n v="2"/>
    <n v="4535.0675999999994"/>
    <x v="148"/>
    <x v="3"/>
    <n v="2776.5719999999997"/>
    <n v="4627.62"/>
    <n v="2"/>
    <n v="5930.4642175248955"/>
    <n v="809.94800000000009"/>
    <n v="213148.17719999998"/>
    <n v="82649.293199999986"/>
    <n v="3725.1195999999991"/>
    <n v="4.5992083442393819"/>
  </r>
  <r>
    <n v="829"/>
    <n v="139"/>
    <d v="2024-04-10T00:00:00"/>
    <n v="50"/>
    <n v="6"/>
    <n v="2435.6151999999997"/>
    <x v="25"/>
    <x v="3"/>
    <n v="1554.6479999999999"/>
    <n v="2591.08"/>
    <n v="5"/>
    <n v="3319.556459428054"/>
    <n v="2839.1733333333336"/>
    <n v="121780.75999999998"/>
    <n v="44048.359999999993"/>
    <n v="-403.5581333333339"/>
    <n v="-0.14213930815542572"/>
  </r>
  <r>
    <n v="830"/>
    <n v="93"/>
    <d v="2025-04-23T00:00:00"/>
    <n v="49"/>
    <n v="10"/>
    <n v="6896.3130000000001"/>
    <x v="66"/>
    <x v="2"/>
    <n v="4597.5419999999995"/>
    <n v="7662.57"/>
    <n v="3"/>
    <n v="8149.8518418829726"/>
    <n v="991.00333333333344"/>
    <n v="337919.337"/>
    <n v="112639.77900000004"/>
    <n v="5905.309666666667"/>
    <n v="5.9589200843589492"/>
  </r>
  <r>
    <n v="831"/>
    <n v="81"/>
    <d v="2025-02-24T00:00:00"/>
    <n v="14"/>
    <n v="7"/>
    <n v="7219.9712999999992"/>
    <x v="147"/>
    <x v="0"/>
    <n v="4658.0459999999994"/>
    <n v="7763.41"/>
    <n v="2"/>
    <n v="8259.1948333495184"/>
    <n v="290.31399999999996"/>
    <n v="101079.59819999999"/>
    <n v="35866.9542"/>
    <n v="6929.6572999999989"/>
    <n v="23.86952506596306"/>
  </r>
  <r>
    <n v="832"/>
    <n v="76"/>
    <d v="2024-05-01T00:00:00"/>
    <n v="6"/>
    <n v="8"/>
    <n v="2820.3244000000004"/>
    <x v="63"/>
    <x v="5"/>
    <n v="1839.3420000000001"/>
    <n v="3065.57"/>
    <n v="1"/>
    <n v="3410.0319163287254"/>
    <n v="831.92600000000004"/>
    <n v="16921.946400000001"/>
    <n v="5885.894400000002"/>
    <n v="1988.3984000000005"/>
    <n v="2.3901145053766806"/>
  </r>
  <r>
    <n v="833"/>
    <n v="81"/>
    <d v="2024-10-16T00:00:00"/>
    <n v="2"/>
    <n v="10"/>
    <n v="6987.0690000000004"/>
    <x v="147"/>
    <x v="0"/>
    <n v="4658.0459999999994"/>
    <n v="7763.41"/>
    <n v="2"/>
    <n v="9395.923843241686"/>
    <n v="290.31399999999996"/>
    <n v="13974.138000000001"/>
    <n v="4658.0460000000021"/>
    <n v="6696.7550000000001"/>
    <n v="23.067282321899739"/>
  </r>
  <r>
    <n v="834"/>
    <n v="50"/>
    <d v="2023-04-27T00:00:00"/>
    <n v="9"/>
    <n v="8"/>
    <n v="1248.164"/>
    <x v="10"/>
    <x v="1"/>
    <n v="814.02"/>
    <n v="1356.7"/>
    <n v="3"/>
    <n v="1499.8477699752641"/>
    <n v="4909.6483333333335"/>
    <n v="11233.476000000001"/>
    <n v="3907.2960000000003"/>
    <n v="-3661.4843333333338"/>
    <n v="-0.74577323766230375"/>
  </r>
  <r>
    <n v="835"/>
    <n v="144"/>
    <d v="2024-12-30T00:00:00"/>
    <n v="7"/>
    <n v="5"/>
    <n v="1499.309"/>
    <x v="77"/>
    <x v="0"/>
    <n v="946.93200000000002"/>
    <n v="1578.22"/>
    <n v="2"/>
    <n v="1846.3237096446958"/>
    <n v="6414.0239999999994"/>
    <n v="10495.163"/>
    <n v="3866.6389999999997"/>
    <n v="-4914.7149999999992"/>
    <n v="-0.76624518399058061"/>
  </r>
  <r>
    <n v="836"/>
    <n v="88"/>
    <d v="2023-08-25T00:00:00"/>
    <n v="14"/>
    <n v="2"/>
    <n v="6111.6034"/>
    <x v="116"/>
    <x v="5"/>
    <n v="3741.7979999999998"/>
    <n v="6236.33"/>
    <n v="5"/>
    <n v="6722.9805629828179"/>
    <n v="4981.5050000000001"/>
    <n v="85562.4476"/>
    <n v="33177.275600000001"/>
    <n v="1130.0983999999999"/>
    <n v="0.22685883081518535"/>
  </r>
  <r>
    <n v="837"/>
    <n v="70"/>
    <d v="2023-11-23T00:00:00"/>
    <n v="21"/>
    <n v="9"/>
    <n v="3667.0725000000002"/>
    <x v="98"/>
    <x v="7"/>
    <n v="2417.85"/>
    <n v="4029.75"/>
    <n v="1"/>
    <n v="4629.537688387386"/>
    <n v="2158.7083333333335"/>
    <n v="77008.522500000006"/>
    <n v="26233.672500000008"/>
    <n v="1508.3641666666667"/>
    <n v="0.69873458279449518"/>
  </r>
  <r>
    <n v="838"/>
    <n v="123"/>
    <d v="2023-07-21T00:00:00"/>
    <n v="17"/>
    <n v="10"/>
    <n v="4164.8580000000002"/>
    <x v="148"/>
    <x v="3"/>
    <n v="2776.5719999999997"/>
    <n v="4627.62"/>
    <n v="2"/>
    <n v="4644.4073968798994"/>
    <n v="809.94800000000009"/>
    <n v="70802.58600000001"/>
    <n v="23600.862000000008"/>
    <n v="3354.91"/>
    <n v="4.1421301120565754"/>
  </r>
  <r>
    <n v="839"/>
    <n v="115"/>
    <d v="2025-11-07T00:00:00"/>
    <n v="19"/>
    <n v="6"/>
    <n v="4409.8031999999994"/>
    <x v="71"/>
    <x v="2"/>
    <n v="2814.7679999999996"/>
    <n v="4691.28"/>
    <n v="2"/>
    <n v="5323.579875416759"/>
    <n v="4456.5325000000003"/>
    <n v="83786.260799999989"/>
    <n v="30305.668799999996"/>
    <n v="-46.729300000000876"/>
    <n v="-1.0485573705566126E-2"/>
  </r>
  <r>
    <n v="840"/>
    <n v="104"/>
    <d v="2025-07-14T00:00:00"/>
    <n v="37"/>
    <n v="4"/>
    <n v="3104.2080000000001"/>
    <x v="44"/>
    <x v="2"/>
    <n v="1940.13"/>
    <n v="3233.55"/>
    <n v="1"/>
    <n v="4086.2798305563051"/>
    <n v="5121.3466666666664"/>
    <n v="114855.696"/>
    <n v="43070.885999999999"/>
    <n v="-2017.1386666666663"/>
    <n v="-0.39386880013329822"/>
  </r>
  <r>
    <n v="841"/>
    <n v="125"/>
    <d v="2024-03-16T00:00:00"/>
    <n v="7"/>
    <n v="8"/>
    <n v="4002.9843999999998"/>
    <x v="22"/>
    <x v="0"/>
    <n v="2610.6419999999998"/>
    <n v="4351.07"/>
    <n v="5"/>
    <n v="4483.3989907846453"/>
    <n v="5094.8040000000001"/>
    <n v="28020.890799999997"/>
    <n v="9746.3968000000004"/>
    <n v="-1091.8196000000003"/>
    <n v="-0.21430060901263331"/>
  </r>
  <r>
    <n v="842"/>
    <n v="71"/>
    <d v="2025-07-24T00:00:00"/>
    <n v="45"/>
    <n v="10"/>
    <n v="4438.134"/>
    <x v="54"/>
    <x v="2"/>
    <n v="2958.7559999999999"/>
    <n v="4931.26"/>
    <n v="3"/>
    <n v="5209.6951339143197"/>
    <n v="2482.0633333333335"/>
    <n v="199716.03"/>
    <n v="66572.010000000009"/>
    <n v="1956.0706666666665"/>
    <n v="0.78808249588044343"/>
  </r>
  <r>
    <n v="843"/>
    <n v="16"/>
    <d v="2023-03-21T00:00:00"/>
    <n v="7"/>
    <n v="5"/>
    <n v="6414.21"/>
    <x v="142"/>
    <x v="2"/>
    <n v="4051.08"/>
    <n v="6751.8"/>
    <n v="4"/>
    <n v="7931.0789657128662"/>
    <n v="6827.7939999999999"/>
    <n v="44899.47"/>
    <n v="16541.91"/>
    <n v="-413.58399999999983"/>
    <n v="-6.0573590825968068E-2"/>
  </r>
  <r>
    <n v="844"/>
    <n v="2"/>
    <d v="2025-01-04T00:00:00"/>
    <n v="12"/>
    <n v="8"/>
    <n v="4070.7975999999999"/>
    <x v="64"/>
    <x v="0"/>
    <n v="2654.8679999999999"/>
    <n v="4424.78"/>
    <n v="4"/>
    <n v="4800.6235717820346"/>
    <n v="1807.3"/>
    <n v="48849.571199999998"/>
    <n v="16991.155200000001"/>
    <n v="2263.4975999999997"/>
    <n v="1.2524194101698665"/>
  </r>
  <r>
    <n v="845"/>
    <n v="25"/>
    <d v="2025-06-08T00:00:00"/>
    <n v="35"/>
    <n v="7"/>
    <n v="528.39809999999989"/>
    <x v="38"/>
    <x v="4"/>
    <n v="340.90199999999999"/>
    <n v="568.16999999999996"/>
    <n v="1"/>
    <n v="674.47937401808315"/>
    <n v="2024.2300000000002"/>
    <n v="18493.933499999996"/>
    <n v="6562.3634999999967"/>
    <n v="-1495.8319000000004"/>
    <n v="-0.7389634083083445"/>
  </r>
  <r>
    <n v="846"/>
    <n v="69"/>
    <d v="2023-12-28T00:00:00"/>
    <n v="23"/>
    <n v="10"/>
    <n v="6712.83"/>
    <x v="102"/>
    <x v="1"/>
    <n v="4475.2199999999993"/>
    <n v="7458.7"/>
    <n v="3"/>
    <n v="8882.1655495303548"/>
    <n v="809.57599999999991"/>
    <n v="154395.09"/>
    <n v="51465.030000000013"/>
    <n v="5903.2539999999999"/>
    <n v="7.2917848355188406"/>
  </r>
  <r>
    <n v="847"/>
    <n v="114"/>
    <d v="2023-12-27T00:00:00"/>
    <n v="11"/>
    <n v="6"/>
    <n v="7185.7453999999998"/>
    <x v="99"/>
    <x v="5"/>
    <n v="4586.6459999999997"/>
    <n v="7644.41"/>
    <n v="2"/>
    <n v="9742.7634451592021"/>
    <n v="6494.3074999999999"/>
    <n v="79043.199399999998"/>
    <n v="28590.093400000002"/>
    <n v="691.4378999999999"/>
    <n v="0.10646830320245845"/>
  </r>
  <r>
    <n v="848"/>
    <n v="35"/>
    <d v="2025-12-13T00:00:00"/>
    <n v="48"/>
    <n v="7"/>
    <n v="125.72669999999999"/>
    <x v="104"/>
    <x v="3"/>
    <n v="81.11399999999999"/>
    <n v="135.19"/>
    <n v="3"/>
    <n v="139.93554717682912"/>
    <n v="2089.5899999999997"/>
    <n v="6034.8815999999997"/>
    <n v="2141.4096"/>
    <n v="-1963.8632999999998"/>
    <n v="-0.93983188089529524"/>
  </r>
  <r>
    <n v="849"/>
    <n v="20"/>
    <d v="2025-04-18T00:00:00"/>
    <n v="18"/>
    <n v="10"/>
    <n v="2728.0619999999999"/>
    <x v="61"/>
    <x v="7"/>
    <n v="1818.7079999999999"/>
    <n v="3031.18"/>
    <n v="4"/>
    <n v="3628.8913767032109"/>
    <n v="4553.9966666666669"/>
    <n v="49105.115999999995"/>
    <n v="16368.372000000001"/>
    <n v="-1825.934666666667"/>
    <n v="-0.40095213069252728"/>
  </r>
  <r>
    <n v="850"/>
    <n v="91"/>
    <d v="2025-02-17T00:00:00"/>
    <n v="6"/>
    <n v="10"/>
    <n v="2846.7000000000003"/>
    <x v="35"/>
    <x v="3"/>
    <n v="1897.8"/>
    <n v="3163"/>
    <n v="2"/>
    <n v="4016.7678914762892"/>
    <n v="4782.2433333333329"/>
    <n v="17080.2"/>
    <n v="5693.4000000000015"/>
    <n v="-1935.5433333333326"/>
    <n v="-0.40473543448576771"/>
  </r>
  <r>
    <n v="851"/>
    <n v="81"/>
    <d v="2023-07-28T00:00:00"/>
    <n v="42"/>
    <n v="6"/>
    <n v="7297.6053999999995"/>
    <x v="147"/>
    <x v="0"/>
    <n v="4658.0459999999994"/>
    <n v="7763.41"/>
    <n v="2"/>
    <n v="9922.2150711587929"/>
    <n v="290.31399999999996"/>
    <n v="306499.42679999996"/>
    <n v="110861.4948"/>
    <n v="7007.2913999999992"/>
    <n v="24.136939313984168"/>
  </r>
  <r>
    <n v="852"/>
    <n v="139"/>
    <d v="2024-10-05T00:00:00"/>
    <n v="4"/>
    <n v="5"/>
    <n v="2461.5259999999998"/>
    <x v="25"/>
    <x v="3"/>
    <n v="1554.6479999999999"/>
    <n v="2591.08"/>
    <n v="5"/>
    <n v="2983.2946624746464"/>
    <n v="2839.1733333333336"/>
    <n v="9846.1039999999994"/>
    <n v="3627.5119999999997"/>
    <n v="-377.64733333333379"/>
    <n v="-0.13301313058261105"/>
  </r>
  <r>
    <n v="853"/>
    <n v="74"/>
    <d v="2023-05-28T00:00:00"/>
    <n v="6"/>
    <n v="3"/>
    <n v="1848.0536999999999"/>
    <x v="78"/>
    <x v="3"/>
    <n v="1143.126"/>
    <n v="1905.21"/>
    <n v="5"/>
    <n v="2447.0205988580938"/>
    <n v="2585.9039999999995"/>
    <n v="11088.322199999999"/>
    <n v="4229.5661999999993"/>
    <n v="-737.85029999999961"/>
    <n v="-0.2853355344978003"/>
  </r>
  <r>
    <n v="854"/>
    <n v="57"/>
    <d v="2024-11-03T00:00:00"/>
    <n v="7"/>
    <n v="2"/>
    <n v="6675.5150000000003"/>
    <x v="55"/>
    <x v="6"/>
    <n v="4087.0499999999997"/>
    <n v="6811.75"/>
    <n v="2"/>
    <n v="8227.6069461476436"/>
    <n v="1836.9825000000001"/>
    <n v="46728.605000000003"/>
    <n v="18119.255000000005"/>
    <n v="4838.5325000000003"/>
    <n v="2.633956774220767"/>
  </r>
  <r>
    <n v="855"/>
    <n v="53"/>
    <d v="2025-08-06T00:00:00"/>
    <n v="30"/>
    <n v="5"/>
    <n v="3291.1894999999995"/>
    <x v="120"/>
    <x v="2"/>
    <n v="2078.6459999999997"/>
    <n v="3464.41"/>
    <n v="4"/>
    <n v="4162.9812829952116"/>
    <n v="954.33000000000015"/>
    <n v="98735.684999999983"/>
    <n v="36376.304999999993"/>
    <n v="2336.8594999999996"/>
    <n v="2.4486912284010764"/>
  </r>
  <r>
    <n v="856"/>
    <n v="13"/>
    <d v="2024-11-25T00:00:00"/>
    <n v="48"/>
    <n v="3"/>
    <n v="1743.1481999999999"/>
    <x v="93"/>
    <x v="4"/>
    <n v="1078.2359999999999"/>
    <n v="1797.06"/>
    <n v="5"/>
    <n v="1832.5854110753821"/>
    <n v="1712.5580000000002"/>
    <n v="83671.113599999997"/>
    <n v="31915.785599999999"/>
    <n v="30.590199999999641"/>
    <n v="1.7862285540109962E-2"/>
  </r>
  <r>
    <n v="857"/>
    <n v="120"/>
    <d v="2023-08-13T00:00:00"/>
    <n v="44"/>
    <n v="10"/>
    <n v="1778.94"/>
    <x v="125"/>
    <x v="0"/>
    <n v="1185.9599999999998"/>
    <n v="1976.6"/>
    <n v="2"/>
    <n v="2205.1457439845062"/>
    <n v="1688.8574999999998"/>
    <n v="78273.36"/>
    <n v="26091.12000000001"/>
    <n v="90.082500000000209"/>
    <n v="5.3339313707639759E-2"/>
  </r>
  <r>
    <n v="858"/>
    <n v="99"/>
    <d v="2025-04-29T00:00:00"/>
    <n v="15"/>
    <n v="5"/>
    <n v="1941.7809999999999"/>
    <x v="106"/>
    <x v="3"/>
    <n v="1226.3879999999999"/>
    <n v="2043.98"/>
    <n v="2"/>
    <n v="2567.0165217139988"/>
    <n v="958.76666666666654"/>
    <n v="29126.715"/>
    <n v="10730.895"/>
    <n v="983.01433333333341"/>
    <n v="1.0252904773493727"/>
  </r>
  <r>
    <n v="859"/>
    <n v="75"/>
    <d v="2023-10-21T00:00:00"/>
    <n v="7"/>
    <n v="6"/>
    <n v="3547.0335999999998"/>
    <x v="128"/>
    <x v="3"/>
    <n v="2264.0639999999999"/>
    <n v="3773.44"/>
    <n v="4"/>
    <n v="3937.3699012558291"/>
    <n v="3293.6366666666668"/>
    <n v="24829.235199999999"/>
    <n v="8980.7871999999988"/>
    <n v="253.39693333333298"/>
    <n v="7.6935302517682977E-2"/>
  </r>
  <r>
    <n v="860"/>
    <n v="91"/>
    <d v="2025-05-28T00:00:00"/>
    <n v="40"/>
    <n v="8"/>
    <n v="2909.96"/>
    <x v="35"/>
    <x v="3"/>
    <n v="1897.8"/>
    <n v="3163"/>
    <n v="2"/>
    <n v="3798.5620061759364"/>
    <n v="4782.2433333333329"/>
    <n v="116398.39999999999"/>
    <n v="40486.400000000001"/>
    <n v="-1872.2833333333328"/>
    <n v="-0.39150733302989593"/>
  </r>
  <r>
    <n v="861"/>
    <n v="31"/>
    <d v="2025-10-16T00:00:00"/>
    <n v="11"/>
    <n v="10"/>
    <n v="920.91600000000005"/>
    <x v="52"/>
    <x v="5"/>
    <n v="613.94399999999996"/>
    <n v="1023.24"/>
    <n v="2"/>
    <n v="1134.4761154694359"/>
    <n v="1065.8219999999999"/>
    <n v="10130.076000000001"/>
    <n v="3376.6920000000009"/>
    <n v="-144.90599999999984"/>
    <n v="-0.13595703597786482"/>
  </r>
  <r>
    <n v="862"/>
    <n v="56"/>
    <d v="2024-11-02T00:00:00"/>
    <n v="20"/>
    <n v="7"/>
    <n v="7423.0739999999996"/>
    <x v="17"/>
    <x v="5"/>
    <n v="4789.08"/>
    <n v="7981.8"/>
    <n v="5"/>
    <n v="9818.959415810501"/>
    <n v="3458.9274999999998"/>
    <n v="148461.47999999998"/>
    <n v="52679.87999999999"/>
    <n v="3964.1464999999998"/>
    <n v="1.146062327123075"/>
  </r>
  <r>
    <n v="863"/>
    <n v="150"/>
    <d v="2024-10-16T00:00:00"/>
    <n v="16"/>
    <n v="2"/>
    <n v="2243.9255999999996"/>
    <x v="29"/>
    <x v="1"/>
    <n v="1373.8319999999999"/>
    <n v="2289.7199999999998"/>
    <n v="3"/>
    <n v="2405.4185133108153"/>
    <n v="1810.3166666666666"/>
    <n v="35902.809599999993"/>
    <n v="13921.497599999995"/>
    <n v="433.60893333333297"/>
    <n v="0.23952104143842218"/>
  </r>
  <r>
    <n v="864"/>
    <n v="45"/>
    <d v="2025-06-24T00:00:00"/>
    <n v="46"/>
    <n v="5"/>
    <n v="5060.0704999999998"/>
    <x v="69"/>
    <x v="1"/>
    <n v="3195.8340000000003"/>
    <n v="5326.39"/>
    <n v="1"/>
    <n v="5800.4288667674982"/>
    <n v="4436.1279999999997"/>
    <n v="232763.24299999999"/>
    <n v="85754.878999999972"/>
    <n v="623.94250000000011"/>
    <n v="0.14065024724264047"/>
  </r>
  <r>
    <n v="865"/>
    <n v="34"/>
    <d v="2025-09-01T00:00:00"/>
    <n v="47"/>
    <n v="9"/>
    <n v="1186.0849000000001"/>
    <x v="23"/>
    <x v="1"/>
    <n v="782.03399999999999"/>
    <n v="1303.3900000000001"/>
    <n v="2"/>
    <n v="1360.623735138814"/>
    <n v="4145.4440000000004"/>
    <n v="55745.990300000005"/>
    <n v="18990.392300000003"/>
    <n v="-2959.3591000000006"/>
    <n v="-0.71388230066550173"/>
  </r>
  <r>
    <n v="866"/>
    <n v="11"/>
    <d v="2025-08-20T00:00:00"/>
    <n v="19"/>
    <n v="7"/>
    <n v="2976.1859999999997"/>
    <x v="16"/>
    <x v="1"/>
    <n v="1920.12"/>
    <n v="3200.2"/>
    <n v="1"/>
    <n v="3869.0237278374461"/>
    <n v="7089.33"/>
    <n v="56547.533999999992"/>
    <n v="20065.253999999997"/>
    <n v="-4113.1440000000002"/>
    <n v="-0.58018797262928945"/>
  </r>
  <r>
    <n v="867"/>
    <n v="102"/>
    <d v="2024-12-06T00:00:00"/>
    <n v="17"/>
    <n v="8"/>
    <n v="3812.4247999999998"/>
    <x v="143"/>
    <x v="1"/>
    <n v="2486.3639999999996"/>
    <n v="4143.9399999999996"/>
    <n v="4"/>
    <n v="4910.9109244973561"/>
    <n v="2740.84"/>
    <n v="64811.221599999997"/>
    <n v="22543.033600000002"/>
    <n v="1071.5847999999996"/>
    <n v="0.39096948380788354"/>
  </r>
  <r>
    <n v="868"/>
    <n v="15"/>
    <d v="2023-08-20T00:00:00"/>
    <n v="15"/>
    <n v="8"/>
    <n v="4454.1615999999995"/>
    <x v="27"/>
    <x v="4"/>
    <n v="2904.8879999999995"/>
    <n v="4841.4799999999996"/>
    <n v="4"/>
    <n v="5127.4783131915719"/>
    <n v="5242.3433333333332"/>
    <n v="66812.423999999999"/>
    <n v="23239.103999999999"/>
    <n v="-788.1817333333338"/>
    <n v="-0.15034912504140968"/>
  </r>
  <r>
    <n v="869"/>
    <n v="137"/>
    <d v="2024-06-30T00:00:00"/>
    <n v="41"/>
    <n v="7"/>
    <n v="333.56310000000002"/>
    <x v="133"/>
    <x v="6"/>
    <n v="215.202"/>
    <n v="358.67"/>
    <n v="3"/>
    <n v="395.30436529297731"/>
    <n v="4109.2999999999993"/>
    <n v="13676.087100000001"/>
    <n v="4852.8051000000005"/>
    <n v="-3775.7368999999994"/>
    <n v="-0.91882726985131291"/>
  </r>
  <r>
    <n v="870"/>
    <n v="114"/>
    <d v="2023-10-08T00:00:00"/>
    <n v="47"/>
    <n v="7"/>
    <n v="7109.3012999999992"/>
    <x v="99"/>
    <x v="5"/>
    <n v="4586.6459999999997"/>
    <n v="7644.41"/>
    <n v="2"/>
    <n v="8250.1475463774514"/>
    <n v="6494.3074999999999"/>
    <n v="334137.16109999997"/>
    <n v="118564.79909999997"/>
    <n v="614.99379999999928"/>
    <n v="9.4697363806687515E-2"/>
  </r>
  <r>
    <n v="871"/>
    <n v="91"/>
    <d v="2024-10-02T00:00:00"/>
    <n v="6"/>
    <n v="5"/>
    <n v="3004.85"/>
    <x v="35"/>
    <x v="3"/>
    <n v="1897.8"/>
    <n v="3163"/>
    <n v="2"/>
    <n v="3378.1701954192463"/>
    <n v="4782.2433333333329"/>
    <n v="18029.099999999999"/>
    <n v="6642.2999999999993"/>
    <n v="-1777.393333333333"/>
    <n v="-0.37166518084608824"/>
  </r>
  <r>
    <n v="872"/>
    <n v="67"/>
    <d v="2023-03-16T00:00:00"/>
    <n v="40"/>
    <n v="8"/>
    <n v="1058.6532"/>
    <x v="76"/>
    <x v="6"/>
    <n v="690.42600000000004"/>
    <n v="1150.71"/>
    <n v="4"/>
    <n v="1193.9025980470519"/>
    <n v="7069.7"/>
    <n v="42346.127999999997"/>
    <n v="14729.087999999996"/>
    <n v="-6011.0468000000001"/>
    <n v="-0.85025486229967329"/>
  </r>
  <r>
    <n v="873"/>
    <n v="21"/>
    <d v="2023-07-30T00:00:00"/>
    <n v="41"/>
    <n v="4"/>
    <n v="2764.1280000000002"/>
    <x v="67"/>
    <x v="0"/>
    <n v="1727.5800000000002"/>
    <n v="2879.3"/>
    <n v="3"/>
    <n v="3254.5288534134911"/>
    <n v="4150.0079999999998"/>
    <n v="113329.24800000001"/>
    <n v="42498.468000000001"/>
    <n v="-1385.8799999999997"/>
    <n v="-0.33394634419981833"/>
  </r>
  <r>
    <n v="874"/>
    <n v="144"/>
    <d v="2023-09-26T00:00:00"/>
    <n v="22"/>
    <n v="6"/>
    <n v="1483.5267999999999"/>
    <x v="77"/>
    <x v="0"/>
    <n v="946.93200000000002"/>
    <n v="1578.22"/>
    <n v="2"/>
    <n v="1947.0790520761332"/>
    <n v="6414.0239999999994"/>
    <n v="32637.589599999996"/>
    <n v="11805.085599999997"/>
    <n v="-4930.4971999999998"/>
    <n v="-0.76870576100120613"/>
  </r>
  <r>
    <n v="875"/>
    <n v="30"/>
    <d v="2023-07-21T00:00:00"/>
    <n v="41"/>
    <n v="8"/>
    <n v="1884.4728000000002"/>
    <x v="123"/>
    <x v="1"/>
    <n v="1229.0040000000001"/>
    <n v="2048.34"/>
    <n v="1"/>
    <n v="2278.8191360757191"/>
    <n v="4153.6075000000001"/>
    <n v="77263.384800000014"/>
    <n v="26874.220800000003"/>
    <n v="-2269.1346999999996"/>
    <n v="-0.54630455573859582"/>
  </r>
  <r>
    <n v="876"/>
    <n v="77"/>
    <d v="2023-09-25T00:00:00"/>
    <n v="24"/>
    <n v="8"/>
    <n v="1845.5016000000001"/>
    <x v="48"/>
    <x v="7"/>
    <n v="1203.588"/>
    <n v="2005.98"/>
    <n v="1"/>
    <n v="2057.3263372131546"/>
    <n v="4139.2699999999995"/>
    <n v="44292.038400000005"/>
    <n v="15405.926400000002"/>
    <n v="-2293.7683999999995"/>
    <n v="-0.55414805026006997"/>
  </r>
  <r>
    <n v="877"/>
    <n v="113"/>
    <d v="2024-01-15T00:00:00"/>
    <n v="42"/>
    <n v="10"/>
    <n v="4346.2439999999997"/>
    <x v="87"/>
    <x v="7"/>
    <n v="2897.4959999999996"/>
    <n v="4829.16"/>
    <n v="1"/>
    <n v="5789.9857238138802"/>
    <n v="4302.05"/>
    <n v="182542.24799999999"/>
    <n v="60847.416000000005"/>
    <n v="44.193999999999505"/>
    <n v="1.0272776931927687E-2"/>
  </r>
  <r>
    <n v="878"/>
    <n v="144"/>
    <d v="2023-10-29T00:00:00"/>
    <n v="42"/>
    <n v="6"/>
    <n v="1483.5267999999999"/>
    <x v="77"/>
    <x v="0"/>
    <n v="946.93200000000002"/>
    <n v="1578.22"/>
    <n v="2"/>
    <n v="1864.062907320922"/>
    <n v="6414.0239999999994"/>
    <n v="62308.125599999992"/>
    <n v="22536.981599999992"/>
    <n v="-4930.4971999999998"/>
    <n v="-0.76870576100120613"/>
  </r>
  <r>
    <n v="879"/>
    <n v="130"/>
    <d v="2025-06-01T00:00:00"/>
    <n v="27"/>
    <n v="3"/>
    <n v="3089.9252999999999"/>
    <x v="111"/>
    <x v="4"/>
    <n v="1911.2939999999999"/>
    <n v="3185.49"/>
    <n v="5"/>
    <n v="3845.5539174522009"/>
    <n v="3865.1374999999998"/>
    <n v="83427.983099999998"/>
    <n v="31823.045099999999"/>
    <n v="-775.21219999999994"/>
    <n v="-0.20056523215538904"/>
  </r>
  <r>
    <n v="880"/>
    <n v="149"/>
    <d v="2023-07-05T00:00:00"/>
    <n v="7"/>
    <n v="6"/>
    <n v="5760.1131999999998"/>
    <x v="14"/>
    <x v="5"/>
    <n v="3676.6679999999997"/>
    <n v="6127.78"/>
    <n v="4"/>
    <n v="7710.6858879229148"/>
    <n v="3159.4639999999999"/>
    <n v="40320.792399999998"/>
    <n v="14584.116400000001"/>
    <n v="2600.6491999999998"/>
    <n v="0.82312987266194515"/>
  </r>
  <r>
    <n v="881"/>
    <n v="106"/>
    <d v="2025-02-03T00:00:00"/>
    <n v="40"/>
    <n v="8"/>
    <n v="1319.3076000000001"/>
    <x v="74"/>
    <x v="1"/>
    <n v="860.41800000000001"/>
    <n v="1434.03"/>
    <n v="2"/>
    <n v="1797.4436345276711"/>
    <n v="695.38400000000001"/>
    <n v="52772.304000000004"/>
    <n v="18355.584000000003"/>
    <n v="623.92360000000008"/>
    <n v="0.89723605950093765"/>
  </r>
  <r>
    <n v="882"/>
    <n v="74"/>
    <d v="2025-03-17T00:00:00"/>
    <n v="31"/>
    <n v="2"/>
    <n v="1867.1058"/>
    <x v="78"/>
    <x v="3"/>
    <n v="1143.126"/>
    <n v="1905.21"/>
    <n v="5"/>
    <n v="1927.2228987142271"/>
    <n v="2585.9039999999995"/>
    <n v="57880.279800000004"/>
    <n v="22443.373800000001"/>
    <n v="-718.7981999999995"/>
    <n v="-0.27796785959571568"/>
  </r>
  <r>
    <n v="883"/>
    <n v="33"/>
    <d v="2025-06-08T00:00:00"/>
    <n v="7"/>
    <n v="9"/>
    <n v="4598.2209000000003"/>
    <x v="84"/>
    <x v="0"/>
    <n v="3031.7939999999999"/>
    <n v="5052.99"/>
    <n v="3"/>
    <n v="5054.743160978881"/>
    <n v="2776.7875000000004"/>
    <n v="32187.546300000002"/>
    <n v="10964.988300000003"/>
    <n v="1821.4333999999999"/>
    <n v="0.65594987012870076"/>
  </r>
  <r>
    <n v="884"/>
    <n v="28"/>
    <d v="2024-06-19T00:00:00"/>
    <n v="42"/>
    <n v="7"/>
    <n v="5316.4565999999995"/>
    <x v="70"/>
    <x v="0"/>
    <n v="3429.9719999999998"/>
    <n v="5716.62"/>
    <n v="5"/>
    <n v="6569.2413149808863"/>
    <n v="3542.9559999999997"/>
    <n v="223291.17719999998"/>
    <n v="79232.353199999983"/>
    <n v="1773.5005999999998"/>
    <n v="0.50057087923191823"/>
  </r>
  <r>
    <n v="885"/>
    <n v="141"/>
    <d v="2024-12-11T00:00:00"/>
    <n v="29"/>
    <n v="2"/>
    <n v="7707.8861999999999"/>
    <x v="86"/>
    <x v="1"/>
    <n v="4719.1139999999996"/>
    <n v="7865.19"/>
    <n v="5"/>
    <n v="8144.9338457868271"/>
    <n v="7586.8133333333344"/>
    <n v="223528.6998"/>
    <n v="86674.393800000005"/>
    <n v="121.0728666666655"/>
    <n v="1.5958329452330292E-2"/>
  </r>
  <r>
    <n v="886"/>
    <n v="120"/>
    <d v="2025-04-20T00:00:00"/>
    <n v="40"/>
    <n v="5"/>
    <n v="1877.7699999999998"/>
    <x v="125"/>
    <x v="0"/>
    <n v="1185.9599999999998"/>
    <n v="1976.6"/>
    <n v="2"/>
    <n v="2389.2874141985685"/>
    <n v="1688.8574999999998"/>
    <n v="75110.799999999988"/>
    <n v="27672.399999999998"/>
    <n v="188.91249999999991"/>
    <n v="0.11185816446917513"/>
  </r>
  <r>
    <n v="887"/>
    <n v="86"/>
    <d v="2024-02-10T00:00:00"/>
    <n v="5"/>
    <n v="10"/>
    <n v="2810.6190000000001"/>
    <x v="39"/>
    <x v="1"/>
    <n v="1873.7459999999999"/>
    <n v="3122.91"/>
    <n v="4"/>
    <n v="3600.4219751485216"/>
    <n v="2919.076"/>
    <n v="14053.095000000001"/>
    <n v="4684.3650000000016"/>
    <n v="-108.45699999999988"/>
    <n v="-3.7154565348761007E-2"/>
  </r>
  <r>
    <n v="888"/>
    <n v="49"/>
    <d v="2023-12-14T00:00:00"/>
    <n v="42"/>
    <n v="6"/>
    <n v="3164.3595999999998"/>
    <x v="136"/>
    <x v="6"/>
    <n v="2019.8040000000001"/>
    <n v="3366.34"/>
    <n v="4"/>
    <n v="3546.4795520392563"/>
    <n v="1635.5425"/>
    <n v="132903.10319999998"/>
    <n v="48071.335199999987"/>
    <n v="1528.8170999999998"/>
    <n v="0.93474617749156608"/>
  </r>
  <r>
    <n v="889"/>
    <n v="141"/>
    <d v="2024-01-17T00:00:00"/>
    <n v="43"/>
    <n v="4"/>
    <n v="7550.5823999999993"/>
    <x v="86"/>
    <x v="1"/>
    <n v="4719.1139999999996"/>
    <n v="7865.19"/>
    <n v="5"/>
    <n v="9233.7572575516788"/>
    <n v="7586.8133333333344"/>
    <n v="324675.04319999996"/>
    <n v="121753.14119999998"/>
    <n v="-36.230933333335088"/>
    <n v="-4.7755140058806092E-3"/>
  </r>
  <r>
    <n v="890"/>
    <n v="139"/>
    <d v="2023-06-17T00:00:00"/>
    <n v="7"/>
    <n v="5"/>
    <n v="2461.5259999999998"/>
    <x v="25"/>
    <x v="3"/>
    <n v="1554.6479999999999"/>
    <n v="2591.08"/>
    <n v="5"/>
    <n v="2645.724842084117"/>
    <n v="2839.1733333333336"/>
    <n v="17230.682000000001"/>
    <n v="6348.1459999999997"/>
    <n v="-377.64733333333379"/>
    <n v="-0.13301313058261105"/>
  </r>
  <r>
    <n v="891"/>
    <n v="56"/>
    <d v="2024-07-07T00:00:00"/>
    <n v="34"/>
    <n v="10"/>
    <n v="7183.62"/>
    <x v="17"/>
    <x v="5"/>
    <n v="4789.08"/>
    <n v="7981.8"/>
    <n v="5"/>
    <n v="9733.0245037722252"/>
    <n v="3458.9274999999998"/>
    <n v="244243.08"/>
    <n v="81414.36"/>
    <n v="3724.6925000000001"/>
    <n v="1.076834510119105"/>
  </r>
  <r>
    <n v="892"/>
    <n v="15"/>
    <d v="2024-01-06T00:00:00"/>
    <n v="18"/>
    <n v="4"/>
    <n v="4647.8207999999995"/>
    <x v="27"/>
    <x v="4"/>
    <n v="2904.8879999999995"/>
    <n v="4841.4799999999996"/>
    <n v="4"/>
    <n v="6186.209379076342"/>
    <n v="5242.3433333333332"/>
    <n v="83660.774399999995"/>
    <n v="31372.790400000002"/>
    <n v="-594.52253333333374"/>
    <n v="-0.11340778265190575"/>
  </r>
  <r>
    <n v="893"/>
    <n v="107"/>
    <d v="2023-11-27T00:00:00"/>
    <n v="13"/>
    <n v="2"/>
    <n v="1536.5420000000001"/>
    <x v="137"/>
    <x v="6"/>
    <n v="940.74"/>
    <n v="1567.9"/>
    <n v="2"/>
    <n v="1751.6595852910334"/>
    <n v="979.96"/>
    <n v="19975.046000000002"/>
    <n v="7745.4260000000013"/>
    <n v="556.58200000000011"/>
    <n v="0.56796399853055235"/>
  </r>
  <r>
    <n v="894"/>
    <n v="127"/>
    <d v="2023-01-25T00:00:00"/>
    <n v="46"/>
    <n v="5"/>
    <n v="5216.0320000000002"/>
    <x v="101"/>
    <x v="4"/>
    <n v="3294.3360000000002"/>
    <n v="5490.56"/>
    <n v="1"/>
    <n v="5971.1069464271814"/>
    <n v="5984.333333333333"/>
    <n v="239937.47200000001"/>
    <n v="88398.016000000003"/>
    <n v="-768.30133333333288"/>
    <n v="-0.12838545089957104"/>
  </r>
  <r>
    <n v="895"/>
    <n v="141"/>
    <d v="2023-05-18T00:00:00"/>
    <n v="7"/>
    <n v="3"/>
    <n v="7629.2342999999992"/>
    <x v="86"/>
    <x v="1"/>
    <n v="4719.1139999999996"/>
    <n v="7865.19"/>
    <n v="5"/>
    <n v="7903.7083270331168"/>
    <n v="7586.8133333333344"/>
    <n v="53404.640099999997"/>
    <n v="20370.842099999998"/>
    <n v="42.420966666664754"/>
    <n v="5.5914077232247818E-3"/>
  </r>
  <r>
    <n v="896"/>
    <n v="107"/>
    <d v="2024-03-12T00:00:00"/>
    <n v="33"/>
    <n v="3"/>
    <n v="1520.8630000000001"/>
    <x v="137"/>
    <x v="6"/>
    <n v="940.74"/>
    <n v="1567.9"/>
    <n v="2"/>
    <n v="1856.8230122422267"/>
    <n v="979.96"/>
    <n v="50188.478999999999"/>
    <n v="19144.059000000001"/>
    <n v="540.90300000000002"/>
    <n v="0.55196436589248543"/>
  </r>
  <r>
    <n v="897"/>
    <n v="98"/>
    <d v="2024-09-10T00:00:00"/>
    <n v="31"/>
    <n v="3"/>
    <n v="7573.4495999999999"/>
    <x v="124"/>
    <x v="1"/>
    <n v="4684.6080000000002"/>
    <n v="7807.68"/>
    <n v="3"/>
    <n v="8728.0824124312312"/>
    <n v="6533.69"/>
    <n v="234776.9376"/>
    <n v="89554.089599999992"/>
    <n v="1039.7596000000003"/>
    <n v="0.15913818990493891"/>
  </r>
  <r>
    <n v="898"/>
    <n v="21"/>
    <d v="2025-02-28T00:00:00"/>
    <n v="45"/>
    <n v="6"/>
    <n v="2706.5419999999999"/>
    <x v="67"/>
    <x v="0"/>
    <n v="1727.5800000000002"/>
    <n v="2879.3"/>
    <n v="3"/>
    <n v="3025.8271928868303"/>
    <n v="4150.0079999999998"/>
    <n v="121794.39"/>
    <n v="44053.289999999986"/>
    <n v="-1443.4659999999999"/>
    <n v="-0.34782246202898887"/>
  </r>
  <r>
    <n v="899"/>
    <n v="37"/>
    <d v="2025-01-17T00:00:00"/>
    <n v="23"/>
    <n v="10"/>
    <n v="3475.3229999999999"/>
    <x v="96"/>
    <x v="7"/>
    <n v="2316.8819999999996"/>
    <n v="3861.47"/>
    <n v="1"/>
    <n v="4654.6891540579227"/>
    <n v="2618.5759999999996"/>
    <n v="79932.429000000004"/>
    <n v="26644.143000000007"/>
    <n v="856.7470000000003"/>
    <n v="0.32718049810278582"/>
  </r>
  <r>
    <n v="900"/>
    <n v="139"/>
    <d v="2024-06-27T00:00:00"/>
    <n v="10"/>
    <n v="9"/>
    <n v="2357.8827999999999"/>
    <x v="25"/>
    <x v="3"/>
    <n v="1554.6479999999999"/>
    <n v="2591.08"/>
    <n v="5"/>
    <n v="3109.2806399992255"/>
    <n v="2839.1733333333336"/>
    <n v="23578.827999999998"/>
    <n v="8032.348"/>
    <n v="-481.29053333333377"/>
    <n v="-0.16951784087386954"/>
  </r>
  <r>
    <n v="901"/>
    <n v="24"/>
    <d v="2025-04-13T00:00:00"/>
    <n v="35"/>
    <n v="6"/>
    <n v="3756.7287999999999"/>
    <x v="32"/>
    <x v="7"/>
    <n v="2397.9119999999998"/>
    <n v="3996.52"/>
    <n v="4"/>
    <n v="5142.8718552580476"/>
    <n v="3028.7733333333331"/>
    <n v="131485.508"/>
    <n v="47558.588000000003"/>
    <n v="727.95546666666678"/>
    <n v="0.24034663097931841"/>
  </r>
  <r>
    <n v="902"/>
    <n v="69"/>
    <d v="2023-05-29T00:00:00"/>
    <n v="28"/>
    <n v="7"/>
    <n v="6936.5909999999994"/>
    <x v="102"/>
    <x v="1"/>
    <n v="4475.2199999999993"/>
    <n v="7458.7"/>
    <n v="3"/>
    <n v="8735.5039406269661"/>
    <n v="809.57599999999991"/>
    <n v="194224.54799999998"/>
    <n v="68918.388000000006"/>
    <n v="6127.0149999999994"/>
    <n v="7.5681776633694673"/>
  </r>
  <r>
    <n v="903"/>
    <n v="17"/>
    <d v="2023-04-07T00:00:00"/>
    <n v="29"/>
    <n v="2"/>
    <n v="2919.5866000000001"/>
    <x v="135"/>
    <x v="4"/>
    <n v="1787.502"/>
    <n v="2979.17"/>
    <n v="2"/>
    <n v="3264.0096058020581"/>
    <n v="1105.6675"/>
    <n v="84668.011400000003"/>
    <n v="32830.453400000006"/>
    <n v="1813.9191000000001"/>
    <n v="1.6405647267374686"/>
  </r>
  <r>
    <n v="904"/>
    <n v="45"/>
    <d v="2024-11-15T00:00:00"/>
    <n v="2"/>
    <n v="7"/>
    <n v="4953.5427"/>
    <x v="69"/>
    <x v="1"/>
    <n v="3195.8340000000003"/>
    <n v="5326.39"/>
    <n v="1"/>
    <n v="6300.7577287275926"/>
    <n v="4436.1279999999997"/>
    <n v="9907.0853999999999"/>
    <n v="3515.4173999999994"/>
    <n v="517.41470000000027"/>
    <n v="0.11663655782700597"/>
  </r>
  <r>
    <n v="905"/>
    <n v="119"/>
    <d v="2024-02-03T00:00:00"/>
    <n v="26"/>
    <n v="3"/>
    <n v="1883.6527000000001"/>
    <x v="45"/>
    <x v="7"/>
    <n v="1165.146"/>
    <n v="1941.91"/>
    <n v="4"/>
    <n v="2491.0344333117068"/>
    <n v="4902.3539999999994"/>
    <n v="48974.970200000003"/>
    <n v="18681.174200000005"/>
    <n v="-3018.7012999999993"/>
    <n v="-0.6157656709409397"/>
  </r>
  <r>
    <n v="906"/>
    <n v="52"/>
    <d v="2023-10-12T00:00:00"/>
    <n v="45"/>
    <n v="3"/>
    <n v="4325.4045999999998"/>
    <x v="75"/>
    <x v="2"/>
    <n v="2675.5080000000003"/>
    <n v="4459.18"/>
    <n v="3"/>
    <n v="5286.4013050166532"/>
    <n v="6258.09"/>
    <n v="194643.20699999999"/>
    <n v="74245.34699999998"/>
    <n v="-1932.6854000000003"/>
    <n v="-0.30882991455859538"/>
  </r>
  <r>
    <n v="907"/>
    <n v="61"/>
    <d v="2025-05-09T00:00:00"/>
    <n v="2"/>
    <n v="7"/>
    <n v="2271.2831999999999"/>
    <x v="146"/>
    <x v="7"/>
    <n v="1465.3439999999998"/>
    <n v="2442.2399999999998"/>
    <n v="5"/>
    <n v="2777.3915195572581"/>
    <n v="411.75600000000003"/>
    <n v="4542.5663999999997"/>
    <n v="1611.8784000000001"/>
    <n v="1859.5271999999998"/>
    <n v="4.5160901116195022"/>
  </r>
  <r>
    <n v="908"/>
    <n v="13"/>
    <d v="2023-06-01T00:00:00"/>
    <n v="37"/>
    <n v="4"/>
    <n v="1725.1776"/>
    <x v="93"/>
    <x v="4"/>
    <n v="1078.2359999999999"/>
    <n v="1797.06"/>
    <n v="5"/>
    <n v="2153.8948061974857"/>
    <n v="1712.5580000000002"/>
    <n v="63831.571199999998"/>
    <n v="23936.839200000002"/>
    <n v="12.619599999999764"/>
    <n v="7.368859915985188E-3"/>
  </r>
  <r>
    <n v="909"/>
    <n v="75"/>
    <d v="2023-03-15T00:00:00"/>
    <n v="32"/>
    <n v="4"/>
    <n v="3622.5023999999999"/>
    <x v="128"/>
    <x v="3"/>
    <n v="2264.0639999999999"/>
    <n v="3773.44"/>
    <n v="4"/>
    <n v="3920.6431576740788"/>
    <n v="3293.6366666666668"/>
    <n v="115920.0768"/>
    <n v="43470.0288"/>
    <n v="328.86573333333308"/>
    <n v="9.9848819592527324E-2"/>
  </r>
  <r>
    <n v="910"/>
    <n v="41"/>
    <d v="2023-04-11T00:00:00"/>
    <n v="6"/>
    <n v="5"/>
    <n v="2927.3964999999998"/>
    <x v="72"/>
    <x v="7"/>
    <n v="1848.8819999999998"/>
    <n v="3081.47"/>
    <n v="1"/>
    <n v="3224.1138314308155"/>
    <n v="1589.1249999999998"/>
    <n v="17564.379000000001"/>
    <n v="6471.0869999999995"/>
    <n v="1338.2715000000001"/>
    <n v="0.84214363250216329"/>
  </r>
  <r>
    <n v="911"/>
    <n v="55"/>
    <d v="2025-03-22T00:00:00"/>
    <n v="14"/>
    <n v="3"/>
    <n v="935.36129999999991"/>
    <x v="47"/>
    <x v="6"/>
    <n v="578.57399999999996"/>
    <n v="964.29"/>
    <n v="2"/>
    <n v="1041.8460117435106"/>
    <n v="1508.7675000000002"/>
    <n v="13095.058199999999"/>
    <n v="4995.0221999999994"/>
    <n v="-573.40620000000024"/>
    <n v="-0.38004941119158531"/>
  </r>
  <r>
    <n v="912"/>
    <n v="140"/>
    <d v="2024-02-15T00:00:00"/>
    <n v="38"/>
    <n v="8"/>
    <n v="822.25920000000008"/>
    <x v="92"/>
    <x v="1"/>
    <n v="536.25599999999997"/>
    <n v="893.76"/>
    <n v="3"/>
    <n v="1014.492035632721"/>
    <n v="4472.5149999999994"/>
    <n v="31245.849600000001"/>
    <n v="10868.121600000004"/>
    <n v="-3650.2557999999995"/>
    <n v="-0.81615283570876784"/>
  </r>
  <r>
    <n v="913"/>
    <n v="7"/>
    <d v="2024-08-25T00:00:00"/>
    <n v="22"/>
    <n v="7"/>
    <n v="7779.2639999999992"/>
    <x v="24"/>
    <x v="3"/>
    <n v="5018.8799999999992"/>
    <n v="8364.7999999999993"/>
    <n v="1"/>
    <n v="9312.232882108372"/>
    <n v="1679.8333333333333"/>
    <n v="171143.80799999999"/>
    <n v="60728.448000000004"/>
    <n v="6099.4306666666662"/>
    <n v="3.630973707709098"/>
  </r>
  <r>
    <n v="914"/>
    <n v="84"/>
    <d v="2024-10-24T00:00:00"/>
    <n v="28"/>
    <n v="6"/>
    <n v="7294.5503999999992"/>
    <x v="80"/>
    <x v="6"/>
    <n v="4656.0959999999995"/>
    <n v="7760.16"/>
    <n v="1"/>
    <n v="10061.558126975942"/>
    <n v="2588.9250000000002"/>
    <n v="204247.41119999997"/>
    <n v="73876.723199999993"/>
    <n v="4705.625399999999"/>
    <n v="1.8175981922998923"/>
  </r>
  <r>
    <n v="915"/>
    <n v="50"/>
    <d v="2024-01-08T00:00:00"/>
    <n v="13"/>
    <n v="6"/>
    <n v="1275.298"/>
    <x v="10"/>
    <x v="1"/>
    <n v="814.02"/>
    <n v="1356.7"/>
    <n v="3"/>
    <n v="1431.3843489506119"/>
    <n v="4909.6483333333335"/>
    <n v="16578.874"/>
    <n v="5996.6140000000005"/>
    <n v="-3634.3503333333338"/>
    <n v="-0.74024656891583207"/>
  </r>
  <r>
    <n v="916"/>
    <n v="119"/>
    <d v="2023-12-15T00:00:00"/>
    <n v="50"/>
    <n v="10"/>
    <n v="1747.7190000000001"/>
    <x v="45"/>
    <x v="7"/>
    <n v="1165.146"/>
    <n v="1941.91"/>
    <n v="4"/>
    <n v="2205.6526165522168"/>
    <n v="4902.3539999999994"/>
    <n v="87385.95"/>
    <n v="29128.650000000005"/>
    <n v="-3154.6349999999993"/>
    <n v="-0.64349392149159357"/>
  </r>
  <r>
    <n v="917"/>
    <n v="8"/>
    <d v="2024-01-15T00:00:00"/>
    <n v="33"/>
    <n v="10"/>
    <n v="5079.5459999999994"/>
    <x v="114"/>
    <x v="1"/>
    <n v="3386.3639999999996"/>
    <n v="5643.94"/>
    <n v="2"/>
    <n v="6202.2395194341989"/>
    <n v="2853.6650000000004"/>
    <n v="167625.01799999998"/>
    <n v="55875.005999999994"/>
    <n v="2225.8809999999989"/>
    <n v="0.78000781451221446"/>
  </r>
  <r>
    <n v="918"/>
    <n v="9"/>
    <d v="2024-02-25T00:00:00"/>
    <n v="36"/>
    <n v="10"/>
    <n v="2577.4650000000001"/>
    <x v="20"/>
    <x v="0"/>
    <n v="1718.31"/>
    <n v="2863.85"/>
    <n v="5"/>
    <n v="3473.3782560648083"/>
    <n v="6325.1699999999992"/>
    <n v="92788.74"/>
    <n v="30929.580000000009"/>
    <n v="-3747.704999999999"/>
    <n v="-0.59250660456556892"/>
  </r>
  <r>
    <n v="919"/>
    <n v="111"/>
    <d v="2023-06-12T00:00:00"/>
    <n v="11"/>
    <n v="10"/>
    <n v="678.798"/>
    <x v="110"/>
    <x v="6"/>
    <n v="452.53199999999998"/>
    <n v="754.22"/>
    <n v="3"/>
    <n v="756.41902297280558"/>
    <n v="3824.0450000000001"/>
    <n v="7466.7780000000002"/>
    <n v="2488.9260000000004"/>
    <n v="-3145.2470000000003"/>
    <n v="-0.82249215163524492"/>
  </r>
  <r>
    <n v="920"/>
    <n v="147"/>
    <d v="2024-09-03T00:00:00"/>
    <n v="48"/>
    <n v="5"/>
    <n v="4355.1039999999994"/>
    <x v="37"/>
    <x v="4"/>
    <n v="2750.5919999999996"/>
    <n v="4584.32"/>
    <n v="1"/>
    <n v="4787.1064712934585"/>
    <n v="769.14"/>
    <n v="209044.99199999997"/>
    <n v="77016.575999999986"/>
    <n v="3585.9639999999995"/>
    <n v="4.6623033517955115"/>
  </r>
  <r>
    <n v="921"/>
    <n v="141"/>
    <d v="2025-07-20T00:00:00"/>
    <n v="24"/>
    <n v="4"/>
    <n v="7550.5823999999993"/>
    <x v="86"/>
    <x v="1"/>
    <n v="4719.1139999999996"/>
    <n v="7865.19"/>
    <n v="5"/>
    <n v="7884.4923953602383"/>
    <n v="7586.8133333333344"/>
    <n v="181213.97759999998"/>
    <n v="67955.241599999994"/>
    <n v="-36.230933333335088"/>
    <n v="-4.7755140058806092E-3"/>
  </r>
  <r>
    <n v="922"/>
    <n v="144"/>
    <d v="2025-08-20T00:00:00"/>
    <n v="37"/>
    <n v="2"/>
    <n v="1546.6556"/>
    <x v="77"/>
    <x v="0"/>
    <n v="946.93200000000002"/>
    <n v="1578.22"/>
    <n v="2"/>
    <n v="1633.7662673809791"/>
    <n v="6414.0239999999994"/>
    <n v="57226.2572"/>
    <n v="22189.7732"/>
    <n v="-4867.3683999999994"/>
    <n v="-0.75886345295870417"/>
  </r>
  <r>
    <n v="923"/>
    <n v="37"/>
    <d v="2025-03-26T00:00:00"/>
    <n v="49"/>
    <n v="5"/>
    <n v="3668.3964999999998"/>
    <x v="96"/>
    <x v="7"/>
    <n v="2316.8819999999996"/>
    <n v="3861.47"/>
    <n v="1"/>
    <n v="4944.6298461431052"/>
    <n v="2618.5759999999996"/>
    <n v="179751.42849999998"/>
    <n v="66224.210500000016"/>
    <n v="1049.8205000000003"/>
    <n v="0.40091274799738502"/>
  </r>
  <r>
    <n v="924"/>
    <n v="122"/>
    <d v="2025-04-28T00:00:00"/>
    <n v="21"/>
    <n v="8"/>
    <n v="4735.9207999999999"/>
    <x v="89"/>
    <x v="6"/>
    <n v="3088.6439999999998"/>
    <n v="5147.74"/>
    <n v="3"/>
    <n v="5996.0350820558915"/>
    <n v="4724.1475"/>
    <n v="99454.33679999999"/>
    <n v="34592.8128"/>
    <n v="11.773299999999836"/>
    <n v="2.4921533461857055E-3"/>
  </r>
  <r>
    <n v="925"/>
    <n v="99"/>
    <d v="2025-06-28T00:00:00"/>
    <n v="21"/>
    <n v="10"/>
    <n v="1839.5820000000001"/>
    <x v="106"/>
    <x v="3"/>
    <n v="1226.3879999999999"/>
    <n v="2043.98"/>
    <n v="2"/>
    <n v="2560.7854606820388"/>
    <n v="958.76666666666654"/>
    <n v="38631.222000000002"/>
    <n v="12877.074000000004"/>
    <n v="880.81533333333357"/>
    <n v="0.91869624169940589"/>
  </r>
  <r>
    <n v="926"/>
    <n v="62"/>
    <d v="2024-08-27T00:00:00"/>
    <n v="6"/>
    <n v="4"/>
    <n v="3319.6223999999997"/>
    <x v="79"/>
    <x v="7"/>
    <n v="2074.7640000000001"/>
    <n v="3457.94"/>
    <n v="4"/>
    <n v="3640.220492158362"/>
    <n v="5560.3266666666668"/>
    <n v="19917.734399999998"/>
    <n v="7469.1503999999977"/>
    <n v="-2240.7042666666671"/>
    <n v="-0.40298068818498678"/>
  </r>
  <r>
    <n v="927"/>
    <n v="126"/>
    <d v="2025-01-29T00:00:00"/>
    <n v="2"/>
    <n v="3"/>
    <n v="982.83309999999994"/>
    <x v="59"/>
    <x v="4"/>
    <n v="607.93799999999999"/>
    <n v="1013.23"/>
    <n v="5"/>
    <n v="1201.4495049068555"/>
    <n v="7593.0025000000005"/>
    <n v="1965.6661999999999"/>
    <n v="749.79019999999991"/>
    <n v="-6610.1694000000007"/>
    <n v="-0.8705606774131841"/>
  </r>
  <r>
    <n v="928"/>
    <n v="118"/>
    <d v="2025-02-02T00:00:00"/>
    <n v="18"/>
    <n v="6"/>
    <n v="2960.2949999999996"/>
    <x v="131"/>
    <x v="1"/>
    <n v="1889.55"/>
    <n v="3149.25"/>
    <n v="5"/>
    <n v="3666.5775891463959"/>
    <n v="224.52399999999997"/>
    <n v="53285.30999999999"/>
    <n v="19273.409999999993"/>
    <n v="2735.7709999999997"/>
    <n v="12.184759758422263"/>
  </r>
  <r>
    <n v="929"/>
    <n v="132"/>
    <d v="2023-08-30T00:00:00"/>
    <n v="2"/>
    <n v="4"/>
    <n v="5268.7968000000001"/>
    <x v="145"/>
    <x v="4"/>
    <n v="3292.998"/>
    <n v="5488.33"/>
    <n v="5"/>
    <n v="7059.4246338351431"/>
    <n v="3374.6533333333332"/>
    <n v="10537.5936"/>
    <n v="3951.5976000000001"/>
    <n v="1894.1434666666669"/>
    <n v="0.56128534684056441"/>
  </r>
  <r>
    <n v="930"/>
    <n v="58"/>
    <d v="2023-01-22T00:00:00"/>
    <n v="41"/>
    <n v="6"/>
    <n v="1070.2651999999998"/>
    <x v="103"/>
    <x v="7"/>
    <n v="683.14799999999991"/>
    <n v="1138.58"/>
    <n v="2"/>
    <n v="1345.0390619188779"/>
    <n v="1439.8525"/>
    <n v="43880.873199999995"/>
    <n v="15871.805199999997"/>
    <n v="-369.58730000000014"/>
    <n v="-0.25668413952123581"/>
  </r>
  <r>
    <n v="931"/>
    <n v="141"/>
    <d v="2023-10-04T00:00:00"/>
    <n v="40"/>
    <n v="7"/>
    <n v="7314.6266999999989"/>
    <x v="86"/>
    <x v="1"/>
    <n v="4719.1139999999996"/>
    <n v="7865.19"/>
    <n v="5"/>
    <n v="8319.4486905866434"/>
    <n v="7586.8133333333344"/>
    <n v="292585.06799999997"/>
    <n v="103820.50799999997"/>
    <n v="-272.18663333333552"/>
    <n v="-3.58762791931969E-2"/>
  </r>
  <r>
    <n v="932"/>
    <n v="16"/>
    <d v="2023-01-31T00:00:00"/>
    <n v="39"/>
    <n v="9"/>
    <n v="6144.1380000000008"/>
    <x v="142"/>
    <x v="2"/>
    <n v="4051.08"/>
    <n v="6751.8"/>
    <n v="4"/>
    <n v="8036.4471256525694"/>
    <n v="6827.7939999999999"/>
    <n v="239621.38200000004"/>
    <n v="81629.262000000032"/>
    <n v="-683.65599999999904"/>
    <n v="-0.10012838700171667"/>
  </r>
  <r>
    <n v="933"/>
    <n v="32"/>
    <d v="2023-11-06T00:00:00"/>
    <n v="6"/>
    <n v="8"/>
    <n v="873.04320000000007"/>
    <x v="11"/>
    <x v="2"/>
    <n v="569.37599999999998"/>
    <n v="948.96"/>
    <n v="4"/>
    <n v="1053.0284387748418"/>
    <n v="2168.4866666666671"/>
    <n v="5238.2592000000004"/>
    <n v="1822.0032000000006"/>
    <n v="-1295.4434666666671"/>
    <n v="-0.59739517267034159"/>
  </r>
  <r>
    <n v="934"/>
    <n v="25"/>
    <d v="2023-10-16T00:00:00"/>
    <n v="3"/>
    <n v="4"/>
    <n v="545.44319999999993"/>
    <x v="38"/>
    <x v="4"/>
    <n v="340.90199999999999"/>
    <n v="568.16999999999996"/>
    <n v="1"/>
    <n v="672.42945627882182"/>
    <n v="2024.2300000000002"/>
    <n v="1636.3295999999998"/>
    <n v="613.6235999999999"/>
    <n v="-1478.7868000000003"/>
    <n v="-0.73054287309248467"/>
  </r>
  <r>
    <n v="935"/>
    <n v="138"/>
    <d v="2023-03-28T00:00:00"/>
    <n v="23"/>
    <n v="2"/>
    <n v="3029.6601999999998"/>
    <x v="13"/>
    <x v="4"/>
    <n v="1854.8939999999998"/>
    <n v="3091.49"/>
    <n v="5"/>
    <n v="3619.8341958061096"/>
    <n v="4980.4933333333329"/>
    <n v="69682.184599999993"/>
    <n v="27019.622600000002"/>
    <n v="-1950.8331333333331"/>
    <n v="-0.39169475848443391"/>
  </r>
  <r>
    <n v="936"/>
    <n v="52"/>
    <d v="2024-11-07T00:00:00"/>
    <n v="10"/>
    <n v="9"/>
    <n v="4057.8538000000003"/>
    <x v="75"/>
    <x v="2"/>
    <n v="2675.5080000000003"/>
    <n v="4459.18"/>
    <n v="3"/>
    <n v="5168.9242862438396"/>
    <n v="6258.09"/>
    <n v="40578.538"/>
    <n v="13823.458000000001"/>
    <n v="-2200.2361999999998"/>
    <n v="-0.35158270334878527"/>
  </r>
  <r>
    <n v="937"/>
    <n v="107"/>
    <d v="2023-12-29T00:00:00"/>
    <n v="1"/>
    <n v="7"/>
    <n v="1458.1469999999999"/>
    <x v="137"/>
    <x v="6"/>
    <n v="940.74"/>
    <n v="1567.9"/>
    <n v="2"/>
    <n v="1750.7861101886363"/>
    <n v="979.96"/>
    <n v="1458.1469999999999"/>
    <n v="517.40699999999993"/>
    <n v="478.1869999999999"/>
    <n v="0.48796583534021787"/>
  </r>
  <r>
    <n v="938"/>
    <n v="29"/>
    <d v="2023-02-27T00:00:00"/>
    <n v="1"/>
    <n v="6"/>
    <n v="7024.62"/>
    <x v="56"/>
    <x v="5"/>
    <n v="4483.8"/>
    <n v="7473"/>
    <n v="2"/>
    <n v="8553.8486118861056"/>
    <n v="1925.7060000000001"/>
    <n v="7024.62"/>
    <n v="2540.8199999999997"/>
    <n v="5098.9139999999998"/>
    <n v="2.647815398612249"/>
  </r>
  <r>
    <n v="939"/>
    <n v="39"/>
    <d v="2023-01-16T00:00:00"/>
    <n v="22"/>
    <n v="8"/>
    <n v="2950.9736000000003"/>
    <x v="49"/>
    <x v="6"/>
    <n v="1924.5479999999998"/>
    <n v="3207.58"/>
    <n v="1"/>
    <n v="3636.3627070037419"/>
    <n v="9555.6079999999984"/>
    <n v="64921.419200000004"/>
    <n v="22581.363200000011"/>
    <n v="-6604.6343999999981"/>
    <n v="-0.69117887632058572"/>
  </r>
  <r>
    <n v="940"/>
    <n v="28"/>
    <d v="2023-08-13T00:00:00"/>
    <n v="8"/>
    <n v="2"/>
    <n v="5602.2875999999997"/>
    <x v="70"/>
    <x v="0"/>
    <n v="3429.9719999999998"/>
    <n v="5716.62"/>
    <n v="5"/>
    <n v="7385.6346134127789"/>
    <n v="3542.9559999999997"/>
    <n v="44818.300799999997"/>
    <n v="17378.524799999999"/>
    <n v="2059.3316"/>
    <n v="0.58124673295406437"/>
  </r>
  <r>
    <n v="941"/>
    <n v="72"/>
    <d v="2024-02-25T00:00:00"/>
    <n v="2"/>
    <n v="3"/>
    <n v="5627.3579999999993"/>
    <x v="65"/>
    <x v="5"/>
    <n v="3480.8399999999997"/>
    <n v="5801.4"/>
    <n v="3"/>
    <n v="7252.7338253658054"/>
    <n v="5210.5919999999996"/>
    <n v="11254.715999999999"/>
    <n v="4293.0359999999991"/>
    <n v="416.76599999999962"/>
    <n v="7.9984385651380815E-2"/>
  </r>
  <r>
    <n v="942"/>
    <n v="34"/>
    <d v="2024-08-13T00:00:00"/>
    <n v="45"/>
    <n v="2"/>
    <n v="1277.3222000000001"/>
    <x v="23"/>
    <x v="1"/>
    <n v="782.03399999999999"/>
    <n v="1303.3900000000001"/>
    <n v="2"/>
    <n v="1391.8281046227335"/>
    <n v="4145.4440000000004"/>
    <n v="57479.499000000003"/>
    <n v="22287.969000000005"/>
    <n v="-2868.1218000000003"/>
    <n v="-0.6918732468705403"/>
  </r>
  <r>
    <n v="943"/>
    <n v="93"/>
    <d v="2023-09-05T00:00:00"/>
    <n v="25"/>
    <n v="4"/>
    <n v="7356.0671999999995"/>
    <x v="66"/>
    <x v="2"/>
    <n v="4597.5419999999995"/>
    <n v="7662.57"/>
    <n v="3"/>
    <n v="9375.4185468081687"/>
    <n v="991.00333333333344"/>
    <n v="183901.68"/>
    <n v="68963.13"/>
    <n v="6365.0638666666664"/>
    <n v="6.4228480899828782"/>
  </r>
  <r>
    <n v="944"/>
    <n v="108"/>
    <d v="2023-01-21T00:00:00"/>
    <n v="41"/>
    <n v="4"/>
    <n v="806.91839999999991"/>
    <x v="82"/>
    <x v="6"/>
    <n v="504.32399999999996"/>
    <n v="840.54"/>
    <n v="3"/>
    <n v="989.30839679178825"/>
    <n v="5163.7120000000004"/>
    <n v="33083.654399999999"/>
    <n v="12406.370399999998"/>
    <n v="-4356.7936000000009"/>
    <n v="-0.84373288053245432"/>
  </r>
  <r>
    <n v="945"/>
    <n v="93"/>
    <d v="2024-07-12T00:00:00"/>
    <n v="3"/>
    <n v="6"/>
    <n v="7202.8157999999994"/>
    <x v="66"/>
    <x v="2"/>
    <n v="4597.5419999999995"/>
    <n v="7662.57"/>
    <n v="3"/>
    <n v="9119.5672054631523"/>
    <n v="991.00333333333344"/>
    <n v="21608.447399999997"/>
    <n v="7815.8213999999998"/>
    <n v="6211.8124666666663"/>
    <n v="6.2682054214415679"/>
  </r>
  <r>
    <n v="946"/>
    <n v="32"/>
    <d v="2023-11-18T00:00:00"/>
    <n v="43"/>
    <n v="2"/>
    <n v="929.98080000000004"/>
    <x v="11"/>
    <x v="2"/>
    <n v="569.37599999999998"/>
    <n v="948.96"/>
    <n v="4"/>
    <n v="1171.2219168279005"/>
    <n v="2168.4866666666671"/>
    <n v="39989.174400000004"/>
    <n v="15506.006400000002"/>
    <n v="-1238.5058666666671"/>
    <n v="-0.57113833610536391"/>
  </r>
  <r>
    <n v="947"/>
    <n v="99"/>
    <d v="2024-11-03T00:00:00"/>
    <n v="7"/>
    <n v="9"/>
    <n v="1860.0218"/>
    <x v="106"/>
    <x v="3"/>
    <n v="1226.3879999999999"/>
    <n v="2043.98"/>
    <n v="2"/>
    <n v="2360.8124353489889"/>
    <n v="958.76666666666654"/>
    <n v="13020.152599999999"/>
    <n v="4435.4366000000009"/>
    <n v="901.25513333333345"/>
    <n v="0.9400150888293991"/>
  </r>
  <r>
    <n v="948"/>
    <n v="22"/>
    <d v="2023-11-04T00:00:00"/>
    <n v="35"/>
    <n v="6"/>
    <n v="1536.4299999999998"/>
    <x v="6"/>
    <x v="3"/>
    <n v="980.69999999999993"/>
    <n v="1634.5"/>
    <n v="1"/>
    <n v="1686.1923160485233"/>
    <n v="3187.4450000000002"/>
    <n v="53775.049999999996"/>
    <n v="19450.549999999996"/>
    <n v="-1651.0150000000003"/>
    <n v="-0.51797442779404834"/>
  </r>
  <r>
    <n v="949"/>
    <n v="17"/>
    <d v="2023-09-07T00:00:00"/>
    <n v="5"/>
    <n v="2"/>
    <n v="2919.5866000000001"/>
    <x v="135"/>
    <x v="4"/>
    <n v="1787.502"/>
    <n v="2979.17"/>
    <n v="2"/>
    <n v="3075.7702791799425"/>
    <n v="1105.6675"/>
    <n v="14597.933000000001"/>
    <n v="5660.4230000000007"/>
    <n v="1813.9191000000001"/>
    <n v="1.6405647267374686"/>
  </r>
  <r>
    <n v="950"/>
    <n v="25"/>
    <d v="2023-10-01T00:00:00"/>
    <n v="47"/>
    <n v="6"/>
    <n v="534.07979999999998"/>
    <x v="38"/>
    <x v="4"/>
    <n v="340.90199999999999"/>
    <n v="568.16999999999996"/>
    <n v="1"/>
    <n v="588.12311549451522"/>
    <n v="2024.2300000000002"/>
    <n v="25101.750599999999"/>
    <n v="9079.3565999999992"/>
    <n v="-1490.1502000000003"/>
    <n v="-0.73615656323639111"/>
  </r>
  <r>
    <n v="951"/>
    <n v="21"/>
    <d v="2025-02-19T00:00:00"/>
    <n v="14"/>
    <n v="2"/>
    <n v="2821.7139999999999"/>
    <x v="67"/>
    <x v="0"/>
    <n v="1727.5800000000002"/>
    <n v="2879.3"/>
    <n v="3"/>
    <n v="3693.3830708559326"/>
    <n v="4150.0079999999998"/>
    <n v="39503.995999999999"/>
    <n v="15317.875999999997"/>
    <n v="-1328.2939999999999"/>
    <n v="-0.32007022637064797"/>
  </r>
  <r>
    <n v="952"/>
    <n v="9"/>
    <d v="2023-10-09T00:00:00"/>
    <n v="7"/>
    <n v="6"/>
    <n v="2692.0189999999998"/>
    <x v="20"/>
    <x v="0"/>
    <n v="1718.31"/>
    <n v="2863.85"/>
    <n v="5"/>
    <n v="3677.4393815733479"/>
    <n v="6325.1699999999992"/>
    <n v="18844.132999999998"/>
    <n v="6815.9629999999988"/>
    <n v="-3633.1509999999994"/>
    <n v="-0.57439578699070537"/>
  </r>
  <r>
    <n v="953"/>
    <n v="76"/>
    <d v="2024-10-09T00:00:00"/>
    <n v="42"/>
    <n v="8"/>
    <n v="2820.3244000000004"/>
    <x v="63"/>
    <x v="5"/>
    <n v="1839.3420000000001"/>
    <n v="3065.57"/>
    <n v="1"/>
    <n v="3125.7978168153663"/>
    <n v="831.92600000000004"/>
    <n v="118453.62480000002"/>
    <n v="41201.260800000011"/>
    <n v="1988.3984000000005"/>
    <n v="2.3901145053766806"/>
  </r>
  <r>
    <n v="954"/>
    <n v="113"/>
    <d v="2025-03-21T00:00:00"/>
    <n v="10"/>
    <n v="5"/>
    <n v="4587.7019999999993"/>
    <x v="87"/>
    <x v="7"/>
    <n v="2897.4959999999996"/>
    <n v="4829.16"/>
    <n v="1"/>
    <n v="5774.4479568792822"/>
    <n v="4302.05"/>
    <n v="45877.01999999999"/>
    <n v="16902.059999999998"/>
    <n v="285.65199999999913"/>
    <n v="6.6399042317034696E-2"/>
  </r>
  <r>
    <n v="955"/>
    <n v="9"/>
    <d v="2025-10-30T00:00:00"/>
    <n v="9"/>
    <n v="6"/>
    <n v="2692.0189999999998"/>
    <x v="20"/>
    <x v="0"/>
    <n v="1718.31"/>
    <n v="2863.85"/>
    <n v="5"/>
    <n v="3104.1192996419572"/>
    <n v="6325.1699999999992"/>
    <n v="24228.170999999998"/>
    <n v="8763.3809999999976"/>
    <n v="-3633.1509999999994"/>
    <n v="-0.57439578699070537"/>
  </r>
  <r>
    <n v="956"/>
    <n v="101"/>
    <d v="2024-04-08T00:00:00"/>
    <n v="50"/>
    <n v="9"/>
    <n v="4295.4638999999997"/>
    <x v="5"/>
    <x v="3"/>
    <n v="2832.174"/>
    <n v="4720.29"/>
    <n v="2"/>
    <n v="5012.3067981796166"/>
    <n v="6068.0179999999991"/>
    <n v="214773.19499999998"/>
    <n v="73164.494999999995"/>
    <n v="-1772.5540999999994"/>
    <n v="-0.2921141796217479"/>
  </r>
  <r>
    <n v="957"/>
    <n v="108"/>
    <d v="2024-01-14T00:00:00"/>
    <n v="27"/>
    <n v="4"/>
    <n v="806.91839999999991"/>
    <x v="82"/>
    <x v="6"/>
    <n v="504.32399999999996"/>
    <n v="840.54"/>
    <n v="3"/>
    <n v="1037.9022530192103"/>
    <n v="5163.7120000000004"/>
    <n v="21786.796799999996"/>
    <n v="8170.0487999999987"/>
    <n v="-4356.7936000000009"/>
    <n v="-0.84373288053245432"/>
  </r>
  <r>
    <n v="958"/>
    <n v="116"/>
    <d v="2025-12-22T00:00:00"/>
    <n v="11"/>
    <n v="3"/>
    <n v="2292.2555000000002"/>
    <x v="58"/>
    <x v="1"/>
    <n v="1417.89"/>
    <n v="2363.15"/>
    <n v="5"/>
    <n v="2435.5170717995311"/>
    <n v="4469.4999999999991"/>
    <n v="25214.810500000003"/>
    <n v="9618.0205000000005"/>
    <n v="-2177.2444999999989"/>
    <n v="-0.48713379572659121"/>
  </r>
  <r>
    <n v="959"/>
    <n v="123"/>
    <d v="2023-11-23T00:00:00"/>
    <n v="35"/>
    <n v="2"/>
    <n v="4535.0675999999994"/>
    <x v="148"/>
    <x v="3"/>
    <n v="2776.5719999999997"/>
    <n v="4627.62"/>
    <n v="2"/>
    <n v="5449.6417679206888"/>
    <n v="809.94800000000009"/>
    <n v="158727.36599999998"/>
    <n v="61547.34599999999"/>
    <n v="3725.1195999999991"/>
    <n v="4.5992083442393819"/>
  </r>
  <r>
    <n v="960"/>
    <n v="105"/>
    <d v="2024-12-29T00:00:00"/>
    <n v="16"/>
    <n v="3"/>
    <n v="4018.7875999999997"/>
    <x v="85"/>
    <x v="1"/>
    <n v="2485.848"/>
    <n v="4143.08"/>
    <n v="3"/>
    <n v="4549.7417403638701"/>
    <n v="4778.8849999999993"/>
    <n v="64300.601599999995"/>
    <n v="24527.033599999995"/>
    <n v="-760.09739999999965"/>
    <n v="-0.15905329381225949"/>
  </r>
  <r>
    <n v="961"/>
    <n v="43"/>
    <d v="2025-01-06T00:00:00"/>
    <n v="9"/>
    <n v="9"/>
    <n v="2934.7318"/>
    <x v="119"/>
    <x v="3"/>
    <n v="1934.9879999999998"/>
    <n v="3224.98"/>
    <n v="2"/>
    <n v="3503.7802418105607"/>
    <n v="445.53000000000003"/>
    <n v="26412.586200000002"/>
    <n v="8997.6942000000017"/>
    <n v="2489.2017999999998"/>
    <n v="5.5870576616613912"/>
  </r>
  <r>
    <n v="962"/>
    <n v="36"/>
    <d v="2025-03-18T00:00:00"/>
    <n v="9"/>
    <n v="6"/>
    <n v="138.55600000000001"/>
    <x v="57"/>
    <x v="0"/>
    <n v="88.44"/>
    <n v="147.4"/>
    <n v="3"/>
    <n v="168.34516343909445"/>
    <n v="2726.4116666666664"/>
    <n v="1247.0040000000001"/>
    <n v="451.0440000000001"/>
    <n v="-2587.8556666666664"/>
    <n v="-0.94918008835789658"/>
  </r>
  <r>
    <n v="963"/>
    <n v="106"/>
    <d v="2023-09-28T00:00:00"/>
    <n v="22"/>
    <n v="10"/>
    <n v="1290.627"/>
    <x v="74"/>
    <x v="1"/>
    <n v="860.41800000000001"/>
    <n v="1434.03"/>
    <n v="2"/>
    <n v="1438.5138343833162"/>
    <n v="695.38400000000001"/>
    <n v="28393.793999999998"/>
    <n v="9464.5979999999981"/>
    <n v="595.24299999999994"/>
    <n v="0.85599179733787367"/>
  </r>
  <r>
    <n v="964"/>
    <n v="55"/>
    <d v="2024-11-15T00:00:00"/>
    <n v="27"/>
    <n v="4"/>
    <n v="925.71839999999997"/>
    <x v="47"/>
    <x v="6"/>
    <n v="578.57399999999996"/>
    <n v="964.29"/>
    <n v="2"/>
    <n v="1239.4156947529848"/>
    <n v="1508.7675000000002"/>
    <n v="24994.396799999999"/>
    <n v="9372.8988000000008"/>
    <n v="-583.04910000000018"/>
    <n v="-0.38644065437517716"/>
  </r>
  <r>
    <n v="965"/>
    <n v="97"/>
    <d v="2023-04-22T00:00:00"/>
    <n v="39"/>
    <n v="5"/>
    <n v="875.55799999999999"/>
    <x v="73"/>
    <x v="0"/>
    <n v="552.98399999999992"/>
    <n v="921.64"/>
    <n v="3"/>
    <n v="1174.5789260172305"/>
    <n v="2464.87"/>
    <n v="34146.762000000002"/>
    <n v="12580.386000000002"/>
    <n v="-1589.3119999999999"/>
    <n v="-0.64478532336390959"/>
  </r>
  <r>
    <n v="966"/>
    <n v="21"/>
    <d v="2024-02-22T00:00:00"/>
    <n v="10"/>
    <n v="5"/>
    <n v="2735.335"/>
    <x v="67"/>
    <x v="0"/>
    <n v="1727.5800000000002"/>
    <n v="2879.3"/>
    <n v="3"/>
    <n v="3719.3450907831839"/>
    <n v="4150.0079999999998"/>
    <n v="27353.35"/>
    <n v="10077.549999999999"/>
    <n v="-1414.6729999999998"/>
    <n v="-0.3408844031144036"/>
  </r>
  <r>
    <n v="967"/>
    <n v="85"/>
    <d v="2025-01-29T00:00:00"/>
    <n v="8"/>
    <n v="6"/>
    <n v="3527.8481999999999"/>
    <x v="42"/>
    <x v="3"/>
    <n v="2251.8180000000002"/>
    <n v="3753.03"/>
    <n v="1"/>
    <n v="3861.9486918468347"/>
    <n v="3340.25"/>
    <n v="28222.785599999999"/>
    <n v="10208.241599999998"/>
    <n v="187.59819999999991"/>
    <n v="5.6162921936980734E-2"/>
  </r>
  <r>
    <n v="968"/>
    <n v="89"/>
    <d v="2025-09-07T00:00:00"/>
    <n v="39"/>
    <n v="10"/>
    <n v="907.53300000000002"/>
    <x v="108"/>
    <x v="1"/>
    <n v="605.02199999999993"/>
    <n v="1008.37"/>
    <n v="4"/>
    <n v="1197.365432588816"/>
    <n v="913.02"/>
    <n v="35393.787000000004"/>
    <n v="11797.929000000004"/>
    <n v="-5.4869999999999663"/>
    <n v="-6.0097259643819047E-3"/>
  </r>
  <r>
    <n v="969"/>
    <n v="149"/>
    <d v="2025-04-21T00:00:00"/>
    <n v="33"/>
    <n v="4"/>
    <n v="5882.6687999999995"/>
    <x v="14"/>
    <x v="5"/>
    <n v="3676.6679999999997"/>
    <n v="6127.78"/>
    <n v="4"/>
    <n v="7904.303828320205"/>
    <n v="3159.4639999999999"/>
    <n v="194128.07039999997"/>
    <n v="72798.026399999988"/>
    <n v="2723.2047999999995"/>
    <n v="0.86191986995262471"/>
  </r>
  <r>
    <n v="970"/>
    <n v="120"/>
    <d v="2024-09-30T00:00:00"/>
    <n v="22"/>
    <n v="6"/>
    <n v="1858.0039999999999"/>
    <x v="125"/>
    <x v="0"/>
    <n v="1185.9599999999998"/>
    <n v="1976.6"/>
    <n v="2"/>
    <n v="2485.5666987809377"/>
    <n v="1688.8574999999998"/>
    <n v="40876.087999999996"/>
    <n v="14784.968000000003"/>
    <n v="169.14650000000006"/>
    <n v="0.10015439431686811"/>
  </r>
  <r>
    <n v="971"/>
    <n v="21"/>
    <d v="2025-01-13T00:00:00"/>
    <n v="1"/>
    <n v="7"/>
    <n v="2677.7489999999998"/>
    <x v="67"/>
    <x v="0"/>
    <n v="1727.5800000000002"/>
    <n v="2879.3"/>
    <n v="3"/>
    <n v="3008.2912727903604"/>
    <n v="4150.0079999999998"/>
    <n v="2677.7489999999998"/>
    <n v="950.16899999999964"/>
    <n v="-1472.259"/>
    <n v="-0.35476052094357413"/>
  </r>
  <r>
    <n v="972"/>
    <n v="102"/>
    <d v="2023-12-11T00:00:00"/>
    <n v="25"/>
    <n v="7"/>
    <n v="3853.8641999999995"/>
    <x v="143"/>
    <x v="1"/>
    <n v="2486.3639999999996"/>
    <n v="4143.9399999999996"/>
    <n v="4"/>
    <n v="4842.5329973674407"/>
    <n v="2740.84"/>
    <n v="96346.604999999981"/>
    <n v="34187.504999999997"/>
    <n v="1113.0241999999994"/>
    <n v="0.40608871732753438"/>
  </r>
  <r>
    <n v="973"/>
    <n v="11"/>
    <d v="2024-10-21T00:00:00"/>
    <n v="21"/>
    <n v="2"/>
    <n v="3136.1959999999999"/>
    <x v="16"/>
    <x v="1"/>
    <n v="1920.12"/>
    <n v="3200.2"/>
    <n v="1"/>
    <n v="3575.5790222071237"/>
    <n v="7089.33"/>
    <n v="65860.115999999995"/>
    <n v="25537.596000000001"/>
    <n v="-3953.134"/>
    <n v="-0.55761743352333715"/>
  </r>
  <r>
    <n v="974"/>
    <n v="150"/>
    <d v="2025-08-06T00:00:00"/>
    <n v="28"/>
    <n v="7"/>
    <n v="2129.4395999999997"/>
    <x v="29"/>
    <x v="1"/>
    <n v="1373.8319999999999"/>
    <n v="2289.7199999999998"/>
    <n v="3"/>
    <n v="2572.7553300689465"/>
    <n v="1810.3166666666666"/>
    <n v="59624.308799999992"/>
    <n v="21157.012799999997"/>
    <n v="319.12293333333309"/>
    <n v="0.17628017197727824"/>
  </r>
  <r>
    <n v="975"/>
    <n v="1"/>
    <d v="2024-06-17T00:00:00"/>
    <n v="20"/>
    <n v="4"/>
    <n v="1834.5119999999999"/>
    <x v="97"/>
    <x v="7"/>
    <n v="1146.57"/>
    <n v="1910.95"/>
    <n v="1"/>
    <n v="2061.9135878663574"/>
    <n v="4785.0083333333332"/>
    <n v="36690.239999999998"/>
    <n v="13758.84"/>
    <n v="-2950.4963333333335"/>
    <n v="-0.61661257991539553"/>
  </r>
  <r>
    <n v="976"/>
    <n v="34"/>
    <d v="2025-02-20T00:00:00"/>
    <n v="41"/>
    <n v="7"/>
    <n v="1212.1527000000001"/>
    <x v="23"/>
    <x v="1"/>
    <n v="782.03399999999999"/>
    <n v="1303.3900000000001"/>
    <n v="2"/>
    <n v="1465.5121247654565"/>
    <n v="4145.4440000000004"/>
    <n v="49698.260700000006"/>
    <n v="17634.866700000006"/>
    <n v="-2933.2913000000003"/>
    <n v="-0.70759399958122704"/>
  </r>
  <r>
    <n v="977"/>
    <n v="136"/>
    <d v="2024-12-20T00:00:00"/>
    <n v="30"/>
    <n v="7"/>
    <n v="4795.4240999999993"/>
    <x v="30"/>
    <x v="3"/>
    <n v="3093.8219999999997"/>
    <n v="5156.37"/>
    <n v="3"/>
    <n v="6694.1854678784784"/>
    <n v="5805.195999999999"/>
    <n v="143862.72299999997"/>
    <n v="51048.062999999987"/>
    <n v="-1009.7718999999997"/>
    <n v="-0.17394277471423875"/>
  </r>
  <r>
    <n v="978"/>
    <n v="80"/>
    <d v="2023-09-18T00:00:00"/>
    <n v="17"/>
    <n v="5"/>
    <n v="949.11649999999997"/>
    <x v="130"/>
    <x v="0"/>
    <n v="599.44200000000001"/>
    <n v="999.07"/>
    <n v="5"/>
    <n v="1039.2049794374991"/>
    <n v="4319.1966666666667"/>
    <n v="16134.9805"/>
    <n v="5944.4664999999995"/>
    <n v="-3370.0801666666666"/>
    <n v="-0.78025624363789869"/>
  </r>
  <r>
    <n v="979"/>
    <n v="35"/>
    <d v="2023-03-15T00:00:00"/>
    <n v="25"/>
    <n v="6"/>
    <n v="127.07859999999999"/>
    <x v="104"/>
    <x v="3"/>
    <n v="81.11399999999999"/>
    <n v="135.19"/>
    <n v="3"/>
    <n v="138.79864777773412"/>
    <n v="2089.5899999999997"/>
    <n v="3176.9649999999997"/>
    <n v="1149.115"/>
    <n v="-1962.5113999999996"/>
    <n v="-0.93918491187266395"/>
  </r>
  <r>
    <n v="980"/>
    <n v="1"/>
    <d v="2023-11-28T00:00:00"/>
    <n v="16"/>
    <n v="3"/>
    <n v="1853.6215"/>
    <x v="97"/>
    <x v="7"/>
    <n v="1146.57"/>
    <n v="1910.95"/>
    <n v="1"/>
    <n v="2243.4941730060668"/>
    <n v="4785.0083333333332"/>
    <n v="29657.944"/>
    <n v="11312.824000000001"/>
    <n v="-2931.386833333333"/>
    <n v="-0.61261896095618085"/>
  </r>
  <r>
    <n v="981"/>
    <n v="142"/>
    <d v="2024-05-27T00:00:00"/>
    <n v="24"/>
    <n v="8"/>
    <n v="2743.7528000000002"/>
    <x v="141"/>
    <x v="3"/>
    <n v="1789.404"/>
    <n v="2982.34"/>
    <n v="4"/>
    <n v="3567.8218550580204"/>
    <n v="2210.1966666666667"/>
    <n v="65850.067200000005"/>
    <n v="22904.371200000005"/>
    <n v="533.55613333333349"/>
    <n v="0.24140663198900858"/>
  </r>
  <r>
    <n v="982"/>
    <n v="61"/>
    <d v="2023-06-01T00:00:00"/>
    <n v="41"/>
    <n v="9"/>
    <n v="2222.4384"/>
    <x v="146"/>
    <x v="7"/>
    <n v="1465.3439999999998"/>
    <n v="2442.2399999999998"/>
    <n v="5"/>
    <n v="2491.9872419620101"/>
    <n v="411.75600000000003"/>
    <n v="91119.974400000006"/>
    <n v="31040.870400000007"/>
    <n v="1810.6823999999999"/>
    <n v="4.3974645178212333"/>
  </r>
  <r>
    <n v="983"/>
    <n v="98"/>
    <d v="2024-11-28T00:00:00"/>
    <n v="48"/>
    <n v="3"/>
    <n v="7573.4495999999999"/>
    <x v="124"/>
    <x v="1"/>
    <n v="4684.6080000000002"/>
    <n v="7807.68"/>
    <n v="3"/>
    <n v="8468.6419308427121"/>
    <n v="6533.69"/>
    <n v="363525.5808"/>
    <n v="138664.39679999999"/>
    <n v="1039.7596000000003"/>
    <n v="0.15913818990493891"/>
  </r>
  <r>
    <n v="984"/>
    <n v="89"/>
    <d v="2024-01-07T00:00:00"/>
    <n v="49"/>
    <n v="8"/>
    <n v="927.70040000000006"/>
    <x v="108"/>
    <x v="1"/>
    <n v="605.02199999999993"/>
    <n v="1008.37"/>
    <n v="4"/>
    <n v="1103.1127825381739"/>
    <n v="913.02"/>
    <n v="45457.319600000003"/>
    <n v="15811.241600000007"/>
    <n v="14.680400000000077"/>
    <n v="1.6078946791965212E-2"/>
  </r>
  <r>
    <n v="985"/>
    <n v="80"/>
    <d v="2025-04-11T00:00:00"/>
    <n v="36"/>
    <n v="6"/>
    <n v="939.12580000000003"/>
    <x v="130"/>
    <x v="0"/>
    <n v="599.44200000000001"/>
    <n v="999.07"/>
    <n v="5"/>
    <n v="1235.966169744032"/>
    <n v="4319.1966666666667"/>
    <n v="33808.5288"/>
    <n v="12228.6168"/>
    <n v="-3380.0708666666669"/>
    <n v="-0.78256933581013144"/>
  </r>
  <r>
    <n v="986"/>
    <n v="147"/>
    <d v="2023-06-25T00:00:00"/>
    <n v="5"/>
    <n v="4"/>
    <n v="4400.9471999999996"/>
    <x v="37"/>
    <x v="4"/>
    <n v="2750.5919999999996"/>
    <n v="4584.32"/>
    <n v="1"/>
    <n v="5480.1961043259889"/>
    <n v="769.14"/>
    <n v="22004.735999999997"/>
    <n v="8251.7759999999998"/>
    <n v="3631.8071999999997"/>
    <n v="4.7219065449723061"/>
  </r>
  <r>
    <n v="987"/>
    <n v="127"/>
    <d v="2024-04-21T00:00:00"/>
    <n v="38"/>
    <n v="6"/>
    <n v="5161.1264000000001"/>
    <x v="101"/>
    <x v="4"/>
    <n v="3294.3360000000002"/>
    <n v="5490.56"/>
    <n v="1"/>
    <n v="6384.6724893026021"/>
    <n v="5984.333333333333"/>
    <n v="196122.80319999999"/>
    <n v="70938.035199999998"/>
    <n v="-823.20693333333293"/>
    <n v="-0.13756034089010188"/>
  </r>
  <r>
    <n v="988"/>
    <n v="114"/>
    <d v="2024-01-05T00:00:00"/>
    <n v="19"/>
    <n v="4"/>
    <n v="7338.6335999999992"/>
    <x v="99"/>
    <x v="5"/>
    <n v="4586.6459999999997"/>
    <n v="7644.41"/>
    <n v="2"/>
    <n v="8377.3819462360971"/>
    <n v="6494.3074999999999"/>
    <n v="139434.03839999999"/>
    <n v="52287.764399999993"/>
    <n v="844.32609999999931"/>
    <n v="0.13001018199400002"/>
  </r>
  <r>
    <n v="989"/>
    <n v="91"/>
    <d v="2025-09-15T00:00:00"/>
    <n v="33"/>
    <n v="7"/>
    <n v="2941.5899999999997"/>
    <x v="35"/>
    <x v="3"/>
    <n v="1897.8"/>
    <n v="3163"/>
    <n v="2"/>
    <n v="3462.4464524255236"/>
    <n v="4782.2433333333329"/>
    <n v="97072.469999999987"/>
    <n v="34445.069999999992"/>
    <n v="-1840.6533333333332"/>
    <n v="-0.38489328230196013"/>
  </r>
  <r>
    <n v="990"/>
    <n v="57"/>
    <d v="2025-11-10T00:00:00"/>
    <n v="9"/>
    <n v="2"/>
    <n v="6675.5150000000003"/>
    <x v="55"/>
    <x v="6"/>
    <n v="4087.0499999999997"/>
    <n v="6811.75"/>
    <n v="2"/>
    <n v="7107.6146777835456"/>
    <n v="1836.9825000000001"/>
    <n v="60079.635000000002"/>
    <n v="23296.185000000005"/>
    <n v="4838.5325000000003"/>
    <n v="2.633956774220767"/>
  </r>
  <r>
    <n v="991"/>
    <n v="135"/>
    <d v="2025-03-07T00:00:00"/>
    <n v="6"/>
    <n v="4"/>
    <n v="7468.5216"/>
    <x v="140"/>
    <x v="0"/>
    <n v="4667.826"/>
    <n v="7779.71"/>
    <n v="5"/>
    <n v="9810.9014717954506"/>
    <n v="4172.7833333333338"/>
    <n v="44811.1296"/>
    <n v="16804.173600000002"/>
    <n v="3295.7382666666663"/>
    <n v="0.78981773157005497"/>
  </r>
  <r>
    <n v="992"/>
    <n v="28"/>
    <d v="2025-07-18T00:00:00"/>
    <n v="35"/>
    <n v="6"/>
    <n v="5373.6227999999992"/>
    <x v="70"/>
    <x v="0"/>
    <n v="3429.9719999999998"/>
    <n v="5716.62"/>
    <n v="5"/>
    <n v="6945.0727805270608"/>
    <n v="3542.9559999999997"/>
    <n v="188076.79799999998"/>
    <n v="68027.777999999977"/>
    <n v="1830.6667999999995"/>
    <n v="0.51670604997634739"/>
  </r>
  <r>
    <n v="993"/>
    <n v="134"/>
    <d v="2025-01-12T00:00:00"/>
    <n v="10"/>
    <n v="9"/>
    <n v="611.7111000000001"/>
    <x v="121"/>
    <x v="5"/>
    <n v="403.32600000000002"/>
    <n v="672.21"/>
    <n v="1"/>
    <n v="720.84834165723385"/>
    <n v="4666.126666666667"/>
    <n v="6117.1110000000008"/>
    <n v="2083.8510000000006"/>
    <n v="-4054.415566666667"/>
    <n v="-0.86890388030614973"/>
  </r>
  <r>
    <n v="994"/>
    <n v="94"/>
    <d v="2023-04-23T00:00:00"/>
    <n v="8"/>
    <n v="4"/>
    <n v="4466.6687999999995"/>
    <x v="8"/>
    <x v="4"/>
    <n v="2791.6679999999997"/>
    <n v="4652.78"/>
    <n v="1"/>
    <n v="4724.3749027650156"/>
    <n v="6485.5883333333331"/>
    <n v="35733.350399999996"/>
    <n v="13400.006399999998"/>
    <n v="-2018.9195333333337"/>
    <n v="-0.31129319802135663"/>
  </r>
  <r>
    <n v="995"/>
    <n v="91"/>
    <d v="2025-11-14T00:00:00"/>
    <n v="1"/>
    <n v="3"/>
    <n v="3068.11"/>
    <x v="35"/>
    <x v="3"/>
    <n v="1897.8"/>
    <n v="3163"/>
    <n v="2"/>
    <n v="3609.1711394618846"/>
    <n v="4782.2433333333329"/>
    <n v="3068.11"/>
    <n v="1170.3100000000002"/>
    <n v="-1714.1333333333328"/>
    <n v="-0.35843707939021635"/>
  </r>
  <r>
    <n v="996"/>
    <n v="88"/>
    <d v="2025-01-23T00:00:00"/>
    <n v="4"/>
    <n v="5"/>
    <n v="5924.5135"/>
    <x v="116"/>
    <x v="5"/>
    <n v="3741.7979999999998"/>
    <n v="6236.33"/>
    <n v="5"/>
    <n v="7706.007599839525"/>
    <n v="4981.5050000000001"/>
    <n v="23698.054"/>
    <n v="8730.862000000001"/>
    <n v="943.00849999999991"/>
    <n v="0.18930192783104702"/>
  </r>
  <r>
    <n v="997"/>
    <n v="40"/>
    <d v="2023-10-31T00:00:00"/>
    <n v="36"/>
    <n v="7"/>
    <n v="457.81109999999995"/>
    <x v="9"/>
    <x v="3"/>
    <n v="295.36199999999997"/>
    <n v="492.27"/>
    <n v="1"/>
    <n v="562.94097536342758"/>
    <n v="603.70600000000002"/>
    <n v="16481.1996"/>
    <n v="5848.1675999999998"/>
    <n v="-145.89490000000006"/>
    <n v="-0.24166547955461776"/>
  </r>
  <r>
    <n v="998"/>
    <n v="34"/>
    <d v="2024-11-19T00:00:00"/>
    <n v="35"/>
    <n v="7"/>
    <n v="1212.1527000000001"/>
    <x v="23"/>
    <x v="1"/>
    <n v="782.03399999999999"/>
    <n v="1303.3900000000001"/>
    <n v="2"/>
    <n v="1355.9980655175636"/>
    <n v="4145.4440000000004"/>
    <n v="42425.344500000007"/>
    <n v="15054.154500000004"/>
    <n v="-2933.2913000000003"/>
    <n v="-0.70759399958122704"/>
  </r>
  <r>
    <n v="999"/>
    <n v="65"/>
    <d v="2023-02-26T00:00:00"/>
    <n v="43"/>
    <n v="6"/>
    <n v="4240.6783999999998"/>
    <x v="90"/>
    <x v="2"/>
    <n v="2706.8159999999998"/>
    <n v="4511.3599999999997"/>
    <n v="1"/>
    <n v="4696.6957823121211"/>
    <n v="1786.8475000000001"/>
    <n v="182349.17119999998"/>
    <n v="65956.083199999994"/>
    <n v="2453.8308999999999"/>
    <n v="1.3732738244310159"/>
  </r>
  <r>
    <n v="1000"/>
    <n v="134"/>
    <d v="2025-01-18T00:00:00"/>
    <n v="17"/>
    <n v="5"/>
    <n v="638.59950000000003"/>
    <x v="121"/>
    <x v="5"/>
    <n v="403.32600000000002"/>
    <n v="672.21"/>
    <n v="1"/>
    <n v="703.02474615164147"/>
    <n v="4666.126666666667"/>
    <n v="10856.191500000001"/>
    <n v="3999.6495000000004"/>
    <n v="-4027.5271666666667"/>
    <n v="-0.86314141350641993"/>
  </r>
</pivotCacheRecords>
</file>

<file path=xl/pivotCache/pivotCacheRecords2.xml><?xml version="1.0" encoding="utf-8"?>
<pivotCacheRecords xmlns="http://schemas.openxmlformats.org/spreadsheetml/2006/main" xmlns:r="http://schemas.openxmlformats.org/officeDocument/2006/relationships" count="1002">
  <r>
    <n v="1"/>
    <n v="90"/>
    <x v="0"/>
    <n v="12"/>
    <n v="4"/>
    <n v="1321.6415999999999"/>
    <x v="0"/>
    <x v="0"/>
    <n v="826.02599999999995"/>
    <n v="1376.71"/>
    <x v="0"/>
    <n v="1699.0295056587011"/>
    <n v="2414.7550000000001"/>
    <n v="15859.699199999999"/>
    <n v="5947.3871999999992"/>
    <n v="-1093.1134000000002"/>
    <n v="-0.45268087238663968"/>
    <n v="0.37499999999999994"/>
  </r>
  <r>
    <n v="2"/>
    <n v="117"/>
    <x v="1"/>
    <n v="35"/>
    <n v="2"/>
    <n v="2084.6363999999999"/>
    <x v="1"/>
    <x v="0"/>
    <n v="1276.3079999999998"/>
    <n v="2127.1799999999998"/>
    <x v="1"/>
    <n v="2180.6767120645877"/>
    <n v="892.9766666666668"/>
    <n v="72962.27399999999"/>
    <n v="28291.494000000002"/>
    <n v="1191.659733333333"/>
    <n v="1.3344802589093401"/>
    <n v="0.38775510204081642"/>
  </r>
  <r>
    <n v="3"/>
    <n v="27"/>
    <x v="2"/>
    <n v="14"/>
    <n v="2"/>
    <n v="1590.442"/>
    <x v="2"/>
    <x v="1"/>
    <n v="973.74"/>
    <n v="1622.9"/>
    <x v="1"/>
    <n v="1917.2435766720898"/>
    <n v="4440.416666666667"/>
    <n v="22266.188000000002"/>
    <n v="8633.8279999999995"/>
    <n v="-2849.974666666667"/>
    <n v="-0.64182595477151172"/>
    <n v="0.38775510204081626"/>
  </r>
  <r>
    <n v="4"/>
    <n v="48"/>
    <x v="3"/>
    <n v="9"/>
    <n v="3"/>
    <n v="3577.6219000000001"/>
    <x v="3"/>
    <x v="0"/>
    <n v="2212.962"/>
    <n v="3688.27"/>
    <x v="0"/>
    <n v="4431.3785900419116"/>
    <n v="1050.3625000000002"/>
    <n v="32198.597099999999"/>
    <n v="12281.939100000001"/>
    <n v="2527.2593999999999"/>
    <n v="2.4060830427590472"/>
    <n v="0.3814432989690722"/>
  </r>
  <r>
    <n v="5"/>
    <n v="121"/>
    <x v="4"/>
    <n v="49"/>
    <n v="6"/>
    <n v="1422.3892000000001"/>
    <x v="4"/>
    <x v="2"/>
    <n v="907.90800000000002"/>
    <n v="1513.18"/>
    <x v="2"/>
    <n v="1861.0268517288393"/>
    <n v="2967.0200000000004"/>
    <n v="69697.070800000001"/>
    <n v="25209.578800000003"/>
    <n v="-1544.6308000000004"/>
    <n v="-0.52060006336323994"/>
    <n v="0.36170212765957449"/>
  </r>
  <r>
    <n v="6"/>
    <n v="101"/>
    <x v="5"/>
    <n v="48"/>
    <n v="5"/>
    <n v="4484.2754999999997"/>
    <x v="5"/>
    <x v="3"/>
    <n v="2832.174"/>
    <n v="4720.29"/>
    <x v="2"/>
    <n v="5898.9922553366441"/>
    <n v="6068.0179999999991"/>
    <n v="215245.22399999999"/>
    <n v="79300.871999999988"/>
    <n v="-1583.7424999999994"/>
    <n v="-0.26099831938534124"/>
    <n v="0.36842105263157893"/>
  </r>
  <r>
    <n v="7"/>
    <n v="117"/>
    <x v="6"/>
    <n v="47"/>
    <n v="2"/>
    <n v="2084.6363999999999"/>
    <x v="1"/>
    <x v="0"/>
    <n v="1276.3079999999998"/>
    <n v="2127.1799999999998"/>
    <x v="1"/>
    <n v="2707.9822271587777"/>
    <n v="892.9766666666668"/>
    <n v="97977.910799999998"/>
    <n v="37991.434800000003"/>
    <n v="1191.659733333333"/>
    <n v="1.3344802589093401"/>
    <n v="0.38775510204081637"/>
  </r>
  <r>
    <n v="8"/>
    <n v="22"/>
    <x v="7"/>
    <n v="5"/>
    <n v="10"/>
    <n v="1471.05"/>
    <x v="6"/>
    <x v="3"/>
    <n v="980.69999999999993"/>
    <n v="1634.5"/>
    <x v="1"/>
    <n v="2000.6675032512262"/>
    <n v="3187.4450000000002"/>
    <n v="7355.25"/>
    <n v="2451.75"/>
    <n v="-1716.3950000000002"/>
    <n v="-0.5384861542708973"/>
    <n v="0.33333333333333331"/>
  </r>
  <r>
    <n v="9"/>
    <n v="82"/>
    <x v="8"/>
    <n v="50"/>
    <n v="4"/>
    <n v="1220.3712"/>
    <x v="7"/>
    <x v="4"/>
    <n v="762.73199999999997"/>
    <n v="1271.22"/>
    <x v="2"/>
    <n v="1619.9943907723007"/>
    <n v="2617.7080000000001"/>
    <n v="61018.560000000005"/>
    <n v="22881.960000000003"/>
    <n v="-1397.3368"/>
    <n v="-0.53380163104517386"/>
    <n v="0.375"/>
  </r>
  <r>
    <n v="10"/>
    <n v="94"/>
    <x v="9"/>
    <n v="16"/>
    <n v="5"/>
    <n v="4420.1409999999996"/>
    <x v="8"/>
    <x v="4"/>
    <n v="2791.6679999999997"/>
    <n v="4652.78"/>
    <x v="1"/>
    <n v="6003.687204656112"/>
    <n v="6485.5883333333331"/>
    <n v="70722.255999999994"/>
    <n v="26055.567999999999"/>
    <n v="-2065.4473333333335"/>
    <n v="-0.31846722720863413"/>
    <n v="0.36842105263157898"/>
  </r>
  <r>
    <n v="11"/>
    <n v="40"/>
    <x v="10"/>
    <n v="3"/>
    <n v="7"/>
    <n v="457.81109999999995"/>
    <x v="9"/>
    <x v="3"/>
    <n v="295.36199999999997"/>
    <n v="492.27"/>
    <x v="1"/>
    <n v="564.49762636894377"/>
    <n v="603.70600000000002"/>
    <n v="1373.4332999999999"/>
    <n v="487.34729999999996"/>
    <n v="-145.89490000000006"/>
    <n v="-0.24166547955461776"/>
    <n v="0.35483870967741937"/>
  </r>
  <r>
    <n v="12"/>
    <n v="50"/>
    <x v="11"/>
    <n v="47"/>
    <n v="9"/>
    <n v="1234.597"/>
    <x v="10"/>
    <x v="1"/>
    <n v="814.02"/>
    <n v="1356.7"/>
    <x v="3"/>
    <n v="1594.9774542225766"/>
    <n v="4909.6483333333335"/>
    <n v="58026.059000000001"/>
    <n v="19767.118999999999"/>
    <n v="-3675.0513333333338"/>
    <n v="-0.74853657203553958"/>
    <n v="0.34065934065934061"/>
  </r>
  <r>
    <n v="13"/>
    <n v="32"/>
    <x v="12"/>
    <n v="28"/>
    <n v="4"/>
    <n v="911.00160000000005"/>
    <x v="11"/>
    <x v="2"/>
    <n v="569.37599999999998"/>
    <n v="948.96"/>
    <x v="0"/>
    <n v="1086.3976234088668"/>
    <n v="2168.4866666666671"/>
    <n v="25508.044800000003"/>
    <n v="9565.5168000000012"/>
    <n v="-1257.4850666666671"/>
    <n v="-0.57989061496035643"/>
    <n v="0.375"/>
  </r>
  <r>
    <n v="14"/>
    <n v="103"/>
    <x v="13"/>
    <n v="48"/>
    <n v="6"/>
    <n v="6029.2069999999994"/>
    <x v="12"/>
    <x v="1"/>
    <n v="3848.43"/>
    <n v="6414.05"/>
    <x v="0"/>
    <n v="7552.4105149473226"/>
    <n v="6457.8324999999995"/>
    <n v="289401.93599999999"/>
    <n v="104677.29599999997"/>
    <n v="-428.6255000000001"/>
    <n v="-6.6372966471335407E-2"/>
    <n v="0.36170212765957438"/>
  </r>
  <r>
    <n v="15"/>
    <n v="90"/>
    <x v="14"/>
    <n v="39"/>
    <n v="10"/>
    <n v="1239.039"/>
    <x v="0"/>
    <x v="0"/>
    <n v="826.02599999999995"/>
    <n v="1376.71"/>
    <x v="0"/>
    <n v="1644.1659856048841"/>
    <n v="2414.7550000000001"/>
    <n v="48322.521000000001"/>
    <n v="16107.507000000001"/>
    <n v="-1175.7160000000001"/>
    <n v="-0.48688831786247466"/>
    <n v="0.33333333333333337"/>
  </r>
  <r>
    <n v="16"/>
    <n v="138"/>
    <x v="15"/>
    <n v="38"/>
    <n v="7"/>
    <n v="2875.0856999999996"/>
    <x v="13"/>
    <x v="4"/>
    <n v="1854.8939999999998"/>
    <n v="3091.49"/>
    <x v="4"/>
    <n v="3519.954309712492"/>
    <n v="4980.4933333333329"/>
    <n v="109253.25659999999"/>
    <n v="38767.284599999992"/>
    <n v="-2105.4076333333333"/>
    <n v="-0.42273074019441181"/>
    <n v="0.35483870967741932"/>
  </r>
  <r>
    <n v="17"/>
    <n v="149"/>
    <x v="16"/>
    <n v="8"/>
    <n v="8"/>
    <n v="5637.5576000000001"/>
    <x v="14"/>
    <x v="5"/>
    <n v="3676.6679999999997"/>
    <n v="6127.78"/>
    <x v="0"/>
    <n v="6278.6229134007526"/>
    <n v="3159.4639999999999"/>
    <n v="45100.460800000001"/>
    <n v="15687.116800000003"/>
    <n v="2478.0936000000002"/>
    <n v="0.78433987537126559"/>
    <n v="0.34782608695652178"/>
  </r>
  <r>
    <n v="18"/>
    <n v="87"/>
    <x v="17"/>
    <n v="29"/>
    <n v="2"/>
    <n v="4012.2375999999999"/>
    <x v="15"/>
    <x v="5"/>
    <n v="2456.4719999999998"/>
    <n v="4094.12"/>
    <x v="2"/>
    <n v="5273.0848006779634"/>
    <n v="493.79250000000002"/>
    <n v="116354.8904"/>
    <n v="45117.202400000002"/>
    <n v="3518.4450999999999"/>
    <n v="7.1253514381040617"/>
    <n v="0.38775510204081631"/>
  </r>
  <r>
    <n v="19"/>
    <n v="11"/>
    <x v="18"/>
    <n v="41"/>
    <n v="8"/>
    <n v="2944.1839999999997"/>
    <x v="16"/>
    <x v="1"/>
    <n v="1920.12"/>
    <n v="3200.2"/>
    <x v="1"/>
    <n v="3867.3816197861242"/>
    <n v="7089.33"/>
    <n v="120711.54399999999"/>
    <n v="41986.623999999996"/>
    <n v="-4145.1460000000006"/>
    <n v="-0.58470208045047989"/>
    <n v="0.34782608695652173"/>
  </r>
  <r>
    <n v="20"/>
    <n v="56"/>
    <x v="19"/>
    <n v="27"/>
    <n v="4"/>
    <n v="7662.5280000000002"/>
    <x v="17"/>
    <x v="5"/>
    <n v="4789.08"/>
    <n v="7981.8"/>
    <x v="4"/>
    <n v="8646.4864141835442"/>
    <n v="3458.9274999999998"/>
    <n v="206888.25599999999"/>
    <n v="77583.096000000005"/>
    <n v="4203.6005000000005"/>
    <n v="1.2152901441270454"/>
    <n v="0.37500000000000006"/>
  </r>
  <r>
    <n v="21"/>
    <n v="51"/>
    <x v="20"/>
    <n v="19"/>
    <n v="9"/>
    <n v="958.11169999999993"/>
    <x v="18"/>
    <x v="5"/>
    <n v="631.72199999999987"/>
    <n v="1052.8699999999999"/>
    <x v="2"/>
    <n v="1191.177403714194"/>
    <n v="5383.6833333333334"/>
    <n v="18204.122299999999"/>
    <n v="6201.4043000000011"/>
    <n v="-4425.571633333333"/>
    <n v="-0.82203416496141113"/>
    <n v="0.34065934065934073"/>
  </r>
  <r>
    <n v="22"/>
    <n v="112"/>
    <x v="21"/>
    <n v="15"/>
    <n v="2"/>
    <n v="2679.7217999999998"/>
    <x v="19"/>
    <x v="6"/>
    <n v="1640.646"/>
    <n v="2734.41"/>
    <x v="1"/>
    <n v="3529.7057069167877"/>
    <n v="7409.5025000000005"/>
    <n v="40195.826999999997"/>
    <n v="15586.136999999997"/>
    <n v="-4729.7807000000012"/>
    <n v="-0.63833984805322641"/>
    <n v="0.38775510204081626"/>
  </r>
  <r>
    <n v="23"/>
    <n v="9"/>
    <x v="22"/>
    <n v="2"/>
    <n v="2"/>
    <n v="2806.5729999999999"/>
    <x v="20"/>
    <x v="0"/>
    <n v="1718.31"/>
    <n v="2863.85"/>
    <x v="4"/>
    <n v="2889.339709162"/>
    <n v="6325.1699999999992"/>
    <n v="5613.1459999999997"/>
    <n v="2176.5259999999998"/>
    <n v="-3518.5969999999993"/>
    <n v="-0.55628496941584171"/>
    <n v="0.38775510204081631"/>
  </r>
  <r>
    <n v="24"/>
    <n v="90"/>
    <x v="23"/>
    <n v="35"/>
    <n v="4"/>
    <n v="1321.6415999999999"/>
    <x v="0"/>
    <x v="0"/>
    <n v="826.02599999999995"/>
    <n v="1376.71"/>
    <x v="0"/>
    <n v="1463.8996313463581"/>
    <n v="2414.7550000000001"/>
    <n v="46257.455999999998"/>
    <n v="17346.545999999998"/>
    <n v="-1093.1134000000002"/>
    <n v="-0.45268087238663968"/>
    <n v="0.375"/>
  </r>
  <r>
    <n v="25"/>
    <n v="100"/>
    <x v="24"/>
    <n v="42"/>
    <n v="3"/>
    <n v="3961.3442"/>
    <x v="21"/>
    <x v="3"/>
    <n v="2450.3159999999998"/>
    <n v="4083.86"/>
    <x v="3"/>
    <n v="5167.3688742198956"/>
    <n v="3659.5875000000001"/>
    <n v="166376.4564"/>
    <n v="63463.184400000006"/>
    <n v="301.75669999999991"/>
    <n v="8.2456479043061526E-2"/>
    <n v="0.3814432989690722"/>
  </r>
  <r>
    <n v="26"/>
    <n v="125"/>
    <x v="25"/>
    <n v="10"/>
    <n v="10"/>
    <n v="3915.9629999999997"/>
    <x v="22"/>
    <x v="0"/>
    <n v="2610.6419999999998"/>
    <n v="4351.07"/>
    <x v="4"/>
    <n v="4602.4790969098358"/>
    <n v="5094.8040000000001"/>
    <n v="39159.629999999997"/>
    <n v="13053.21"/>
    <n v="-1178.8410000000003"/>
    <n v="-0.23138103055583695"/>
    <n v="0.33333333333333331"/>
  </r>
  <r>
    <n v="27"/>
    <n v="34"/>
    <x v="26"/>
    <n v="50"/>
    <n v="10"/>
    <n v="1173.0510000000002"/>
    <x v="23"/>
    <x v="1"/>
    <n v="782.03399999999999"/>
    <n v="1303.3900000000001"/>
    <x v="2"/>
    <n v="1411.9481890241295"/>
    <n v="4145.4440000000004"/>
    <n v="58652.55000000001"/>
    <n v="19550.850000000009"/>
    <n v="-2972.393"/>
    <n v="-0.71702645120763897"/>
    <n v="0.33333333333333343"/>
  </r>
  <r>
    <n v="28"/>
    <n v="7"/>
    <x v="27"/>
    <n v="33"/>
    <n v="4"/>
    <n v="8030.2079999999987"/>
    <x v="24"/>
    <x v="3"/>
    <n v="5018.8799999999992"/>
    <n v="8364.7999999999993"/>
    <x v="1"/>
    <n v="8959.6505068265269"/>
    <n v="1679.8333333333333"/>
    <n v="264996.86399999994"/>
    <n v="99373.823999999979"/>
    <n v="6350.3746666666657"/>
    <n v="3.7803599563448751"/>
    <n v="0.375"/>
  </r>
  <r>
    <n v="29"/>
    <n v="139"/>
    <x v="28"/>
    <n v="36"/>
    <n v="4"/>
    <n v="2487.4367999999999"/>
    <x v="25"/>
    <x v="3"/>
    <n v="1554.6479999999999"/>
    <n v="2591.08"/>
    <x v="4"/>
    <n v="2896.6437403686587"/>
    <n v="2839.1733333333336"/>
    <n v="89547.724799999996"/>
    <n v="33580.396800000002"/>
    <n v="-351.73653333333368"/>
    <n v="-0.12388695300979639"/>
    <n v="0.37500000000000006"/>
  </r>
  <r>
    <n v="30"/>
    <n v="56"/>
    <x v="29"/>
    <n v="48"/>
    <n v="7"/>
    <n v="7423.0739999999996"/>
    <x v="17"/>
    <x v="5"/>
    <n v="4789.08"/>
    <n v="7981.8"/>
    <x v="4"/>
    <n v="8609.6429505551496"/>
    <n v="3458.9274999999998"/>
    <n v="356307.55199999997"/>
    <n v="126431.71199999998"/>
    <n v="3964.1464999999998"/>
    <n v="1.146062327123075"/>
    <n v="0.35483870967741937"/>
  </r>
  <r>
    <n v="31"/>
    <n v="78"/>
    <x v="30"/>
    <n v="13"/>
    <n v="8"/>
    <n v="796.48080000000004"/>
    <x v="26"/>
    <x v="2"/>
    <n v="519.44399999999996"/>
    <n v="865.74"/>
    <x v="0"/>
    <n v="990.75602535731639"/>
    <n v="398.392"/>
    <n v="10354.250400000001"/>
    <n v="3601.4784000000009"/>
    <n v="398.08880000000005"/>
    <n v="0.99923894054097484"/>
    <n v="0.34782608695652178"/>
  </r>
  <r>
    <n v="32"/>
    <n v="15"/>
    <x v="31"/>
    <n v="11"/>
    <n v="10"/>
    <n v="4357.3319999999994"/>
    <x v="27"/>
    <x v="4"/>
    <n v="2904.8879999999995"/>
    <n v="4841.4799999999996"/>
    <x v="0"/>
    <n v="5684.322129519609"/>
    <n v="5242.3433333333332"/>
    <n v="47930.651999999995"/>
    <n v="15976.884"/>
    <n v="-885.01133333333382"/>
    <n v="-0.16881979623616167"/>
    <n v="0.33333333333333337"/>
  </r>
  <r>
    <n v="33"/>
    <n v="15"/>
    <x v="32"/>
    <n v="12"/>
    <n v="10"/>
    <n v="4357.3319999999994"/>
    <x v="27"/>
    <x v="4"/>
    <n v="2904.8879999999995"/>
    <n v="4841.4799999999996"/>
    <x v="0"/>
    <n v="5835.1126196461673"/>
    <n v="5242.3433333333332"/>
    <n v="52287.983999999997"/>
    <n v="17429.328000000001"/>
    <n v="-885.01133333333382"/>
    <n v="-0.16881979623616167"/>
    <n v="0.33333333333333337"/>
  </r>
  <r>
    <n v="34"/>
    <n v="83"/>
    <x v="33"/>
    <n v="33"/>
    <n v="4"/>
    <n v="3663.7727999999997"/>
    <x v="28"/>
    <x v="6"/>
    <n v="2289.8579999999997"/>
    <n v="3816.43"/>
    <x v="2"/>
    <n v="4399.3974956996908"/>
    <n v="2990.2349999999997"/>
    <n v="120904.5024"/>
    <n v="45339.188399999999"/>
    <n v="673.53780000000006"/>
    <n v="0.22524577499761728"/>
    <n v="0.375"/>
  </r>
  <r>
    <n v="35"/>
    <n v="150"/>
    <x v="34"/>
    <n v="1"/>
    <n v="6"/>
    <n v="2152.3367999999996"/>
    <x v="29"/>
    <x v="1"/>
    <n v="1373.8319999999999"/>
    <n v="2289.7199999999998"/>
    <x v="3"/>
    <n v="2435.8314442435199"/>
    <n v="1810.3166666666666"/>
    <n v="2152.3367999999996"/>
    <n v="778.5047999999997"/>
    <n v="342.02013333333298"/>
    <n v="0.18892834586950699"/>
    <n v="0.36170212765957438"/>
  </r>
  <r>
    <n v="36"/>
    <n v="136"/>
    <x v="35"/>
    <n v="45"/>
    <n v="6"/>
    <n v="4846.9877999999999"/>
    <x v="30"/>
    <x v="3"/>
    <n v="3093.8219999999997"/>
    <n v="5156.37"/>
    <x v="3"/>
    <n v="6438.1803309003426"/>
    <n v="5805.195999999999"/>
    <n v="218114.451"/>
    <n v="78892.46100000001"/>
    <n v="-958.20819999999912"/>
    <n v="-0.16506043895847777"/>
    <n v="0.36170212765957449"/>
  </r>
  <r>
    <n v="37"/>
    <n v="64"/>
    <x v="36"/>
    <n v="24"/>
    <n v="10"/>
    <n v="2880"/>
    <x v="31"/>
    <x v="2"/>
    <n v="1920"/>
    <n v="3200"/>
    <x v="2"/>
    <n v="3784.714342506802"/>
    <n v="3782.0099999999998"/>
    <n v="69120"/>
    <n v="23040"/>
    <n v="-902.00999999999976"/>
    <n v="-0.2385001626119444"/>
    <n v="0.33333333333333331"/>
  </r>
  <r>
    <n v="38"/>
    <n v="9"/>
    <x v="37"/>
    <n v="10"/>
    <n v="2"/>
    <n v="2806.5729999999999"/>
    <x v="20"/>
    <x v="0"/>
    <n v="1718.31"/>
    <n v="2863.85"/>
    <x v="4"/>
    <n v="3013.7214708972192"/>
    <n v="6325.1699999999992"/>
    <n v="28065.73"/>
    <n v="10882.63"/>
    <n v="-3518.5969999999993"/>
    <n v="-0.55628496941584171"/>
    <n v="0.38775510204081631"/>
  </r>
  <r>
    <n v="39"/>
    <n v="24"/>
    <x v="38"/>
    <n v="10"/>
    <n v="5"/>
    <n v="3796.694"/>
    <x v="32"/>
    <x v="7"/>
    <n v="2397.9119999999998"/>
    <n v="3996.52"/>
    <x v="0"/>
    <n v="4325.1856137396662"/>
    <n v="3028.7733333333331"/>
    <n v="37966.94"/>
    <n v="13987.820000000002"/>
    <n v="767.92066666666688"/>
    <n v="0.25354180790463032"/>
    <n v="0.36842105263157898"/>
  </r>
  <r>
    <n v="40"/>
    <n v="64"/>
    <x v="39"/>
    <n v="22"/>
    <n v="10"/>
    <n v="2880"/>
    <x v="31"/>
    <x v="2"/>
    <n v="1920"/>
    <n v="3200"/>
    <x v="2"/>
    <n v="3550.6331518739089"/>
    <n v="3782.0099999999998"/>
    <n v="63360"/>
    <n v="21120"/>
    <n v="-902.00999999999976"/>
    <n v="-0.2385001626119444"/>
    <n v="0.33333333333333331"/>
  </r>
  <r>
    <n v="41"/>
    <n v="10"/>
    <x v="40"/>
    <n v="27"/>
    <n v="6"/>
    <n v="2629.4525999999996"/>
    <x v="33"/>
    <x v="3"/>
    <n v="1678.374"/>
    <n v="2797.29"/>
    <x v="0"/>
    <n v="3134.9333696643325"/>
    <n v="6310.5433333333322"/>
    <n v="70995.220199999996"/>
    <n v="25679.122199999991"/>
    <n v="-3681.0907333333325"/>
    <n v="-0.58332389762529691"/>
    <n v="0.36170212765957438"/>
  </r>
  <r>
    <n v="42"/>
    <n v="112"/>
    <x v="41"/>
    <n v="27"/>
    <n v="10"/>
    <n v="2460.9690000000001"/>
    <x v="19"/>
    <x v="6"/>
    <n v="1640.646"/>
    <n v="2734.41"/>
    <x v="1"/>
    <n v="3353.8592969232068"/>
    <n v="7409.5025000000005"/>
    <n v="66446.163"/>
    <n v="22148.721000000001"/>
    <n v="-4948.5335000000005"/>
    <n v="-0.66786312576316698"/>
    <n v="0.33333333333333337"/>
  </r>
  <r>
    <n v="43"/>
    <n v="6"/>
    <x v="42"/>
    <n v="50"/>
    <n v="3"/>
    <n v="4001.4246000000003"/>
    <x v="34"/>
    <x v="0"/>
    <n v="2475.1080000000002"/>
    <n v="4125.18"/>
    <x v="4"/>
    <n v="4948.0726964442483"/>
    <n v="6862.0275000000001"/>
    <n v="200071.23"/>
    <n v="76315.83"/>
    <n v="-2860.6028999999999"/>
    <n v="-0.41687429844896423"/>
    <n v="0.38144329896907214"/>
  </r>
  <r>
    <n v="44"/>
    <n v="91"/>
    <x v="43"/>
    <n v="24"/>
    <n v="9"/>
    <n v="2878.33"/>
    <x v="35"/>
    <x v="3"/>
    <n v="1897.8"/>
    <n v="3163"/>
    <x v="2"/>
    <n v="3564.1936419637168"/>
    <n v="4782.2433333333329"/>
    <n v="69079.92"/>
    <n v="23532.720000000001"/>
    <n v="-1903.913333333333"/>
    <n v="-0.3981213837578319"/>
    <n v="0.34065934065934067"/>
  </r>
  <r>
    <n v="45"/>
    <n v="60"/>
    <x v="44"/>
    <n v="4"/>
    <n v="9"/>
    <n v="2523.0751"/>
    <x v="36"/>
    <x v="2"/>
    <n v="1663.566"/>
    <n v="2772.61"/>
    <x v="2"/>
    <n v="2802.0788128058703"/>
    <n v="3047.7533333333336"/>
    <n v="10092.3004"/>
    <n v="3438.0364"/>
    <n v="-524.67823333333354"/>
    <n v="-0.17215245984473815"/>
    <n v="0.34065934065934067"/>
  </r>
  <r>
    <n v="46"/>
    <n v="125"/>
    <x v="45"/>
    <n v="14"/>
    <n v="7"/>
    <n v="4046.4950999999996"/>
    <x v="22"/>
    <x v="0"/>
    <n v="2610.6419999999998"/>
    <n v="4351.07"/>
    <x v="4"/>
    <n v="4688.0643522763348"/>
    <n v="5094.8040000000001"/>
    <n v="56650.931399999994"/>
    <n v="20101.943399999996"/>
    <n v="-1048.3089000000004"/>
    <n v="-0.20576039824103154"/>
    <n v="0.35483870967741932"/>
  </r>
  <r>
    <n v="47"/>
    <n v="147"/>
    <x v="46"/>
    <n v="17"/>
    <n v="4"/>
    <n v="4400.9471999999996"/>
    <x v="37"/>
    <x v="4"/>
    <n v="2750.5919999999996"/>
    <n v="4584.32"/>
    <x v="1"/>
    <n v="5277.8889389916885"/>
    <n v="769.14"/>
    <n v="74816.102399999989"/>
    <n v="28056.038399999998"/>
    <n v="3631.8071999999997"/>
    <n v="4.7219065449723061"/>
    <n v="0.375"/>
  </r>
  <r>
    <n v="48"/>
    <n v="78"/>
    <x v="6"/>
    <n v="3"/>
    <n v="7"/>
    <n v="805.13819999999998"/>
    <x v="26"/>
    <x v="2"/>
    <n v="519.44399999999996"/>
    <n v="865.74"/>
    <x v="0"/>
    <n v="962.74127951312835"/>
    <n v="398.392"/>
    <n v="2415.4146000000001"/>
    <n v="857.08260000000007"/>
    <n v="406.74619999999999"/>
    <n v="1.0209697985903332"/>
    <n v="0.35483870967741937"/>
  </r>
  <r>
    <n v="49"/>
    <n v="138"/>
    <x v="47"/>
    <n v="42"/>
    <n v="10"/>
    <n v="2782.3409999999999"/>
    <x v="13"/>
    <x v="4"/>
    <n v="1854.8939999999998"/>
    <n v="3091.49"/>
    <x v="4"/>
    <n v="3153.8614469437111"/>
    <n v="4980.4933333333329"/>
    <n v="116858.322"/>
    <n v="38952.774000000005"/>
    <n v="-2198.152333333333"/>
    <n v="-0.44135232922039846"/>
    <n v="0.33333333333333337"/>
  </r>
  <r>
    <n v="50"/>
    <n v="25"/>
    <x v="48"/>
    <n v="11"/>
    <n v="4"/>
    <n v="545.44319999999993"/>
    <x v="38"/>
    <x v="4"/>
    <n v="340.90199999999999"/>
    <n v="568.16999999999996"/>
    <x v="1"/>
    <n v="681.85416908000354"/>
    <n v="2024.2300000000002"/>
    <n v="5999.8751999999995"/>
    <n v="2249.9531999999995"/>
    <n v="-1478.7868000000003"/>
    <n v="-0.73054287309248467"/>
    <n v="0.37499999999999994"/>
  </r>
  <r>
    <n v="51"/>
    <n v="86"/>
    <x v="49"/>
    <n v="4"/>
    <n v="3"/>
    <n v="3029.2226999999998"/>
    <x v="39"/>
    <x v="1"/>
    <n v="1873.7459999999999"/>
    <n v="3122.91"/>
    <x v="0"/>
    <n v="3941.7149074100921"/>
    <n v="2919.076"/>
    <n v="12116.890799999999"/>
    <n v="4621.9067999999997"/>
    <n v="110.14669999999978"/>
    <n v="3.7733412901890799E-2"/>
    <n v="0.38144329896907214"/>
  </r>
  <r>
    <n v="52"/>
    <n v="133"/>
    <x v="50"/>
    <n v="22"/>
    <n v="8"/>
    <n v="6076.5079999999998"/>
    <x v="40"/>
    <x v="1"/>
    <n v="3962.9399999999996"/>
    <n v="6604.9"/>
    <x v="0"/>
    <n v="6922.120712923107"/>
    <n v="4666.1933333333336"/>
    <n v="133683.17600000001"/>
    <n v="46498.496000000006"/>
    <n v="1410.3146666666662"/>
    <n v="0.30224094158121739"/>
    <n v="0.34782608695652178"/>
  </r>
  <r>
    <n v="53"/>
    <n v="63"/>
    <x v="51"/>
    <n v="38"/>
    <n v="4"/>
    <n v="6721.6992"/>
    <x v="41"/>
    <x v="7"/>
    <n v="4201.0619999999999"/>
    <n v="7001.77"/>
    <x v="0"/>
    <n v="8552.5376828962453"/>
    <n v="4859.22"/>
    <n v="255424.56959999999"/>
    <n v="95784.213600000003"/>
    <n v="1862.4791999999998"/>
    <n v="0.38328768814748038"/>
    <n v="0.37500000000000006"/>
  </r>
  <r>
    <n v="54"/>
    <n v="85"/>
    <x v="52"/>
    <n v="21"/>
    <n v="6"/>
    <n v="3527.8481999999999"/>
    <x v="42"/>
    <x v="3"/>
    <n v="2251.8180000000002"/>
    <n v="3753.03"/>
    <x v="1"/>
    <n v="4127.6575495593706"/>
    <n v="3340.25"/>
    <n v="74084.8122"/>
    <n v="26796.634199999993"/>
    <n v="187.59819999999991"/>
    <n v="5.6162921936980734E-2"/>
    <n v="0.36170212765957438"/>
  </r>
  <r>
    <n v="55"/>
    <n v="59"/>
    <x v="53"/>
    <n v="26"/>
    <n v="4"/>
    <n v="3984.4895999999999"/>
    <x v="43"/>
    <x v="5"/>
    <n v="2490.306"/>
    <n v="4150.51"/>
    <x v="3"/>
    <n v="4880.7409081700916"/>
    <n v="6105.9674999999997"/>
    <n v="103596.72959999999"/>
    <n v="38848.773599999993"/>
    <n v="-2121.4778999999999"/>
    <n v="-0.34744336585479696"/>
    <n v="0.37499999999999994"/>
  </r>
  <r>
    <n v="56"/>
    <n v="104"/>
    <x v="54"/>
    <n v="34"/>
    <n v="7"/>
    <n v="3007.2015000000001"/>
    <x v="44"/>
    <x v="2"/>
    <n v="1940.13"/>
    <n v="3233.55"/>
    <x v="1"/>
    <n v="3875.5372944373962"/>
    <n v="5121.3466666666664"/>
    <n v="102244.85100000001"/>
    <n v="36280.430999999997"/>
    <n v="-2114.1451666666662"/>
    <n v="-0.41281040012913262"/>
    <n v="0.35483870967741932"/>
  </r>
  <r>
    <n v="57"/>
    <n v="119"/>
    <x v="55"/>
    <n v="27"/>
    <n v="7"/>
    <n v="1805.9763"/>
    <x v="45"/>
    <x v="7"/>
    <n v="1165.146"/>
    <n v="1941.91"/>
    <x v="0"/>
    <n v="2278.0249643119819"/>
    <n v="4902.3539999999994"/>
    <n v="48761.360099999998"/>
    <n v="17302.418100000003"/>
    <n v="-3096.3776999999991"/>
    <n v="-0.63161038554131332"/>
    <n v="0.35483870967741943"/>
  </r>
  <r>
    <n v="58"/>
    <n v="18"/>
    <x v="56"/>
    <n v="40"/>
    <n v="9"/>
    <n v="7676.714500000001"/>
    <x v="46"/>
    <x v="7"/>
    <n v="5061.5700000000006"/>
    <n v="8435.9500000000007"/>
    <x v="3"/>
    <n v="10746.349470772069"/>
    <n v="1552.9240000000002"/>
    <n v="307068.58"/>
    <n v="104605.78000000001"/>
    <n v="6123.790500000001"/>
    <n v="3.9433935595045218"/>
    <n v="0.34065934065934067"/>
  </r>
  <r>
    <n v="59"/>
    <n v="94"/>
    <x v="57"/>
    <n v="15"/>
    <n v="10"/>
    <n v="4187.5019999999995"/>
    <x v="8"/>
    <x v="4"/>
    <n v="2791.6679999999997"/>
    <n v="4652.78"/>
    <x v="1"/>
    <n v="5405.4495165566495"/>
    <n v="6485.5883333333331"/>
    <n v="62812.529999999992"/>
    <n v="20937.509999999998"/>
    <n v="-2298.0863333333336"/>
    <n v="-0.35433737314502184"/>
    <n v="0.33333333333333337"/>
  </r>
  <r>
    <n v="60"/>
    <n v="55"/>
    <x v="58"/>
    <n v="19"/>
    <n v="4"/>
    <n v="925.71839999999997"/>
    <x v="47"/>
    <x v="6"/>
    <n v="578.57399999999996"/>
    <n v="964.29"/>
    <x v="2"/>
    <n v="1001.1952774425527"/>
    <n v="1508.7675000000002"/>
    <n v="17588.649600000001"/>
    <n v="6595.7436000000007"/>
    <n v="-583.04910000000018"/>
    <n v="-0.38644065437517716"/>
    <n v="0.375"/>
  </r>
  <r>
    <n v="61"/>
    <n v="77"/>
    <x v="59"/>
    <n v="45"/>
    <n v="10"/>
    <n v="1805.3820000000001"/>
    <x v="48"/>
    <x v="7"/>
    <n v="1203.588"/>
    <n v="2005.98"/>
    <x v="1"/>
    <n v="2576.8295930966124"/>
    <n v="4139.2699999999995"/>
    <n v="81242.19"/>
    <n v="27080.730000000003"/>
    <n v="-2333.8879999999995"/>
    <n v="-0.56384048395006847"/>
    <n v="0.33333333333333337"/>
  </r>
  <r>
    <n v="62"/>
    <n v="39"/>
    <x v="60"/>
    <n v="43"/>
    <n v="2"/>
    <n v="3143.4283999999998"/>
    <x v="49"/>
    <x v="6"/>
    <n v="1924.5479999999998"/>
    <n v="3207.58"/>
    <x v="1"/>
    <n v="4134.8487595159449"/>
    <n v="9555.6079999999984"/>
    <n v="135167.42119999998"/>
    <n v="52411.857199999999"/>
    <n v="-6412.1795999999986"/>
    <n v="-0.671038368254537"/>
    <n v="0.38775510204081637"/>
  </r>
  <r>
    <n v="63"/>
    <n v="54"/>
    <x v="61"/>
    <n v="21"/>
    <n v="4"/>
    <n v="892.36799999999994"/>
    <x v="50"/>
    <x v="2"/>
    <n v="557.7299999999999"/>
    <n v="929.55"/>
    <x v="3"/>
    <n v="999.93451222733222"/>
    <n v="2958.2974999999997"/>
    <n v="18739.727999999999"/>
    <n v="7027.398000000001"/>
    <n v="-2065.9294999999997"/>
    <n v="-0.69835082509450108"/>
    <n v="0.37500000000000006"/>
  </r>
  <r>
    <n v="64"/>
    <n v="103"/>
    <x v="62"/>
    <n v="6"/>
    <n v="10"/>
    <n v="5772.6450000000004"/>
    <x v="12"/>
    <x v="1"/>
    <n v="3848.43"/>
    <n v="6414.05"/>
    <x v="0"/>
    <n v="6417.5200217033835"/>
    <n v="6457.8324999999995"/>
    <n v="34635.870000000003"/>
    <n v="11545.290000000005"/>
    <n v="-685.18749999999909"/>
    <n v="-0.10610177640872524"/>
    <n v="0.33333333333333343"/>
  </r>
  <r>
    <n v="65"/>
    <n v="125"/>
    <x v="63"/>
    <n v="24"/>
    <n v="4"/>
    <n v="4177.0271999999995"/>
    <x v="22"/>
    <x v="0"/>
    <n v="2610.6419999999998"/>
    <n v="4351.07"/>
    <x v="4"/>
    <n v="5469.9757295197842"/>
    <n v="5094.8040000000001"/>
    <n v="100248.65279999998"/>
    <n v="37593.244799999993"/>
    <n v="-917.77680000000055"/>
    <n v="-0.18013976592622613"/>
    <n v="0.375"/>
  </r>
  <r>
    <n v="66"/>
    <n v="95"/>
    <x v="64"/>
    <n v="21"/>
    <n v="4"/>
    <n v="6689.9232000000002"/>
    <x v="51"/>
    <x v="7"/>
    <n v="4181.2020000000002"/>
    <n v="6968.67"/>
    <x v="2"/>
    <n v="8658.1771764859641"/>
    <n v="2797.7239999999997"/>
    <n v="140488.3872"/>
    <n v="52683.145199999999"/>
    <n v="3892.1992000000005"/>
    <n v="1.3912019913329552"/>
    <n v="0.375"/>
  </r>
  <r>
    <n v="67"/>
    <n v="31"/>
    <x v="65"/>
    <n v="50"/>
    <n v="8"/>
    <n v="941.38080000000002"/>
    <x v="52"/>
    <x v="5"/>
    <n v="613.94399999999996"/>
    <n v="1023.24"/>
    <x v="2"/>
    <n v="1032.6482069924298"/>
    <n v="1065.8219999999999"/>
    <n v="47069.04"/>
    <n v="16371.840000000004"/>
    <n v="-124.44119999999987"/>
    <n v="-0.11675608122181741"/>
    <n v="0.34782608695652184"/>
  </r>
  <r>
    <n v="68"/>
    <n v="68"/>
    <x v="66"/>
    <n v="13"/>
    <n v="2"/>
    <n v="5922.6201999999994"/>
    <x v="53"/>
    <x v="6"/>
    <n v="3626.0939999999996"/>
    <n v="6043.49"/>
    <x v="2"/>
    <n v="6146.6667638192603"/>
    <n v="796.21333333333325"/>
    <n v="76994.06259999999"/>
    <n v="29854.840599999996"/>
    <n v="5126.4068666666662"/>
    <n v="6.4384840746198675"/>
    <n v="0.38775510204081631"/>
  </r>
  <r>
    <n v="69"/>
    <n v="71"/>
    <x v="67"/>
    <n v="44"/>
    <n v="5"/>
    <n v="4684.6970000000001"/>
    <x v="54"/>
    <x v="2"/>
    <n v="2958.7559999999999"/>
    <n v="4931.26"/>
    <x v="3"/>
    <n v="6354.707145794564"/>
    <n v="2482.0633333333335"/>
    <n v="206126.66800000001"/>
    <n v="75941.40400000001"/>
    <n v="2202.6336666666666"/>
    <n v="0.88742041231824587"/>
    <n v="0.36842105263157898"/>
  </r>
  <r>
    <n v="70"/>
    <n v="57"/>
    <x v="68"/>
    <n v="19"/>
    <n v="5"/>
    <n v="6471.1624999999995"/>
    <x v="55"/>
    <x v="6"/>
    <n v="4087.0499999999997"/>
    <n v="6811.75"/>
    <x v="2"/>
    <n v="7447.361504546474"/>
    <n v="1836.9825000000001"/>
    <n v="122952.08749999999"/>
    <n v="45298.137499999997"/>
    <n v="4634.1799999999994"/>
    <n v="2.5227131994997225"/>
    <n v="0.36842105263157893"/>
  </r>
  <r>
    <n v="71"/>
    <n v="29"/>
    <x v="69"/>
    <n v="18"/>
    <n v="2"/>
    <n v="7323.54"/>
    <x v="56"/>
    <x v="5"/>
    <n v="4483.8"/>
    <n v="7473"/>
    <x v="2"/>
    <n v="9128.7916098731075"/>
    <n v="1925.7060000000001"/>
    <n v="131823.72"/>
    <n v="51115.319999999992"/>
    <n v="5397.8339999999998"/>
    <n v="2.8030415857872382"/>
    <n v="0.38775510204081626"/>
  </r>
  <r>
    <n v="72"/>
    <n v="40"/>
    <x v="70"/>
    <n v="7"/>
    <n v="5"/>
    <n v="467.65649999999994"/>
    <x v="9"/>
    <x v="3"/>
    <n v="295.36199999999997"/>
    <n v="492.27"/>
    <x v="1"/>
    <n v="518.8678332283497"/>
    <n v="603.70600000000002"/>
    <n v="3273.5954999999994"/>
    <n v="1206.0614999999998"/>
    <n v="-136.04950000000008"/>
    <n v="-0.22535721029772782"/>
    <n v="0.36842105263157893"/>
  </r>
  <r>
    <n v="73"/>
    <n v="36"/>
    <x v="71"/>
    <n v="33"/>
    <n v="3"/>
    <n v="142.97800000000001"/>
    <x v="57"/>
    <x v="0"/>
    <n v="88.44"/>
    <n v="147.4"/>
    <x v="3"/>
    <n v="154.01868928397144"/>
    <n v="2726.4116666666664"/>
    <n v="4718.2740000000003"/>
    <n v="1799.7540000000004"/>
    <n v="-2583.4336666666663"/>
    <n v="-0.94755817628421235"/>
    <n v="0.3814432989690722"/>
  </r>
  <r>
    <n v="74"/>
    <n v="136"/>
    <x v="72"/>
    <n v="50"/>
    <n v="7"/>
    <n v="4795.4240999999993"/>
    <x v="30"/>
    <x v="3"/>
    <n v="3093.8219999999997"/>
    <n v="5156.37"/>
    <x v="3"/>
    <n v="5953.4595274069889"/>
    <n v="5805.195999999999"/>
    <n v="239771.20499999996"/>
    <n v="85080.104999999981"/>
    <n v="-1009.7718999999997"/>
    <n v="-0.17394277471423875"/>
    <n v="0.35483870967741932"/>
  </r>
  <r>
    <n v="75"/>
    <n v="116"/>
    <x v="73"/>
    <n v="30"/>
    <n v="9"/>
    <n v="2150.4665"/>
    <x v="58"/>
    <x v="1"/>
    <n v="1417.89"/>
    <n v="2363.15"/>
    <x v="4"/>
    <n v="2681.421864678653"/>
    <n v="4469.4999999999991"/>
    <n v="64513.995000000003"/>
    <n v="21977.294999999998"/>
    <n v="-2319.0334999999991"/>
    <n v="-0.51885747846515262"/>
    <n v="0.34065934065934061"/>
  </r>
  <r>
    <n v="76"/>
    <n v="126"/>
    <x v="74"/>
    <n v="40"/>
    <n v="9"/>
    <n v="922.03930000000003"/>
    <x v="59"/>
    <x v="4"/>
    <n v="607.93799999999999"/>
    <n v="1013.23"/>
    <x v="4"/>
    <n v="1054.7528431800156"/>
    <n v="7593.0025000000005"/>
    <n v="36881.572"/>
    <n v="12564.052000000001"/>
    <n v="-6670.9632000000001"/>
    <n v="-0.87856723344948195"/>
    <n v="0.34065934065934073"/>
  </r>
  <r>
    <n v="77"/>
    <n v="46"/>
    <x v="75"/>
    <n v="48"/>
    <n v="5"/>
    <n v="1537.7270000000001"/>
    <x v="60"/>
    <x v="1"/>
    <n v="971.19600000000003"/>
    <n v="1618.66"/>
    <x v="0"/>
    <n v="2075.195926050892"/>
    <n v="4497.6779999999999"/>
    <n v="73810.896000000008"/>
    <n v="27193.488000000005"/>
    <n v="-2959.951"/>
    <n v="-0.65810647182835236"/>
    <n v="0.36842105263157898"/>
  </r>
  <r>
    <n v="78"/>
    <n v="20"/>
    <x v="76"/>
    <n v="1"/>
    <n v="4"/>
    <n v="2909.9327999999996"/>
    <x v="61"/>
    <x v="7"/>
    <n v="1818.7079999999999"/>
    <n v="3031.18"/>
    <x v="0"/>
    <n v="3674.3240977245491"/>
    <n v="4553.9966666666669"/>
    <n v="2909.9327999999996"/>
    <n v="1091.2247999999997"/>
    <n v="-1644.0638666666673"/>
    <n v="-0.36101560607202915"/>
    <n v="0.37499999999999994"/>
  </r>
  <r>
    <n v="79"/>
    <n v="4"/>
    <x v="77"/>
    <n v="41"/>
    <n v="4"/>
    <n v="6801.9647999999997"/>
    <x v="62"/>
    <x v="4"/>
    <n v="4251.2280000000001"/>
    <n v="7085.38"/>
    <x v="0"/>
    <n v="8524.9724133573145"/>
    <n v="3570.2466666666674"/>
    <n v="278880.55679999996"/>
    <n v="104580.20879999999"/>
    <n v="3231.7181333333324"/>
    <n v="0.90518063177707564"/>
    <n v="0.375"/>
  </r>
  <r>
    <n v="80"/>
    <n v="90"/>
    <x v="78"/>
    <n v="33"/>
    <n v="10"/>
    <n v="1239.039"/>
    <x v="0"/>
    <x v="0"/>
    <n v="826.02599999999995"/>
    <n v="1376.71"/>
    <x v="0"/>
    <n v="1706.7894606014095"/>
    <n v="2414.7550000000001"/>
    <n v="40888.286999999997"/>
    <n v="13629.429000000002"/>
    <n v="-1175.7160000000001"/>
    <n v="-0.48688831786247466"/>
    <n v="0.33333333333333343"/>
  </r>
  <r>
    <n v="81"/>
    <n v="76"/>
    <x v="79"/>
    <n v="15"/>
    <n v="2"/>
    <n v="3004.2586000000001"/>
    <x v="63"/>
    <x v="5"/>
    <n v="1839.3420000000001"/>
    <n v="3065.57"/>
    <x v="1"/>
    <n v="3195.2947075831153"/>
    <n v="831.92600000000004"/>
    <n v="45063.879000000001"/>
    <n v="17473.749"/>
    <n v="2172.3326000000002"/>
    <n v="2.6112089296403767"/>
    <n v="0.38775510204081631"/>
  </r>
  <r>
    <n v="82"/>
    <n v="20"/>
    <x v="80"/>
    <n v="37"/>
    <n v="9"/>
    <n v="2758.3737999999998"/>
    <x v="61"/>
    <x v="7"/>
    <n v="1818.7079999999999"/>
    <n v="3031.18"/>
    <x v="0"/>
    <n v="3594.4974093166047"/>
    <n v="4553.9966666666669"/>
    <n v="102059.8306"/>
    <n v="34767.634599999998"/>
    <n v="-1795.6228666666671"/>
    <n v="-0.39429604325577761"/>
    <n v="0.34065934065934061"/>
  </r>
  <r>
    <n v="83"/>
    <n v="29"/>
    <x v="81"/>
    <n v="29"/>
    <n v="2"/>
    <n v="7323.54"/>
    <x v="56"/>
    <x v="5"/>
    <n v="4483.8"/>
    <n v="7473"/>
    <x v="2"/>
    <n v="7782.0528660720329"/>
    <n v="1925.7060000000001"/>
    <n v="212382.66"/>
    <n v="82352.459999999992"/>
    <n v="5397.8339999999998"/>
    <n v="2.8030415857872382"/>
    <n v="0.38775510204081626"/>
  </r>
  <r>
    <n v="84"/>
    <n v="2"/>
    <x v="82"/>
    <n v="21"/>
    <n v="3"/>
    <n v="4292.0365999999995"/>
    <x v="64"/>
    <x v="0"/>
    <n v="2654.8679999999999"/>
    <n v="4424.78"/>
    <x v="0"/>
    <n v="5089.0969699049274"/>
    <n v="1807.3"/>
    <n v="90132.768599999981"/>
    <n v="34380.540599999993"/>
    <n v="2484.7365999999993"/>
    <n v="1.3748335085486634"/>
    <n v="0.38144329896907214"/>
  </r>
  <r>
    <n v="85"/>
    <n v="7"/>
    <x v="79"/>
    <n v="20"/>
    <n v="4"/>
    <n v="8030.2079999999987"/>
    <x v="24"/>
    <x v="3"/>
    <n v="5018.8799999999992"/>
    <n v="8364.7999999999993"/>
    <x v="1"/>
    <n v="8615.5661302780172"/>
    <n v="1679.8333333333333"/>
    <n v="160604.15999999997"/>
    <n v="60226.55999999999"/>
    <n v="6350.3746666666657"/>
    <n v="3.7803599563448751"/>
    <n v="0.375"/>
  </r>
  <r>
    <n v="86"/>
    <n v="150"/>
    <x v="49"/>
    <n v="22"/>
    <n v="8"/>
    <n v="2106.5423999999998"/>
    <x v="29"/>
    <x v="1"/>
    <n v="1373.8319999999999"/>
    <n v="2289.7199999999998"/>
    <x v="3"/>
    <n v="2694.6149007741824"/>
    <n v="1810.3166666666666"/>
    <n v="46343.932799999995"/>
    <n v="16119.628799999999"/>
    <n v="296.22573333333321"/>
    <n v="0.16363199808504952"/>
    <n v="0.34782608695652173"/>
  </r>
  <r>
    <n v="87"/>
    <n v="72"/>
    <x v="83"/>
    <n v="13"/>
    <n v="4"/>
    <n v="5569.3439999999991"/>
    <x v="65"/>
    <x v="5"/>
    <n v="3480.8399999999997"/>
    <n v="5801.4"/>
    <x v="3"/>
    <n v="6848.9331038301343"/>
    <n v="5210.5919999999996"/>
    <n v="72401.471999999994"/>
    <n v="27150.551999999992"/>
    <n v="358.7519999999995"/>
    <n v="6.885052600549027E-2"/>
    <n v="0.37499999999999994"/>
  </r>
  <r>
    <n v="88"/>
    <n v="36"/>
    <x v="22"/>
    <n v="19"/>
    <n v="8"/>
    <n v="135.608"/>
    <x v="57"/>
    <x v="0"/>
    <n v="88.44"/>
    <n v="147.4"/>
    <x v="3"/>
    <n v="174.94481737779807"/>
    <n v="2726.4116666666664"/>
    <n v="2576.5520000000001"/>
    <n v="896.19200000000012"/>
    <n v="-2590.8036666666662"/>
    <n v="-0.95026136307368592"/>
    <n v="0.34782608695652178"/>
  </r>
  <r>
    <n v="89"/>
    <n v="93"/>
    <x v="84"/>
    <n v="10"/>
    <n v="5"/>
    <n v="7279.441499999999"/>
    <x v="66"/>
    <x v="2"/>
    <n v="4597.5419999999995"/>
    <n v="7662.57"/>
    <x v="3"/>
    <n v="8398.4115320547535"/>
    <n v="991.00333333333344"/>
    <n v="72794.414999999994"/>
    <n v="26818.994999999995"/>
    <n v="6288.4381666666659"/>
    <n v="6.345526755712223"/>
    <n v="0.36842105263157893"/>
  </r>
  <r>
    <n v="90"/>
    <n v="21"/>
    <x v="85"/>
    <n v="37"/>
    <n v="9"/>
    <n v="2620.1630000000005"/>
    <x v="67"/>
    <x v="0"/>
    <n v="1727.5800000000002"/>
    <n v="2879.3"/>
    <x v="3"/>
    <n v="3249.2922157187622"/>
    <n v="4150.0079999999998"/>
    <n v="96946.031000000017"/>
    <n v="33025.571000000011"/>
    <n v="-1529.8449999999993"/>
    <n v="-0.36863663877274438"/>
    <n v="0.34065934065934073"/>
  </r>
  <r>
    <n v="91"/>
    <n v="129"/>
    <x v="6"/>
    <n v="49"/>
    <n v="3"/>
    <n v="1223.4222"/>
    <x v="68"/>
    <x v="5"/>
    <n v="756.75599999999997"/>
    <n v="1261.26"/>
    <x v="0"/>
    <n v="1415.7136109627115"/>
    <n v="4881.2166666666662"/>
    <n v="59947.6878"/>
    <n v="22866.643800000002"/>
    <n v="-3657.7944666666663"/>
    <n v="-0.74936121800234234"/>
    <n v="0.3814432989690722"/>
  </r>
  <r>
    <n v="92"/>
    <n v="6"/>
    <x v="18"/>
    <n v="32"/>
    <n v="10"/>
    <n v="3712.6620000000003"/>
    <x v="34"/>
    <x v="0"/>
    <n v="2475.1080000000002"/>
    <n v="4125.18"/>
    <x v="4"/>
    <n v="4882.4191886245362"/>
    <n v="6862.0275000000001"/>
    <n v="118805.18400000001"/>
    <n v="39601.728000000003"/>
    <n v="-3149.3654999999999"/>
    <n v="-0.45895553464336886"/>
    <n v="0.33333333333333331"/>
  </r>
  <r>
    <n v="93"/>
    <n v="45"/>
    <x v="86"/>
    <n v="14"/>
    <n v="8"/>
    <n v="4900.278800000001"/>
    <x v="69"/>
    <x v="1"/>
    <n v="3195.8340000000003"/>
    <n v="5326.39"/>
    <x v="1"/>
    <n v="5348.2147774767363"/>
    <n v="4436.1279999999997"/>
    <n v="68603.903200000015"/>
    <n v="23862.227200000008"/>
    <n v="464.15080000000125"/>
    <n v="0.10462971311918892"/>
    <n v="0.34782608695652178"/>
  </r>
  <r>
    <n v="94"/>
    <n v="27"/>
    <x v="87"/>
    <n v="49"/>
    <n v="4"/>
    <n v="1557.9839999999999"/>
    <x v="2"/>
    <x v="1"/>
    <n v="973.74"/>
    <n v="1622.9"/>
    <x v="1"/>
    <n v="1676.3666361518494"/>
    <n v="4440.416666666667"/>
    <n v="76341.216"/>
    <n v="28627.955999999995"/>
    <n v="-2882.432666666667"/>
    <n v="-0.64913562916392986"/>
    <n v="0.37499999999999994"/>
  </r>
  <r>
    <n v="95"/>
    <n v="28"/>
    <x v="88"/>
    <n v="34"/>
    <n v="10"/>
    <n v="5144.9579999999996"/>
    <x v="70"/>
    <x v="0"/>
    <n v="3429.9719999999998"/>
    <n v="5716.62"/>
    <x v="4"/>
    <n v="7151.4023257542167"/>
    <n v="3542.9559999999997"/>
    <n v="174928.57199999999"/>
    <n v="58309.523999999998"/>
    <n v="1602.002"/>
    <n v="0.45216536699863052"/>
    <n v="0.33333333333333337"/>
  </r>
  <r>
    <n v="96"/>
    <n v="115"/>
    <x v="89"/>
    <n v="49"/>
    <n v="2"/>
    <n v="4597.4543999999996"/>
    <x v="71"/>
    <x v="2"/>
    <n v="2814.7679999999996"/>
    <n v="4691.28"/>
    <x v="2"/>
    <n v="5288.6877746402033"/>
    <n v="4456.5325000000003"/>
    <n v="225275.26559999998"/>
    <n v="87351.633600000001"/>
    <n v="140.92189999999937"/>
    <n v="3.1621423158026865E-2"/>
    <n v="0.38775510204081637"/>
  </r>
  <r>
    <n v="97"/>
    <n v="104"/>
    <x v="90"/>
    <n v="49"/>
    <n v="8"/>
    <n v="2974.8660000000004"/>
    <x v="44"/>
    <x v="2"/>
    <n v="1940.13"/>
    <n v="3233.55"/>
    <x v="1"/>
    <n v="4017.3166803494951"/>
    <n v="5121.3466666666664"/>
    <n v="145768.43400000001"/>
    <n v="50702.064000000013"/>
    <n v="-2146.4806666666659"/>
    <n v="-0.41912426679441073"/>
    <n v="0.34782608695652178"/>
  </r>
  <r>
    <n v="98"/>
    <n v="41"/>
    <x v="91"/>
    <n v="29"/>
    <n v="2"/>
    <n v="3019.8405999999995"/>
    <x v="72"/>
    <x v="7"/>
    <n v="1848.8819999999998"/>
    <n v="3081.47"/>
    <x v="1"/>
    <n v="3537.5320656049948"/>
    <n v="1589.1249999999998"/>
    <n v="87575.377399999983"/>
    <n v="33957.799399999989"/>
    <n v="1430.7155999999998"/>
    <n v="0.90031658931802094"/>
    <n v="0.38775510204081626"/>
  </r>
  <r>
    <n v="99"/>
    <n v="97"/>
    <x v="92"/>
    <n v="43"/>
    <n v="10"/>
    <n v="829.476"/>
    <x v="73"/>
    <x v="0"/>
    <n v="552.98399999999992"/>
    <n v="921.64"/>
    <x v="3"/>
    <n v="1156.8213398972653"/>
    <n v="2464.87"/>
    <n v="35667.468000000001"/>
    <n v="11889.156000000003"/>
    <n v="-1635.3939999999998"/>
    <n v="-0.66348083266054592"/>
    <n v="0.33333333333333343"/>
  </r>
  <r>
    <n v="100"/>
    <n v="32"/>
    <x v="93"/>
    <n v="36"/>
    <n v="10"/>
    <n v="854.06400000000008"/>
    <x v="11"/>
    <x v="2"/>
    <n v="569.37599999999998"/>
    <n v="948.96"/>
    <x v="0"/>
    <n v="963.76972723360484"/>
    <n v="2168.4866666666671"/>
    <n v="30746.304000000004"/>
    <n v="10248.768000000004"/>
    <n v="-1314.4226666666671"/>
    <n v="-0.60614745152533411"/>
    <n v="0.33333333333333343"/>
  </r>
  <r>
    <n v="101"/>
    <n v="104"/>
    <x v="94"/>
    <n v="44"/>
    <n v="3"/>
    <n v="3136.5435000000002"/>
    <x v="44"/>
    <x v="2"/>
    <n v="1940.13"/>
    <n v="3233.55"/>
    <x v="1"/>
    <n v="3765.3756334287204"/>
    <n v="5121.3466666666664"/>
    <n v="138007.91400000002"/>
    <n v="52642.194000000003"/>
    <n v="-1984.8031666666661"/>
    <n v="-0.38755493346802006"/>
    <n v="0.38144329896907214"/>
  </r>
  <r>
    <n v="102"/>
    <n v="106"/>
    <x v="95"/>
    <n v="50"/>
    <n v="5"/>
    <n v="1362.3284999999998"/>
    <x v="74"/>
    <x v="1"/>
    <n v="860.41800000000001"/>
    <n v="1434.03"/>
    <x v="2"/>
    <n v="1449.2246498436778"/>
    <n v="695.38400000000001"/>
    <n v="68116.424999999988"/>
    <n v="25095.524999999991"/>
    <n v="666.94449999999983"/>
    <n v="0.95910245274553318"/>
    <n v="0.36842105263157887"/>
  </r>
  <r>
    <n v="103"/>
    <n v="76"/>
    <x v="96"/>
    <n v="48"/>
    <n v="4"/>
    <n v="2942.9472000000001"/>
    <x v="63"/>
    <x v="5"/>
    <n v="1839.3420000000001"/>
    <n v="3065.57"/>
    <x v="1"/>
    <n v="3269.6717752940699"/>
    <n v="831.92600000000004"/>
    <n v="141261.4656"/>
    <n v="52973.049599999998"/>
    <n v="2111.0212000000001"/>
    <n v="2.5375107882191443"/>
    <n v="0.375"/>
  </r>
  <r>
    <n v="104"/>
    <n v="22"/>
    <x v="97"/>
    <n v="41"/>
    <n v="6"/>
    <n v="1536.4299999999998"/>
    <x v="6"/>
    <x v="3"/>
    <n v="980.69999999999993"/>
    <n v="1634.5"/>
    <x v="1"/>
    <n v="2042.2480462808776"/>
    <n v="3187.4450000000002"/>
    <n v="62993.62999999999"/>
    <n v="22784.929999999997"/>
    <n v="-1651.0150000000003"/>
    <n v="-0.51797442779404834"/>
    <n v="0.36170212765957449"/>
  </r>
  <r>
    <n v="105"/>
    <n v="126"/>
    <x v="98"/>
    <n v="47"/>
    <n v="7"/>
    <n v="942.3039"/>
    <x v="59"/>
    <x v="4"/>
    <n v="607.93799999999999"/>
    <n v="1013.23"/>
    <x v="4"/>
    <n v="1290.8411885327321"/>
    <n v="7593.0025000000005"/>
    <n v="44288.283300000003"/>
    <n v="15715.1973"/>
    <n v="-6650.6986000000006"/>
    <n v="-0.87589838143738263"/>
    <n v="0.35483870967741932"/>
  </r>
  <r>
    <n v="106"/>
    <n v="93"/>
    <x v="3"/>
    <n v="2"/>
    <n v="5"/>
    <n v="7279.441499999999"/>
    <x v="66"/>
    <x v="2"/>
    <n v="4597.5419999999995"/>
    <n v="7662.57"/>
    <x v="3"/>
    <n v="9628.6310393828808"/>
    <n v="991.00333333333344"/>
    <n v="14558.882999999998"/>
    <n v="5363.7989999999991"/>
    <n v="6288.4381666666659"/>
    <n v="6.345526755712223"/>
    <n v="0.36842105263157893"/>
  </r>
  <r>
    <n v="107"/>
    <n v="104"/>
    <x v="99"/>
    <n v="35"/>
    <n v="4"/>
    <n v="3104.2080000000001"/>
    <x v="44"/>
    <x v="2"/>
    <n v="1940.13"/>
    <n v="3233.55"/>
    <x v="1"/>
    <n v="4011.054927526136"/>
    <n v="5121.3466666666664"/>
    <n v="108647.28"/>
    <n v="40742.729999999996"/>
    <n v="-2017.1386666666663"/>
    <n v="-0.39386880013329822"/>
    <n v="0.37499999999999994"/>
  </r>
  <r>
    <n v="108"/>
    <n v="52"/>
    <x v="100"/>
    <n v="5"/>
    <n v="3"/>
    <n v="4325.4045999999998"/>
    <x v="75"/>
    <x v="2"/>
    <n v="2675.5080000000003"/>
    <n v="4459.18"/>
    <x v="3"/>
    <n v="5329.4370720087209"/>
    <n v="6258.09"/>
    <n v="21627.023000000001"/>
    <n v="8249.4829999999984"/>
    <n v="-1932.6854000000003"/>
    <n v="-0.30882991455859538"/>
    <n v="0.38144329896907209"/>
  </r>
  <r>
    <n v="109"/>
    <n v="83"/>
    <x v="101"/>
    <n v="32"/>
    <n v="4"/>
    <n v="3663.7727999999997"/>
    <x v="28"/>
    <x v="6"/>
    <n v="2289.8579999999997"/>
    <n v="3816.43"/>
    <x v="2"/>
    <n v="4469.2280838586084"/>
    <n v="2990.2349999999997"/>
    <n v="117240.72959999999"/>
    <n v="43965.2736"/>
    <n v="673.53780000000006"/>
    <n v="0.22524577499761728"/>
    <n v="0.37500000000000006"/>
  </r>
  <r>
    <n v="110"/>
    <n v="67"/>
    <x v="102"/>
    <n v="27"/>
    <n v="2"/>
    <n v="1127.6958"/>
    <x v="76"/>
    <x v="6"/>
    <n v="690.42600000000004"/>
    <n v="1150.71"/>
    <x v="0"/>
    <n v="1341.6605694967284"/>
    <n v="7069.7"/>
    <n v="30447.786599999999"/>
    <n v="11806.284599999997"/>
    <n v="-5942.0041999999994"/>
    <n v="-0.84048887505834757"/>
    <n v="0.38775510204081626"/>
  </r>
  <r>
    <n v="111"/>
    <n v="97"/>
    <x v="103"/>
    <n v="26"/>
    <n v="7"/>
    <n v="857.12519999999995"/>
    <x v="73"/>
    <x v="0"/>
    <n v="552.98399999999992"/>
    <n v="921.64"/>
    <x v="3"/>
    <n v="1176.2473335542591"/>
    <n v="2464.87"/>
    <n v="22285.2552"/>
    <n v="7907.6712000000007"/>
    <n v="-1607.7447999999999"/>
    <n v="-0.65226352708256419"/>
    <n v="0.35483870967741937"/>
  </r>
  <r>
    <n v="112"/>
    <n v="48"/>
    <x v="104"/>
    <n v="34"/>
    <n v="7"/>
    <n v="3430.0910999999996"/>
    <x v="3"/>
    <x v="0"/>
    <n v="2212.962"/>
    <n v="3688.27"/>
    <x v="0"/>
    <n v="4497.8374552696196"/>
    <n v="1050.3625000000002"/>
    <n v="116623.09739999998"/>
    <n v="41382.389399999985"/>
    <n v="2379.7285999999995"/>
    <n v="2.2656260100679519"/>
    <n v="0.35483870967741926"/>
  </r>
  <r>
    <n v="113"/>
    <n v="144"/>
    <x v="105"/>
    <n v="28"/>
    <n v="2"/>
    <n v="1546.6556"/>
    <x v="77"/>
    <x v="0"/>
    <n v="946.93200000000002"/>
    <n v="1578.22"/>
    <x v="2"/>
    <n v="1590.3232965394957"/>
    <n v="6414.0239999999994"/>
    <n v="43306.356800000001"/>
    <n v="16792.2608"/>
    <n v="-4867.3683999999994"/>
    <n v="-0.75886345295870417"/>
    <n v="0.38775510204081631"/>
  </r>
  <r>
    <n v="114"/>
    <n v="74"/>
    <x v="106"/>
    <n v="38"/>
    <n v="2"/>
    <n v="1867.1058"/>
    <x v="78"/>
    <x v="3"/>
    <n v="1143.126"/>
    <n v="1905.21"/>
    <x v="4"/>
    <n v="2462.524656141477"/>
    <n v="2585.9039999999995"/>
    <n v="70950.020400000009"/>
    <n v="27511.232400000001"/>
    <n v="-718.7981999999995"/>
    <n v="-0.27796785959571568"/>
    <n v="0.38775510204081631"/>
  </r>
  <r>
    <n v="115"/>
    <n v="139"/>
    <x v="107"/>
    <n v="41"/>
    <n v="3"/>
    <n v="2513.3476000000001"/>
    <x v="25"/>
    <x v="3"/>
    <n v="1554.6479999999999"/>
    <n v="2591.08"/>
    <x v="4"/>
    <n v="3118.8918857614367"/>
    <n v="2839.1733333333336"/>
    <n v="103047.2516"/>
    <n v="39306.683600000004"/>
    <n v="-325.82573333333357"/>
    <n v="-0.11476077543698172"/>
    <n v="0.3814432989690722"/>
  </r>
  <r>
    <n v="116"/>
    <n v="62"/>
    <x v="108"/>
    <n v="2"/>
    <n v="9"/>
    <n v="3146.7254000000003"/>
    <x v="79"/>
    <x v="7"/>
    <n v="2074.7640000000001"/>
    <n v="3457.94"/>
    <x v="0"/>
    <n v="4439.8241004402735"/>
    <n v="5560.3266666666668"/>
    <n v="6293.4508000000005"/>
    <n v="2143.9228000000003"/>
    <n v="-2413.6012666666666"/>
    <n v="-0.43407544400868531"/>
    <n v="0.34065934065934067"/>
  </r>
  <r>
    <n v="117"/>
    <n v="63"/>
    <x v="109"/>
    <n v="4"/>
    <n v="3"/>
    <n v="6791.7169000000004"/>
    <x v="41"/>
    <x v="7"/>
    <n v="4201.0619999999999"/>
    <n v="7001.77"/>
    <x v="0"/>
    <n v="7887.7982029102268"/>
    <n v="4859.22"/>
    <n v="27166.867600000001"/>
    <n v="10362.619600000002"/>
    <n v="1932.4969000000001"/>
    <n v="0.3976969348990167"/>
    <n v="0.3814432989690722"/>
  </r>
  <r>
    <n v="118"/>
    <n v="125"/>
    <x v="110"/>
    <n v="45"/>
    <n v="9"/>
    <n v="3959.4737"/>
    <x v="22"/>
    <x v="0"/>
    <n v="2610.6419999999998"/>
    <n v="4351.07"/>
    <x v="4"/>
    <n v="5465.1512604095496"/>
    <n v="5094.8040000000001"/>
    <n v="178176.31649999999"/>
    <n v="60697.426500000009"/>
    <n v="-1135.3303000000001"/>
    <n v="-0.22284081978423509"/>
    <n v="0.34065934065934073"/>
  </r>
  <r>
    <n v="119"/>
    <n v="84"/>
    <x v="111"/>
    <n v="2"/>
    <n v="3"/>
    <n v="7527.3552"/>
    <x v="80"/>
    <x v="6"/>
    <n v="4656.0959999999995"/>
    <n v="7760.16"/>
    <x v="1"/>
    <n v="9175.2473866050696"/>
    <n v="2588.9250000000002"/>
    <n v="15054.7104"/>
    <n v="5742.5184000000008"/>
    <n v="4938.4301999999998"/>
    <n v="1.9075215388626552"/>
    <n v="0.3814432989690722"/>
  </r>
  <r>
    <n v="120"/>
    <n v="66"/>
    <x v="112"/>
    <n v="6"/>
    <n v="8"/>
    <n v="5359.0092000000004"/>
    <x v="81"/>
    <x v="7"/>
    <n v="3495.0059999999999"/>
    <n v="5825.01"/>
    <x v="1"/>
    <n v="6734.6258017153459"/>
    <n v="6051.7379999999994"/>
    <n v="32154.055200000003"/>
    <n v="11184.019200000002"/>
    <n v="-692.72879999999896"/>
    <n v="-0.11446774463798648"/>
    <n v="0.34782608695652178"/>
  </r>
  <r>
    <n v="121"/>
    <n v="64"/>
    <x v="113"/>
    <n v="24"/>
    <n v="6"/>
    <n v="3008"/>
    <x v="31"/>
    <x v="2"/>
    <n v="1920"/>
    <n v="3200"/>
    <x v="2"/>
    <n v="3956.7749330368342"/>
    <n v="3782.0099999999998"/>
    <n v="72192"/>
    <n v="26112"/>
    <n v="-774.00999999999976"/>
    <n v="-0.20465572539469748"/>
    <n v="0.36170212765957449"/>
  </r>
  <r>
    <n v="122"/>
    <n v="63"/>
    <x v="114"/>
    <n v="47"/>
    <n v="9"/>
    <n v="6371.6107000000002"/>
    <x v="41"/>
    <x v="7"/>
    <n v="4201.0619999999999"/>
    <n v="7001.77"/>
    <x v="0"/>
    <n v="7056.671437090944"/>
    <n v="4859.22"/>
    <n v="299465.70290000003"/>
    <n v="102015.78890000001"/>
    <n v="1512.3906999999999"/>
    <n v="0.31124145438979917"/>
    <n v="0.34065934065934067"/>
  </r>
  <r>
    <n v="123"/>
    <n v="108"/>
    <x v="115"/>
    <n v="26"/>
    <n v="8"/>
    <n v="773.29679999999996"/>
    <x v="82"/>
    <x v="6"/>
    <n v="504.32399999999996"/>
    <n v="840.54"/>
    <x v="3"/>
    <n v="993.29763226588477"/>
    <n v="5163.7120000000004"/>
    <n v="20105.716799999998"/>
    <n v="6993.2928000000002"/>
    <n v="-4390.4152000000004"/>
    <n v="-0.85024401051026854"/>
    <n v="0.34782608695652178"/>
  </r>
  <r>
    <n v="124"/>
    <n v="28"/>
    <x v="116"/>
    <n v="48"/>
    <n v="5"/>
    <n v="5430.7889999999998"/>
    <x v="70"/>
    <x v="0"/>
    <n v="3429.9719999999998"/>
    <n v="5716.62"/>
    <x v="4"/>
    <n v="6024.3320121330389"/>
    <n v="3542.9559999999997"/>
    <n v="260677.87199999997"/>
    <n v="96039.216"/>
    <n v="1887.8330000000001"/>
    <n v="0.53284122072077678"/>
    <n v="0.36842105263157898"/>
  </r>
  <r>
    <n v="125"/>
    <n v="18"/>
    <x v="117"/>
    <n v="14"/>
    <n v="7"/>
    <n v="7845.4335000000001"/>
    <x v="46"/>
    <x v="7"/>
    <n v="5061.5700000000006"/>
    <n v="8435.9500000000007"/>
    <x v="3"/>
    <n v="8738.9681396462383"/>
    <n v="1552.9240000000002"/>
    <n v="109836.069"/>
    <n v="38974.088999999993"/>
    <n v="6292.5095000000001"/>
    <n v="4.0520395718013242"/>
    <n v="0.35483870967741926"/>
  </r>
  <r>
    <n v="126"/>
    <n v="62"/>
    <x v="118"/>
    <n v="6"/>
    <n v="5"/>
    <n v="3285.0430000000001"/>
    <x v="79"/>
    <x v="7"/>
    <n v="2074.7640000000001"/>
    <n v="3457.94"/>
    <x v="0"/>
    <n v="3638.4030393751527"/>
    <n v="5560.3266666666668"/>
    <n v="19710.258000000002"/>
    <n v="7261.674"/>
    <n v="-2275.2836666666667"/>
    <n v="-0.40919963934972647"/>
    <n v="0.36842105263157893"/>
  </r>
  <r>
    <n v="127"/>
    <n v="73"/>
    <x v="119"/>
    <n v="28"/>
    <n v="7"/>
    <n v="4218.0986999999996"/>
    <x v="83"/>
    <x v="1"/>
    <n v="2721.3539999999998"/>
    <n v="4535.59"/>
    <x v="1"/>
    <n v="5595.4253765184258"/>
    <n v="5380.9516666666668"/>
    <n v="118106.76359999999"/>
    <n v="41908.851599999995"/>
    <n v="-1162.8529666666673"/>
    <n v="-0.21610544727063469"/>
    <n v="0.35483870967741932"/>
  </r>
  <r>
    <n v="128"/>
    <n v="46"/>
    <x v="13"/>
    <n v="45"/>
    <n v="3"/>
    <n v="1570.1002000000001"/>
    <x v="60"/>
    <x v="1"/>
    <n v="971.19600000000003"/>
    <n v="1618.66"/>
    <x v="0"/>
    <n v="1765.804741807219"/>
    <n v="4497.6779999999999"/>
    <n v="70654.509000000005"/>
    <n v="26950.689000000002"/>
    <n v="-2927.5778"/>
    <n v="-0.65090871334052813"/>
    <n v="0.38144329896907214"/>
  </r>
  <r>
    <n v="129"/>
    <n v="82"/>
    <x v="120"/>
    <n v="47"/>
    <n v="4"/>
    <n v="1220.3712"/>
    <x v="7"/>
    <x v="4"/>
    <n v="762.73199999999997"/>
    <n v="1271.22"/>
    <x v="2"/>
    <n v="1362.7510823944738"/>
    <n v="2617.7080000000001"/>
    <n v="57357.446400000001"/>
    <n v="21509.042400000002"/>
    <n v="-1397.3368"/>
    <n v="-0.53380163104517386"/>
    <n v="0.37500000000000006"/>
  </r>
  <r>
    <n v="130"/>
    <n v="116"/>
    <x v="121"/>
    <n v="29"/>
    <n v="9"/>
    <n v="2150.4665"/>
    <x v="58"/>
    <x v="1"/>
    <n v="1417.89"/>
    <n v="2363.15"/>
    <x v="4"/>
    <n v="2796.3804908417233"/>
    <n v="4469.4999999999991"/>
    <n v="62363.5285"/>
    <n v="21244.718499999995"/>
    <n v="-2319.0334999999991"/>
    <n v="-0.51885747846515262"/>
    <n v="0.34065934065934056"/>
  </r>
  <r>
    <n v="131"/>
    <n v="149"/>
    <x v="122"/>
    <n v="35"/>
    <n v="9"/>
    <n v="5576.2798000000003"/>
    <x v="14"/>
    <x v="5"/>
    <n v="3676.6679999999997"/>
    <n v="6127.78"/>
    <x v="0"/>
    <n v="7231.8093261526392"/>
    <n v="3159.4639999999999"/>
    <n v="195169.79300000001"/>
    <n v="66486.413000000015"/>
    <n v="2416.8158000000003"/>
    <n v="0.76494487672592582"/>
    <n v="0.34065934065934073"/>
  </r>
  <r>
    <n v="132"/>
    <n v="33"/>
    <x v="123"/>
    <n v="17"/>
    <n v="5"/>
    <n v="4800.3404999999993"/>
    <x v="84"/>
    <x v="0"/>
    <n v="3031.7939999999999"/>
    <n v="5052.99"/>
    <x v="3"/>
    <n v="5576.2225734579433"/>
    <n v="2776.7875000000004"/>
    <n v="81605.788499999995"/>
    <n v="30065.290499999992"/>
    <n v="2023.552999999999"/>
    <n v="0.72873887540908289"/>
    <n v="0.36842105263157887"/>
  </r>
  <r>
    <n v="133"/>
    <n v="101"/>
    <x v="16"/>
    <n v="42"/>
    <n v="8"/>
    <n v="4342.6668"/>
    <x v="5"/>
    <x v="3"/>
    <n v="2832.174"/>
    <n v="4720.29"/>
    <x v="2"/>
    <n v="4832.0605992436713"/>
    <n v="6068.0179999999991"/>
    <n v="182392.0056"/>
    <n v="63440.6976"/>
    <n v="-1725.3511999999992"/>
    <n v="-0.28433521456264621"/>
    <n v="0.34782608695652173"/>
  </r>
  <r>
    <n v="134"/>
    <n v="105"/>
    <x v="124"/>
    <n v="29"/>
    <n v="6"/>
    <n v="3894.4951999999998"/>
    <x v="85"/>
    <x v="1"/>
    <n v="2485.848"/>
    <n v="4143.08"/>
    <x v="3"/>
    <n v="5354.9779214739037"/>
    <n v="4778.8849999999993"/>
    <n v="112940.36079999999"/>
    <n v="40850.768799999998"/>
    <n v="-884.38979999999947"/>
    <n v="-0.18506195482837515"/>
    <n v="0.36170212765957449"/>
  </r>
  <r>
    <n v="135"/>
    <n v="141"/>
    <x v="125"/>
    <n v="33"/>
    <n v="3"/>
    <n v="7629.2342999999992"/>
    <x v="86"/>
    <x v="1"/>
    <n v="4719.1139999999996"/>
    <n v="7865.19"/>
    <x v="4"/>
    <n v="8883.6060969308855"/>
    <n v="7586.8133333333344"/>
    <n v="251764.73189999998"/>
    <n v="96033.969899999982"/>
    <n v="42.420966666664754"/>
    <n v="5.5914077232247818E-3"/>
    <n v="0.38144329896907214"/>
  </r>
  <r>
    <n v="136"/>
    <n v="104"/>
    <x v="126"/>
    <n v="43"/>
    <n v="10"/>
    <n v="2910.1950000000002"/>
    <x v="44"/>
    <x v="2"/>
    <n v="1940.13"/>
    <n v="3233.55"/>
    <x v="1"/>
    <n v="3629.063079368218"/>
    <n v="5121.3466666666664"/>
    <n v="125138.38500000001"/>
    <n v="41712.795000000006"/>
    <n v="-2211.1516666666662"/>
    <n v="-0.43175200012496706"/>
    <n v="0.33333333333333337"/>
  </r>
  <r>
    <n v="137"/>
    <n v="113"/>
    <x v="127"/>
    <n v="44"/>
    <n v="5"/>
    <n v="4587.7019999999993"/>
    <x v="87"/>
    <x v="7"/>
    <n v="2897.4959999999996"/>
    <n v="4829.16"/>
    <x v="1"/>
    <n v="5599.1960722145868"/>
    <n v="4302.05"/>
    <n v="201858.88799999998"/>
    <n v="74369.063999999984"/>
    <n v="285.65199999999913"/>
    <n v="6.6399042317034696E-2"/>
    <n v="0.36842105263157893"/>
  </r>
  <r>
    <n v="138"/>
    <n v="92"/>
    <x v="128"/>
    <n v="35"/>
    <n v="10"/>
    <n v="3220.2179999999998"/>
    <x v="88"/>
    <x v="1"/>
    <n v="2146.8119999999999"/>
    <n v="3578.02"/>
    <x v="4"/>
    <n v="3836.5910804032846"/>
    <n v="5387.83"/>
    <n v="112707.62999999999"/>
    <n v="37569.21"/>
    <n v="-2167.6120000000001"/>
    <n v="-0.40231633143584711"/>
    <n v="0.33333333333333337"/>
  </r>
  <r>
    <n v="139"/>
    <n v="46"/>
    <x v="81"/>
    <n v="8"/>
    <n v="8"/>
    <n v="1489.1672000000001"/>
    <x v="60"/>
    <x v="1"/>
    <n v="971.19600000000003"/>
    <n v="1618.66"/>
    <x v="0"/>
    <n v="1716.9367958175808"/>
    <n v="4497.6779999999999"/>
    <n v="11913.337600000001"/>
    <n v="4143.7696000000005"/>
    <n v="-3008.5108"/>
    <n v="-0.66890310956008858"/>
    <n v="0.34782608695652178"/>
  </r>
  <r>
    <n v="140"/>
    <n v="122"/>
    <x v="129"/>
    <n v="10"/>
    <n v="10"/>
    <n v="4632.9660000000003"/>
    <x v="89"/>
    <x v="6"/>
    <n v="3088.6439999999998"/>
    <n v="5147.74"/>
    <x v="3"/>
    <n v="5498.8020022108885"/>
    <n v="4724.1475"/>
    <n v="46329.66"/>
    <n v="15443.220000000005"/>
    <n v="-91.181499999999687"/>
    <n v="-1.9301154335253014E-2"/>
    <n v="0.33333333333333343"/>
  </r>
  <r>
    <n v="141"/>
    <n v="65"/>
    <x v="130"/>
    <n v="3"/>
    <n v="5"/>
    <n v="4285.7919999999995"/>
    <x v="90"/>
    <x v="2"/>
    <n v="2706.8159999999998"/>
    <n v="4511.3599999999997"/>
    <x v="1"/>
    <n v="4550.2782235459463"/>
    <n v="1786.8475000000001"/>
    <n v="12857.375999999998"/>
    <n v="4736.927999999999"/>
    <n v="2498.9444999999996"/>
    <n v="1.3985214183079415"/>
    <n v="0.36842105263157893"/>
  </r>
  <r>
    <n v="142"/>
    <n v="116"/>
    <x v="131"/>
    <n v="44"/>
    <n v="4"/>
    <n v="2268.6239999999998"/>
    <x v="58"/>
    <x v="1"/>
    <n v="1417.89"/>
    <n v="2363.15"/>
    <x v="4"/>
    <n v="2596.0878239540257"/>
    <n v="4469.4999999999991"/>
    <n v="99819.455999999991"/>
    <n v="37432.295999999988"/>
    <n v="-2200.8759999999993"/>
    <n v="-0.49242107618301817"/>
    <n v="0.37499999999999989"/>
  </r>
  <r>
    <n v="143"/>
    <n v="110"/>
    <x v="132"/>
    <n v="48"/>
    <n v="8"/>
    <n v="1429.8732"/>
    <x v="91"/>
    <x v="2"/>
    <n v="932.52599999999995"/>
    <n v="1554.21"/>
    <x v="3"/>
    <n v="1732.8967545362618"/>
    <n v="764.66499999999996"/>
    <n v="68633.9136"/>
    <n v="23872.6656"/>
    <n v="665.20820000000003"/>
    <n v="0.86993415417208853"/>
    <n v="0.34782608695652173"/>
  </r>
  <r>
    <n v="144"/>
    <n v="78"/>
    <x v="133"/>
    <n v="49"/>
    <n v="6"/>
    <n v="813.79559999999992"/>
    <x v="26"/>
    <x v="2"/>
    <n v="519.44399999999996"/>
    <n v="865.74"/>
    <x v="0"/>
    <n v="914.54787512309622"/>
    <n v="398.392"/>
    <n v="39875.984399999994"/>
    <n v="14423.228399999998"/>
    <n v="415.40359999999993"/>
    <n v="1.0427006566396915"/>
    <n v="0.36170212765957449"/>
  </r>
  <r>
    <n v="145"/>
    <n v="140"/>
    <x v="134"/>
    <n v="42"/>
    <n v="9"/>
    <n v="813.32159999999999"/>
    <x v="92"/>
    <x v="1"/>
    <n v="536.25599999999997"/>
    <n v="893.76"/>
    <x v="3"/>
    <n v="1082.2847234535923"/>
    <n v="4472.5149999999994"/>
    <n v="34159.5072"/>
    <n v="11636.755200000001"/>
    <n v="-3659.1933999999992"/>
    <n v="-0.81815117445106378"/>
    <n v="0.34065934065934073"/>
  </r>
  <r>
    <n v="146"/>
    <n v="76"/>
    <x v="135"/>
    <n v="50"/>
    <n v="7"/>
    <n v="2850.9800999999998"/>
    <x v="63"/>
    <x v="5"/>
    <n v="1839.3420000000001"/>
    <n v="3065.57"/>
    <x v="1"/>
    <n v="3791.7497221341405"/>
    <n v="831.92600000000004"/>
    <n v="142549.00499999998"/>
    <n v="50581.904999999984"/>
    <n v="2019.0540999999998"/>
    <n v="2.4269635760872958"/>
    <n v="0.35483870967741932"/>
  </r>
  <r>
    <n v="147"/>
    <n v="13"/>
    <x v="60"/>
    <n v="6"/>
    <n v="10"/>
    <n v="1617.354"/>
    <x v="93"/>
    <x v="4"/>
    <n v="1078.2359999999999"/>
    <n v="1797.06"/>
    <x v="4"/>
    <n v="1970.2045742813107"/>
    <n v="1712.5580000000002"/>
    <n v="9704.1239999999998"/>
    <n v="3234.708000000001"/>
    <n v="-95.204000000000178"/>
    <n v="-5.5591693828763854E-2"/>
    <n v="0.33333333333333343"/>
  </r>
  <r>
    <n v="148"/>
    <n v="92"/>
    <x v="136"/>
    <n v="37"/>
    <n v="6"/>
    <n v="3363.3388"/>
    <x v="88"/>
    <x v="1"/>
    <n v="2146.8119999999999"/>
    <n v="3578.02"/>
    <x v="4"/>
    <n v="4096.6057218766773"/>
    <n v="5387.83"/>
    <n v="124443.5356"/>
    <n v="45011.491600000001"/>
    <n v="-2024.4911999999999"/>
    <n v="-0.37575261283299582"/>
    <n v="0.36170212765957449"/>
  </r>
  <r>
    <n v="149"/>
    <n v="109"/>
    <x v="0"/>
    <n v="37"/>
    <n v="6"/>
    <n v="2081.6205999999997"/>
    <x v="94"/>
    <x v="2"/>
    <n v="1328.6939999999997"/>
    <n v="2214.4899999999998"/>
    <x v="2"/>
    <n v="2751.4785858733208"/>
    <n v="6555.1760000000013"/>
    <n v="77019.962199999994"/>
    <n v="27858.284200000002"/>
    <n v="-4473.5554000000011"/>
    <n v="-0.68244626841445599"/>
    <n v="0.36170212765957455"/>
  </r>
  <r>
    <n v="150"/>
    <n v="97"/>
    <x v="137"/>
    <n v="21"/>
    <n v="10"/>
    <n v="829.476"/>
    <x v="73"/>
    <x v="0"/>
    <n v="552.98399999999992"/>
    <n v="921.64"/>
    <x v="3"/>
    <n v="1132.824898406104"/>
    <n v="2464.87"/>
    <n v="17418.995999999999"/>
    <n v="5806.3320000000012"/>
    <n v="-1635.3939999999998"/>
    <n v="-0.66348083266054592"/>
    <n v="0.33333333333333343"/>
  </r>
  <r>
    <n v="151"/>
    <n v="27"/>
    <x v="138"/>
    <n v="27"/>
    <n v="8"/>
    <n v="1493.0680000000002"/>
    <x v="2"/>
    <x v="1"/>
    <n v="973.74"/>
    <n v="1622.9"/>
    <x v="1"/>
    <n v="1875.5060367988328"/>
    <n v="4440.416666666667"/>
    <n v="40312.836000000003"/>
    <n v="14021.856000000005"/>
    <n v="-2947.3486666666668"/>
    <n v="-0.66375497794876603"/>
    <n v="0.34782608695652184"/>
  </r>
  <r>
    <n v="152"/>
    <n v="19"/>
    <x v="139"/>
    <n v="20"/>
    <n v="6"/>
    <n v="3206.1801999999998"/>
    <x v="95"/>
    <x v="0"/>
    <n v="2046.4979999999998"/>
    <n v="3410.83"/>
    <x v="2"/>
    <n v="3950.3816282937014"/>
    <n v="1213.8383333333334"/>
    <n v="64123.603999999992"/>
    <n v="23193.644"/>
    <n v="1992.3418666666664"/>
    <n v="1.6413568528483335"/>
    <n v="0.36170212765957449"/>
  </r>
  <r>
    <n v="153"/>
    <n v="37"/>
    <x v="114"/>
    <n v="44"/>
    <n v="7"/>
    <n v="3591.1670999999997"/>
    <x v="96"/>
    <x v="7"/>
    <n v="2316.8819999999996"/>
    <n v="3861.47"/>
    <x v="1"/>
    <n v="4513.8730931667615"/>
    <n v="2618.5759999999996"/>
    <n v="158011.35239999997"/>
    <n v="56068.544399999999"/>
    <n v="972.5911000000001"/>
    <n v="0.37141984803954525"/>
    <n v="0.35483870967741943"/>
  </r>
  <r>
    <n v="154"/>
    <n v="104"/>
    <x v="140"/>
    <n v="43"/>
    <n v="9"/>
    <n v="2942.5305000000003"/>
    <x v="44"/>
    <x v="2"/>
    <n v="1940.13"/>
    <n v="3233.55"/>
    <x v="1"/>
    <n v="3947.7437830582408"/>
    <n v="5121.3466666666664"/>
    <n v="126528.81150000001"/>
    <n v="43103.221500000007"/>
    <n v="-2178.816166666666"/>
    <n v="-0.42543813345968889"/>
    <n v="0.34065934065934067"/>
  </r>
  <r>
    <n v="155"/>
    <n v="1"/>
    <x v="141"/>
    <n v="12"/>
    <n v="6"/>
    <n v="1796.2929999999999"/>
    <x v="97"/>
    <x v="7"/>
    <n v="1146.57"/>
    <n v="1910.95"/>
    <x v="1"/>
    <n v="2151.8500571798904"/>
    <n v="4785.0083333333332"/>
    <n v="21555.516"/>
    <n v="7796.6759999999995"/>
    <n v="-2988.7153333333335"/>
    <n v="-0.62459981783382479"/>
    <n v="0.36170212765957444"/>
  </r>
  <r>
    <n v="156"/>
    <n v="70"/>
    <x v="142"/>
    <n v="1"/>
    <n v="2"/>
    <n v="3949.1549999999997"/>
    <x v="98"/>
    <x v="7"/>
    <n v="2417.85"/>
    <n v="4029.75"/>
    <x v="1"/>
    <n v="4041.7003971778768"/>
    <n v="2158.7083333333335"/>
    <n v="3949.1549999999997"/>
    <n v="1531.3049999999998"/>
    <n v="1790.4466666666663"/>
    <n v="0.82940647377868681"/>
    <n v="0.38775510204081631"/>
  </r>
  <r>
    <n v="157"/>
    <n v="15"/>
    <x v="143"/>
    <n v="38"/>
    <n v="10"/>
    <n v="4357.3319999999994"/>
    <x v="27"/>
    <x v="4"/>
    <n v="2904.8879999999995"/>
    <n v="4841.4799999999996"/>
    <x v="0"/>
    <n v="5808.3118000837021"/>
    <n v="5242.3433333333332"/>
    <n v="165578.61599999998"/>
    <n v="55192.871999999996"/>
    <n v="-885.01133333333382"/>
    <n v="-0.16881979623616167"/>
    <n v="0.33333333333333337"/>
  </r>
  <r>
    <n v="158"/>
    <n v="34"/>
    <x v="144"/>
    <n v="36"/>
    <n v="9"/>
    <n v="1186.0849000000001"/>
    <x v="23"/>
    <x v="1"/>
    <n v="782.03399999999999"/>
    <n v="1303.3900000000001"/>
    <x v="2"/>
    <n v="1430.4187916177145"/>
    <n v="4145.4440000000004"/>
    <n v="42699.056400000001"/>
    <n v="14545.832400000003"/>
    <n v="-2959.3591000000006"/>
    <n v="-0.71388230066550173"/>
    <n v="0.34065934065934073"/>
  </r>
  <r>
    <n v="159"/>
    <n v="114"/>
    <x v="145"/>
    <n v="26"/>
    <n v="10"/>
    <n v="6879.9690000000001"/>
    <x v="99"/>
    <x v="5"/>
    <n v="4586.6459999999997"/>
    <n v="7644.41"/>
    <x v="2"/>
    <n v="9787.2965998029067"/>
    <n v="6494.3074999999999"/>
    <n v="178879.19399999999"/>
    <n v="59626.398000000008"/>
    <n v="385.66150000000016"/>
    <n v="5.9384545619375145E-2"/>
    <n v="0.33333333333333343"/>
  </r>
  <r>
    <n v="160"/>
    <n v="125"/>
    <x v="83"/>
    <n v="43"/>
    <n v="7"/>
    <n v="4046.4950999999996"/>
    <x v="22"/>
    <x v="0"/>
    <n v="2610.6419999999998"/>
    <n v="4351.07"/>
    <x v="4"/>
    <n v="5269.4162153582156"/>
    <n v="5094.8040000000001"/>
    <n v="173999.28929999997"/>
    <n v="61741.68329999999"/>
    <n v="-1048.3089000000004"/>
    <n v="-0.20576039824103154"/>
    <n v="0.35483870967741937"/>
  </r>
  <r>
    <n v="161"/>
    <n v="26"/>
    <x v="146"/>
    <n v="17"/>
    <n v="10"/>
    <n v="5073.2280000000001"/>
    <x v="100"/>
    <x v="7"/>
    <n v="3382.152"/>
    <n v="5636.92"/>
    <x v="0"/>
    <n v="6977.8988054945021"/>
    <n v="3474.7766666666666"/>
    <n v="86244.876000000004"/>
    <n v="28748.292000000001"/>
    <n v="1598.4513333333334"/>
    <n v="0.46001555975300096"/>
    <n v="0.33333333333333331"/>
  </r>
  <r>
    <n v="162"/>
    <n v="13"/>
    <x v="147"/>
    <n v="16"/>
    <n v="2"/>
    <n v="1761.1188"/>
    <x v="93"/>
    <x v="4"/>
    <n v="1078.2359999999999"/>
    <n v="1797.06"/>
    <x v="4"/>
    <n v="1835.3971952289958"/>
    <n v="1712.5580000000002"/>
    <n v="28177.900799999999"/>
    <n v="10926.124800000001"/>
    <n v="48.560799999999745"/>
    <n v="2.8355711164234867E-2"/>
    <n v="0.38775510204081637"/>
  </r>
  <r>
    <n v="163"/>
    <n v="114"/>
    <x v="148"/>
    <n v="2"/>
    <n v="3"/>
    <n v="7415.0776999999998"/>
    <x v="99"/>
    <x v="5"/>
    <n v="4586.6459999999997"/>
    <n v="7644.41"/>
    <x v="2"/>
    <n v="9627.7104309692495"/>
    <n v="6494.3074999999999"/>
    <n v="14830.1554"/>
    <n v="5656.8634000000002"/>
    <n v="920.77019999999993"/>
    <n v="0.14178112138977095"/>
    <n v="0.3814432989690722"/>
  </r>
  <r>
    <n v="164"/>
    <n v="113"/>
    <x v="149"/>
    <n v="8"/>
    <n v="4"/>
    <n v="4635.9935999999998"/>
    <x v="87"/>
    <x v="7"/>
    <n v="2897.4959999999996"/>
    <n v="4829.16"/>
    <x v="1"/>
    <n v="6195.8673125069554"/>
    <n v="4302.05"/>
    <n v="37087.948799999998"/>
    <n v="13907.980800000001"/>
    <n v="333.94359999999961"/>
    <n v="7.7624295394056228E-2"/>
    <n v="0.37500000000000006"/>
  </r>
  <r>
    <n v="165"/>
    <n v="62"/>
    <x v="150"/>
    <n v="23"/>
    <n v="9"/>
    <n v="3146.7254000000003"/>
    <x v="79"/>
    <x v="7"/>
    <n v="2074.7640000000001"/>
    <n v="3457.94"/>
    <x v="0"/>
    <n v="4444.7690616995933"/>
    <n v="5560.3266666666668"/>
    <n v="72374.684200000003"/>
    <n v="24655.112200000003"/>
    <n v="-2413.6012666666666"/>
    <n v="-0.43407544400868531"/>
    <n v="0.34065934065934067"/>
  </r>
  <r>
    <n v="166"/>
    <n v="10"/>
    <x v="0"/>
    <n v="6"/>
    <n v="9"/>
    <n v="2545.5338999999999"/>
    <x v="33"/>
    <x v="3"/>
    <n v="1678.374"/>
    <n v="2797.29"/>
    <x v="0"/>
    <n v="3318.4413841304945"/>
    <n v="6310.5433333333322"/>
    <n v="15273.203399999999"/>
    <n v="5202.9593999999997"/>
    <n v="-3765.0094333333323"/>
    <n v="-0.5966220711053406"/>
    <n v="0.34065934065934067"/>
  </r>
  <r>
    <n v="167"/>
    <n v="60"/>
    <x v="87"/>
    <n v="29"/>
    <n v="3"/>
    <n v="2689.4317000000001"/>
    <x v="36"/>
    <x v="2"/>
    <n v="1663.566"/>
    <n v="2772.61"/>
    <x v="2"/>
    <n v="3097.3477592969634"/>
    <n v="3047.7533333333336"/>
    <n v="77993.5193"/>
    <n v="29750.105300000003"/>
    <n v="-358.32163333333347"/>
    <n v="-0.11756910554878679"/>
    <n v="0.3814432989690722"/>
  </r>
  <r>
    <n v="168"/>
    <n v="127"/>
    <x v="151"/>
    <n v="12"/>
    <n v="7"/>
    <n v="5106.2208000000001"/>
    <x v="101"/>
    <x v="4"/>
    <n v="3294.3360000000002"/>
    <n v="5490.56"/>
    <x v="1"/>
    <n v="6505.9338435164118"/>
    <n v="5984.333333333333"/>
    <n v="61274.649600000004"/>
    <n v="21742.617599999998"/>
    <n v="-878.11253333333298"/>
    <n v="-0.1467352308806327"/>
    <n v="0.35483870967741932"/>
  </r>
  <r>
    <n v="169"/>
    <n v="129"/>
    <x v="152"/>
    <n v="44"/>
    <n v="7"/>
    <n v="1172.9717999999998"/>
    <x v="68"/>
    <x v="5"/>
    <n v="756.75599999999997"/>
    <n v="1261.26"/>
    <x v="0"/>
    <n v="1458.9314004133264"/>
    <n v="4881.2166666666662"/>
    <n v="51610.759199999993"/>
    <n v="18313.495199999994"/>
    <n v="-3708.2448666666664"/>
    <n v="-0.75969683787853437"/>
    <n v="0.35483870967741926"/>
  </r>
  <r>
    <n v="170"/>
    <n v="84"/>
    <x v="153"/>
    <n v="45"/>
    <n v="7"/>
    <n v="7216.9487999999992"/>
    <x v="80"/>
    <x v="6"/>
    <n v="4656.0959999999995"/>
    <n v="7760.16"/>
    <x v="1"/>
    <n v="8977.5784913468488"/>
    <n v="2588.9250000000002"/>
    <n v="324762.69599999994"/>
    <n v="115238.37599999999"/>
    <n v="4628.023799999999"/>
    <n v="1.7876237434456381"/>
    <n v="0.35483870967741937"/>
  </r>
  <r>
    <n v="171"/>
    <n v="19"/>
    <x v="154"/>
    <n v="6"/>
    <n v="9"/>
    <n v="3103.8553000000002"/>
    <x v="95"/>
    <x v="0"/>
    <n v="2046.4979999999998"/>
    <n v="3410.83"/>
    <x v="2"/>
    <n v="3741.3016558698291"/>
    <n v="1213.8383333333334"/>
    <n v="18623.131800000003"/>
    <n v="6344.1438000000016"/>
    <n v="1890.0169666666668"/>
    <n v="1.557058229885089"/>
    <n v="0.34065934065934067"/>
  </r>
  <r>
    <n v="172"/>
    <n v="59"/>
    <x v="155"/>
    <n v="11"/>
    <n v="6"/>
    <n v="3901.4794000000002"/>
    <x v="43"/>
    <x v="5"/>
    <n v="2490.306"/>
    <n v="4150.51"/>
    <x v="3"/>
    <n v="4528.2663561015188"/>
    <n v="6105.9674999999997"/>
    <n v="42916.273400000005"/>
    <n v="15522.907400000002"/>
    <n v="-2204.4880999999996"/>
    <n v="-0.36103829573282198"/>
    <n v="0.36170212765957449"/>
  </r>
  <r>
    <n v="173"/>
    <n v="110"/>
    <x v="156"/>
    <n v="37"/>
    <n v="7"/>
    <n v="1445.4152999999999"/>
    <x v="91"/>
    <x v="2"/>
    <n v="932.52599999999995"/>
    <n v="1554.21"/>
    <x v="3"/>
    <n v="1948.5207925211669"/>
    <n v="764.66499999999996"/>
    <n v="53480.366099999999"/>
    <n v="18976.904099999996"/>
    <n v="680.75029999999992"/>
    <n v="0.89025952541308928"/>
    <n v="0.35483870967741926"/>
  </r>
  <r>
    <n v="174"/>
    <n v="69"/>
    <x v="157"/>
    <n v="38"/>
    <n v="4"/>
    <n v="7160.3519999999999"/>
    <x v="102"/>
    <x v="1"/>
    <n v="4475.2199999999993"/>
    <n v="7458.7"/>
    <x v="3"/>
    <n v="8908.4237599322551"/>
    <n v="809.57599999999991"/>
    <n v="272093.37599999999"/>
    <n v="102035.01600000002"/>
    <n v="6350.7759999999998"/>
    <n v="7.8445704912200958"/>
    <n v="0.37500000000000006"/>
  </r>
  <r>
    <n v="175"/>
    <n v="94"/>
    <x v="60"/>
    <n v="28"/>
    <n v="3"/>
    <n v="4513.1965999999993"/>
    <x v="8"/>
    <x v="4"/>
    <n v="2791.6679999999997"/>
    <n v="4652.78"/>
    <x v="1"/>
    <n v="4838.047250567528"/>
    <n v="6485.5883333333331"/>
    <n v="126369.50479999998"/>
    <n v="48202.80079999999"/>
    <n v="-1972.3917333333338"/>
    <n v="-0.30411916883407913"/>
    <n v="0.38144329896907214"/>
  </r>
  <r>
    <n v="176"/>
    <n v="25"/>
    <x v="158"/>
    <n v="3"/>
    <n v="8"/>
    <n v="522.71640000000002"/>
    <x v="38"/>
    <x v="4"/>
    <n v="340.90199999999999"/>
    <n v="568.16999999999996"/>
    <x v="1"/>
    <n v="706.13792165337202"/>
    <n v="2024.2300000000002"/>
    <n v="1568.1492000000001"/>
    <n v="545.44320000000016"/>
    <n v="-1501.5136000000002"/>
    <n v="-0.74177025338029767"/>
    <n v="0.34782608695652184"/>
  </r>
  <r>
    <n v="177"/>
    <n v="58"/>
    <x v="159"/>
    <n v="34"/>
    <n v="3"/>
    <n v="1104.4225999999999"/>
    <x v="103"/>
    <x v="7"/>
    <n v="683.14799999999991"/>
    <n v="1138.58"/>
    <x v="2"/>
    <n v="1460.3516625506591"/>
    <n v="1439.8525"/>
    <n v="37550.368399999992"/>
    <n v="14323.336399999998"/>
    <n v="-335.42990000000009"/>
    <n v="-0.23296129291021136"/>
    <n v="0.3814432989690722"/>
  </r>
  <r>
    <n v="178"/>
    <n v="57"/>
    <x v="160"/>
    <n v="25"/>
    <n v="10"/>
    <n v="6130.5749999999998"/>
    <x v="55"/>
    <x v="6"/>
    <n v="4087.0499999999997"/>
    <n v="6811.75"/>
    <x v="2"/>
    <n v="8475.124810229825"/>
    <n v="1836.9825000000001"/>
    <n v="153264.375"/>
    <n v="51088.125"/>
    <n v="4293.5924999999997"/>
    <n v="2.3373072416313163"/>
    <n v="0.33333333333333331"/>
  </r>
  <r>
    <n v="179"/>
    <n v="71"/>
    <x v="161"/>
    <n v="42"/>
    <n v="3"/>
    <n v="4783.3222000000005"/>
    <x v="54"/>
    <x v="2"/>
    <n v="2958.7559999999999"/>
    <n v="4931.26"/>
    <x v="3"/>
    <n v="5958.9551188873129"/>
    <n v="2482.0633333333335"/>
    <n v="200899.53240000003"/>
    <n v="76631.780400000032"/>
    <n v="2301.258866666667"/>
    <n v="0.92715557889336697"/>
    <n v="0.38144329896907225"/>
  </r>
  <r>
    <n v="180"/>
    <n v="126"/>
    <x v="71"/>
    <n v="25"/>
    <n v="4"/>
    <n v="972.70079999999996"/>
    <x v="59"/>
    <x v="4"/>
    <n v="607.93799999999999"/>
    <n v="1013.23"/>
    <x v="4"/>
    <n v="1068.7498672575164"/>
    <n v="7593.0025000000005"/>
    <n v="24317.52"/>
    <n v="9119.07"/>
    <n v="-6620.3017000000009"/>
    <n v="-0.87189510341923371"/>
    <n v="0.375"/>
  </r>
  <r>
    <n v="181"/>
    <n v="35"/>
    <x v="41"/>
    <n v="49"/>
    <n v="9"/>
    <n v="123.02290000000001"/>
    <x v="104"/>
    <x v="3"/>
    <n v="81.11399999999999"/>
    <n v="135.19"/>
    <x v="3"/>
    <n v="162.3593380091321"/>
    <n v="2089.5899999999997"/>
    <n v="6028.1221000000005"/>
    <n v="2053.5361000000007"/>
    <n v="-1966.5670999999998"/>
    <n v="-0.94112581894055769"/>
    <n v="0.34065934065934073"/>
  </r>
  <r>
    <n v="182"/>
    <n v="31"/>
    <x v="162"/>
    <n v="18"/>
    <n v="9"/>
    <n v="931.14840000000004"/>
    <x v="52"/>
    <x v="5"/>
    <n v="613.94399999999996"/>
    <n v="1023.24"/>
    <x v="2"/>
    <n v="1108.4201121197073"/>
    <n v="1065.8219999999999"/>
    <n v="16760.671200000001"/>
    <n v="5709.6792000000014"/>
    <n v="-134.67359999999985"/>
    <n v="-0.12635655859984113"/>
    <n v="0.34065934065934073"/>
  </r>
  <r>
    <n v="183"/>
    <n v="39"/>
    <x v="163"/>
    <n v="15"/>
    <n v="10"/>
    <n v="2886.8220000000001"/>
    <x v="49"/>
    <x v="6"/>
    <n v="1924.5479999999998"/>
    <n v="3207.58"/>
    <x v="1"/>
    <n v="4137.5376417509888"/>
    <n v="9555.6079999999984"/>
    <n v="43302.33"/>
    <n v="14434.110000000004"/>
    <n v="-6668.7859999999982"/>
    <n v="-0.69789237900926859"/>
    <n v="0.33333333333333343"/>
  </r>
  <r>
    <n v="184"/>
    <n v="55"/>
    <x v="13"/>
    <n v="23"/>
    <n v="2"/>
    <n v="945.00419999999997"/>
    <x v="47"/>
    <x v="6"/>
    <n v="578.57399999999996"/>
    <n v="964.29"/>
    <x v="2"/>
    <n v="1172.8198607116815"/>
    <n v="1508.7675000000002"/>
    <n v="21735.096600000001"/>
    <n v="8427.8945999999996"/>
    <n v="-563.76330000000019"/>
    <n v="-0.37365816800799334"/>
    <n v="0.38775510204081631"/>
  </r>
  <r>
    <n v="185"/>
    <n v="96"/>
    <x v="161"/>
    <n v="45"/>
    <n v="5"/>
    <n v="5115.2179999999989"/>
    <x v="105"/>
    <x v="4"/>
    <n v="3230.6639999999998"/>
    <n v="5384.44"/>
    <x v="3"/>
    <n v="5542.357160031399"/>
    <n v="3578.9180000000001"/>
    <n v="230184.80999999994"/>
    <n v="84804.929999999964"/>
    <n v="1536.2999999999988"/>
    <n v="0.42926381660602414"/>
    <n v="0.36842105263157887"/>
  </r>
  <r>
    <n v="186"/>
    <n v="126"/>
    <x v="164"/>
    <n v="17"/>
    <n v="4"/>
    <n v="972.70079999999996"/>
    <x v="59"/>
    <x v="4"/>
    <n v="607.93799999999999"/>
    <n v="1013.23"/>
    <x v="4"/>
    <n v="1080.609467675105"/>
    <n v="7593.0025000000005"/>
    <n v="16535.9136"/>
    <n v="6200.9675999999999"/>
    <n v="-6620.3017000000009"/>
    <n v="-0.87189510341923371"/>
    <n v="0.375"/>
  </r>
  <r>
    <n v="187"/>
    <n v="99"/>
    <x v="165"/>
    <n v="31"/>
    <n v="3"/>
    <n v="1982.6605999999999"/>
    <x v="106"/>
    <x v="3"/>
    <n v="1226.3879999999999"/>
    <n v="2043.98"/>
    <x v="2"/>
    <n v="2210.0889908481399"/>
    <n v="958.76666666666654"/>
    <n v="61462.478599999995"/>
    <n v="23444.4506"/>
    <n v="1023.8939333333334"/>
    <n v="1.0679281716093594"/>
    <n v="0.3814432989690722"/>
  </r>
  <r>
    <n v="188"/>
    <n v="78"/>
    <x v="166"/>
    <n v="20"/>
    <n v="6"/>
    <n v="813.79559999999992"/>
    <x v="26"/>
    <x v="2"/>
    <n v="519.44399999999996"/>
    <n v="865.74"/>
    <x v="0"/>
    <n v="913.00078947847635"/>
    <n v="398.392"/>
    <n v="16275.911999999998"/>
    <n v="5887.0319999999992"/>
    <n v="415.40359999999993"/>
    <n v="1.0427006566396915"/>
    <n v="0.36170212765957444"/>
  </r>
  <r>
    <n v="189"/>
    <n v="139"/>
    <x v="167"/>
    <n v="18"/>
    <n v="3"/>
    <n v="2513.3476000000001"/>
    <x v="25"/>
    <x v="3"/>
    <n v="1554.6479999999999"/>
    <n v="2591.08"/>
    <x v="4"/>
    <n v="2793.2407967938229"/>
    <n v="2839.1733333333336"/>
    <n v="45240.256800000003"/>
    <n v="17256.592800000002"/>
    <n v="-325.82573333333357"/>
    <n v="-0.11476077543698172"/>
    <n v="0.3814432989690722"/>
  </r>
  <r>
    <n v="190"/>
    <n v="145"/>
    <x v="168"/>
    <n v="9"/>
    <n v="8"/>
    <n v="5946.4660000000003"/>
    <x v="107"/>
    <x v="2"/>
    <n v="3878.13"/>
    <n v="6463.55"/>
    <x v="4"/>
    <n v="7568.3575531057959"/>
    <n v="699.73666666666668"/>
    <n v="53518.194000000003"/>
    <n v="18615.024000000001"/>
    <n v="5246.7293333333337"/>
    <n v="7.4981483510463462"/>
    <n v="0.34782608695652173"/>
  </r>
  <r>
    <n v="191"/>
    <n v="87"/>
    <x v="169"/>
    <n v="28"/>
    <n v="7"/>
    <n v="3807.5315999999998"/>
    <x v="15"/>
    <x v="5"/>
    <n v="2456.4719999999998"/>
    <n v="4094.12"/>
    <x v="2"/>
    <n v="4864.7093287218086"/>
    <n v="493.79250000000002"/>
    <n v="106610.8848"/>
    <n v="37829.668799999999"/>
    <n v="3313.7390999999998"/>
    <n v="6.7107926912620171"/>
    <n v="0.35483870967741937"/>
  </r>
  <r>
    <n v="192"/>
    <n v="93"/>
    <x v="170"/>
    <n v="26"/>
    <n v="5"/>
    <n v="7279.441499999999"/>
    <x v="66"/>
    <x v="2"/>
    <n v="4597.5419999999995"/>
    <n v="7662.57"/>
    <x v="3"/>
    <n v="8017.1975072652003"/>
    <n v="991.00333333333344"/>
    <n v="189265.47899999996"/>
    <n v="69729.386999999988"/>
    <n v="6288.4381666666659"/>
    <n v="6.345526755712223"/>
    <n v="0.36842105263157898"/>
  </r>
  <r>
    <n v="193"/>
    <n v="70"/>
    <x v="171"/>
    <n v="10"/>
    <n v="10"/>
    <n v="3626.7750000000001"/>
    <x v="98"/>
    <x v="7"/>
    <n v="2417.85"/>
    <n v="4029.75"/>
    <x v="1"/>
    <n v="4735.3592454989966"/>
    <n v="2158.7083333333335"/>
    <n v="36267.75"/>
    <n v="12089.250000000002"/>
    <n v="1468.0666666666666"/>
    <n v="0.68006716979675341"/>
    <n v="0.33333333333333337"/>
  </r>
  <r>
    <n v="194"/>
    <n v="109"/>
    <x v="172"/>
    <n v="14"/>
    <n v="7"/>
    <n v="2059.4756999999995"/>
    <x v="94"/>
    <x v="2"/>
    <n v="1328.6939999999997"/>
    <n v="2214.4899999999998"/>
    <x v="2"/>
    <n v="2439.8238020674939"/>
    <n v="6555.1760000000013"/>
    <n v="28832.659799999994"/>
    <n v="10230.943799999997"/>
    <n v="-4495.7003000000022"/>
    <n v="-0.68582449960153646"/>
    <n v="0.35483870967741932"/>
  </r>
  <r>
    <n v="195"/>
    <n v="104"/>
    <x v="173"/>
    <n v="36"/>
    <n v="5"/>
    <n v="3071.8724999999999"/>
    <x v="44"/>
    <x v="2"/>
    <n v="1940.13"/>
    <n v="3233.55"/>
    <x v="1"/>
    <n v="3811.3905818250541"/>
    <n v="5121.3466666666664"/>
    <n v="110587.41"/>
    <n v="40742.729999999996"/>
    <n v="-2049.4741666666664"/>
    <n v="-0.40018266679857639"/>
    <n v="0.36842105263157887"/>
  </r>
  <r>
    <n v="196"/>
    <n v="20"/>
    <x v="174"/>
    <n v="30"/>
    <n v="2"/>
    <n v="2970.5563999999999"/>
    <x v="61"/>
    <x v="7"/>
    <n v="1818.7079999999999"/>
    <n v="3031.18"/>
    <x v="0"/>
    <n v="3641.419665838921"/>
    <n v="4553.9966666666669"/>
    <n v="89116.691999999995"/>
    <n v="34555.452000000005"/>
    <n v="-1583.440266666667"/>
    <n v="-0.3477034311985297"/>
    <n v="0.38775510204081642"/>
  </r>
  <r>
    <n v="197"/>
    <n v="25"/>
    <x v="175"/>
    <n v="1"/>
    <n v="10"/>
    <n v="511.35299999999995"/>
    <x v="38"/>
    <x v="4"/>
    <n v="340.90199999999999"/>
    <n v="568.16999999999996"/>
    <x v="1"/>
    <n v="632.18476736130333"/>
    <n v="2024.2300000000002"/>
    <n v="511.35299999999995"/>
    <n v="170.45099999999996"/>
    <n v="-1512.8770000000004"/>
    <n v="-0.74738394352420434"/>
    <n v="0.33333333333333331"/>
  </r>
  <r>
    <n v="198"/>
    <n v="60"/>
    <x v="176"/>
    <n v="34"/>
    <n v="9"/>
    <n v="2523.0751"/>
    <x v="36"/>
    <x v="2"/>
    <n v="1663.566"/>
    <n v="2772.61"/>
    <x v="2"/>
    <n v="3549.1361211709814"/>
    <n v="3047.7533333333336"/>
    <n v="85784.553400000004"/>
    <n v="29223.309399999998"/>
    <n v="-524.67823333333354"/>
    <n v="-0.17215245984473815"/>
    <n v="0.34065934065934061"/>
  </r>
  <r>
    <n v="199"/>
    <n v="117"/>
    <x v="177"/>
    <n v="15"/>
    <n v="2"/>
    <n v="2084.6363999999999"/>
    <x v="1"/>
    <x v="0"/>
    <n v="1276.3079999999998"/>
    <n v="2127.1799999999998"/>
    <x v="1"/>
    <n v="2417.7867069884678"/>
    <n v="892.9766666666668"/>
    <n v="31269.545999999998"/>
    <n v="12124.926000000001"/>
    <n v="1191.659733333333"/>
    <n v="1.3344802589093401"/>
    <n v="0.38775510204081637"/>
  </r>
  <r>
    <n v="200"/>
    <n v="89"/>
    <x v="178"/>
    <n v="44"/>
    <n v="10"/>
    <n v="907.53300000000002"/>
    <x v="108"/>
    <x v="1"/>
    <n v="605.02199999999993"/>
    <n v="1008.37"/>
    <x v="0"/>
    <n v="1274.3835263001329"/>
    <n v="913.02"/>
    <n v="39931.451999999997"/>
    <n v="13310.484000000004"/>
    <n v="-5.4869999999999663"/>
    <n v="-6.0097259643819047E-3"/>
    <n v="0.33333333333333348"/>
  </r>
  <r>
    <n v="201"/>
    <n v="84"/>
    <x v="179"/>
    <n v="39"/>
    <n v="8"/>
    <n v="7139.3472000000002"/>
    <x v="80"/>
    <x v="6"/>
    <n v="4656.0959999999995"/>
    <n v="7760.16"/>
    <x v="1"/>
    <n v="8156.58974094312"/>
    <n v="2588.9250000000002"/>
    <n v="278434.54080000002"/>
    <n v="96846.796800000026"/>
    <n v="4550.4222"/>
    <n v="1.7576492945913844"/>
    <n v="0.34782608695652178"/>
  </r>
  <r>
    <n v="202"/>
    <n v="131"/>
    <x v="180"/>
    <n v="40"/>
    <n v="4"/>
    <n v="5944.8768"/>
    <x v="109"/>
    <x v="6"/>
    <n v="3715.5479999999998"/>
    <n v="6192.58"/>
    <x v="3"/>
    <n v="6727.5166410412485"/>
    <n v="1795.3133333333335"/>
    <n v="237795.07199999999"/>
    <n v="89173.152000000002"/>
    <n v="4149.5634666666665"/>
    <n v="2.3113310582739501"/>
    <n v="0.37500000000000006"/>
  </r>
  <r>
    <n v="203"/>
    <n v="111"/>
    <x v="25"/>
    <n v="48"/>
    <n v="10"/>
    <n v="678.798"/>
    <x v="110"/>
    <x v="6"/>
    <n v="452.53199999999998"/>
    <n v="754.22"/>
    <x v="3"/>
    <n v="817.03055261921043"/>
    <n v="3824.0450000000001"/>
    <n v="32582.304"/>
    <n v="10860.768"/>
    <n v="-3145.2470000000003"/>
    <n v="-0.82249215163524492"/>
    <n v="0.33333333333333331"/>
  </r>
  <r>
    <n v="204"/>
    <n v="70"/>
    <x v="145"/>
    <n v="1"/>
    <n v="4"/>
    <n v="3868.56"/>
    <x v="98"/>
    <x v="7"/>
    <n v="2417.85"/>
    <n v="4029.75"/>
    <x v="1"/>
    <n v="4602.290163807701"/>
    <n v="2158.7083333333335"/>
    <n v="3868.56"/>
    <n v="1450.71"/>
    <n v="1709.8516666666665"/>
    <n v="0.79207164778320349"/>
    <n v="0.375"/>
  </r>
  <r>
    <n v="205"/>
    <n v="130"/>
    <x v="181"/>
    <n v="43"/>
    <n v="3"/>
    <n v="3089.9252999999999"/>
    <x v="111"/>
    <x v="4"/>
    <n v="1911.2939999999999"/>
    <n v="3185.49"/>
    <x v="4"/>
    <n v="3502.3826967079076"/>
    <n v="3865.1374999999998"/>
    <n v="132866.7879"/>
    <n v="50681.145900000003"/>
    <n v="-775.21219999999994"/>
    <n v="-0.20056523215538904"/>
    <n v="0.3814432989690722"/>
  </r>
  <r>
    <n v="206"/>
    <n v="47"/>
    <x v="182"/>
    <n v="42"/>
    <n v="4"/>
    <n v="3277.0367999999999"/>
    <x v="112"/>
    <x v="2"/>
    <n v="2048.1479999999997"/>
    <n v="3413.58"/>
    <x v="4"/>
    <n v="4387.3890586410125"/>
    <n v="2051.0440000000003"/>
    <n v="137635.54559999998"/>
    <n v="51613.329600000005"/>
    <n v="1225.9927999999995"/>
    <n v="0.5977408578265504"/>
    <n v="0.37500000000000006"/>
  </r>
  <r>
    <n v="207"/>
    <n v="29"/>
    <x v="117"/>
    <n v="39"/>
    <n v="3"/>
    <n v="7248.8099999999995"/>
    <x v="56"/>
    <x v="5"/>
    <n v="4483.8"/>
    <n v="7473"/>
    <x v="2"/>
    <n v="8457.8988700228074"/>
    <n v="1925.7060000000001"/>
    <n v="282703.58999999997"/>
    <n v="107835.38999999997"/>
    <n v="5323.1039999999994"/>
    <n v="2.7642350389934909"/>
    <n v="0.38144329896907209"/>
  </r>
  <r>
    <n v="208"/>
    <n v="111"/>
    <x v="14"/>
    <n v="35"/>
    <n v="2"/>
    <n v="739.13560000000007"/>
    <x v="110"/>
    <x v="6"/>
    <n v="452.53199999999998"/>
    <n v="754.22"/>
    <x v="3"/>
    <n v="949.41623832347807"/>
    <n v="3824.0450000000001"/>
    <n v="25869.746000000003"/>
    <n v="10031.126000000004"/>
    <n v="-3084.9094"/>
    <n v="-0.80671367622504442"/>
    <n v="0.38775510204081642"/>
  </r>
  <r>
    <n v="209"/>
    <n v="31"/>
    <x v="183"/>
    <n v="35"/>
    <n v="7"/>
    <n v="951.61319999999989"/>
    <x v="52"/>
    <x v="5"/>
    <n v="613.94399999999996"/>
    <n v="1023.24"/>
    <x v="2"/>
    <n v="1319.9739145070002"/>
    <n v="1065.8219999999999"/>
    <n v="33306.462"/>
    <n v="11818.421999999997"/>
    <n v="-114.2088"/>
    <n v="-0.10715560384379381"/>
    <n v="0.35483870967741926"/>
  </r>
  <r>
    <n v="210"/>
    <n v="66"/>
    <x v="184"/>
    <n v="24"/>
    <n v="3"/>
    <n v="5650.2596999999996"/>
    <x v="81"/>
    <x v="7"/>
    <n v="3495.0059999999999"/>
    <n v="5825.01"/>
    <x v="1"/>
    <n v="7260.8187047906213"/>
    <n v="6051.7379999999994"/>
    <n v="135606.2328"/>
    <n v="51726.088799999998"/>
    <n v="-401.47829999999976"/>
    <n v="-6.6340991629181528E-2"/>
    <n v="0.38144329896907214"/>
  </r>
  <r>
    <n v="211"/>
    <n v="28"/>
    <x v="185"/>
    <n v="27"/>
    <n v="8"/>
    <n v="5259.2903999999999"/>
    <x v="70"/>
    <x v="0"/>
    <n v="3429.9719999999998"/>
    <n v="5716.62"/>
    <x v="4"/>
    <n v="7312.2106326626144"/>
    <n v="3542.9559999999997"/>
    <n v="142000.84080000001"/>
    <n v="49391.596799999999"/>
    <n v="1716.3344000000002"/>
    <n v="0.48443570848748907"/>
    <n v="0.34782608695652173"/>
  </r>
  <r>
    <n v="212"/>
    <n v="110"/>
    <x v="186"/>
    <n v="11"/>
    <n v="2"/>
    <n v="1523.1258"/>
    <x v="91"/>
    <x v="2"/>
    <n v="932.52599999999995"/>
    <n v="1554.21"/>
    <x v="3"/>
    <n v="1585.5345701349747"/>
    <n v="764.66499999999996"/>
    <n v="16754.3838"/>
    <n v="6496.5978000000005"/>
    <n v="758.46080000000006"/>
    <n v="0.99188638161809428"/>
    <n v="0.38775510204081637"/>
  </r>
  <r>
    <n v="213"/>
    <n v="145"/>
    <x v="187"/>
    <n v="13"/>
    <n v="10"/>
    <n v="5817.1950000000006"/>
    <x v="107"/>
    <x v="2"/>
    <n v="3878.13"/>
    <n v="6463.55"/>
    <x v="4"/>
    <n v="6613.3015621297427"/>
    <n v="699.73666666666668"/>
    <n v="75623.535000000003"/>
    <n v="25207.845000000008"/>
    <n v="5117.4583333333339"/>
    <n v="7.3134059955888171"/>
    <n v="0.33333333333333343"/>
  </r>
  <r>
    <n v="214"/>
    <n v="5"/>
    <x v="188"/>
    <n v="46"/>
    <n v="10"/>
    <n v="747.22500000000002"/>
    <x v="113"/>
    <x v="6"/>
    <n v="498.15"/>
    <n v="830.25"/>
    <x v="4"/>
    <n v="927.46017291489659"/>
    <n v="7010.5333333333328"/>
    <n v="34372.35"/>
    <n v="11457.450000000003"/>
    <n v="-6263.3083333333325"/>
    <n v="-0.89341395804408597"/>
    <n v="0.33333333333333343"/>
  </r>
  <r>
    <n v="215"/>
    <n v="33"/>
    <x v="189"/>
    <n v="23"/>
    <n v="8"/>
    <n v="4648.7507999999998"/>
    <x v="84"/>
    <x v="0"/>
    <n v="3031.7939999999999"/>
    <n v="5052.99"/>
    <x v="3"/>
    <n v="6236.090121995926"/>
    <n v="2776.7875000000004"/>
    <n v="106921.2684"/>
    <n v="37190.006399999998"/>
    <n v="1871.9632999999994"/>
    <n v="0.67414712144879618"/>
    <n v="0.34782608695652173"/>
  </r>
  <r>
    <n v="216"/>
    <n v="22"/>
    <x v="159"/>
    <n v="34"/>
    <n v="8"/>
    <n v="1503.74"/>
    <x v="6"/>
    <x v="3"/>
    <n v="980.69999999999993"/>
    <n v="1634.5"/>
    <x v="1"/>
    <n v="1782.1347637465376"/>
    <n v="3187.4450000000002"/>
    <n v="51127.16"/>
    <n v="17783.360000000004"/>
    <n v="-1683.7050000000002"/>
    <n v="-0.52823029103247277"/>
    <n v="0.34782608695652178"/>
  </r>
  <r>
    <n v="217"/>
    <n v="36"/>
    <x v="190"/>
    <n v="37"/>
    <n v="3"/>
    <n v="142.97800000000001"/>
    <x v="57"/>
    <x v="0"/>
    <n v="88.44"/>
    <n v="147.4"/>
    <x v="3"/>
    <n v="174.54227215724484"/>
    <n v="2726.4116666666664"/>
    <n v="5290.1860000000006"/>
    <n v="2017.9060000000004"/>
    <n v="-2583.4336666666663"/>
    <n v="-0.94755817628421235"/>
    <n v="0.3814432989690722"/>
  </r>
  <r>
    <n v="218"/>
    <n v="8"/>
    <x v="191"/>
    <n v="13"/>
    <n v="6"/>
    <n v="5305.3035999999993"/>
    <x v="114"/>
    <x v="1"/>
    <n v="3386.3639999999996"/>
    <n v="5643.94"/>
    <x v="2"/>
    <n v="5685.2141897654346"/>
    <n v="2853.6650000000004"/>
    <n v="68968.946799999991"/>
    <n v="24946.214799999994"/>
    <n v="2451.6385999999989"/>
    <n v="0.85911927293497958"/>
    <n v="0.36170212765957444"/>
  </r>
  <r>
    <n v="219"/>
    <n v="28"/>
    <x v="192"/>
    <n v="7"/>
    <n v="5"/>
    <n v="5430.7889999999998"/>
    <x v="70"/>
    <x v="0"/>
    <n v="3429.9719999999998"/>
    <n v="5716.62"/>
    <x v="4"/>
    <n v="6388.3259563028532"/>
    <n v="3542.9559999999997"/>
    <n v="38015.523000000001"/>
    <n v="14005.719000000001"/>
    <n v="1887.8330000000001"/>
    <n v="0.53284122072077678"/>
    <n v="0.36842105263157898"/>
  </r>
  <r>
    <n v="220"/>
    <n v="150"/>
    <x v="193"/>
    <n v="16"/>
    <n v="3"/>
    <n v="2221.0283999999997"/>
    <x v="29"/>
    <x v="1"/>
    <n v="1373.8319999999999"/>
    <n v="2289.7199999999998"/>
    <x v="3"/>
    <n v="2781.6113452899558"/>
    <n v="1810.3166666666666"/>
    <n v="35536.454399999995"/>
    <n v="13555.142399999997"/>
    <n v="410.71173333333309"/>
    <n v="0.22687286754619346"/>
    <n v="0.38144329896907214"/>
  </r>
  <r>
    <n v="221"/>
    <n v="45"/>
    <x v="194"/>
    <n v="37"/>
    <n v="6"/>
    <n v="5006.8065999999999"/>
    <x v="69"/>
    <x v="1"/>
    <n v="3195.8340000000003"/>
    <n v="5326.39"/>
    <x v="1"/>
    <n v="5978.1563660073216"/>
    <n v="4436.1279999999997"/>
    <n v="185251.84419999999"/>
    <n v="67005.986199999985"/>
    <n v="570.67860000000019"/>
    <n v="0.1286434025348232"/>
    <n v="0.36170212765957438"/>
  </r>
  <r>
    <n v="222"/>
    <n v="44"/>
    <x v="195"/>
    <n v="6"/>
    <n v="10"/>
    <n v="318.24"/>
    <x v="115"/>
    <x v="7"/>
    <n v="212.16"/>
    <n v="353.6"/>
    <x v="0"/>
    <n v="386.7650873765557"/>
    <n v="4064.8233333333333"/>
    <n v="1909.44"/>
    <n v="636.48"/>
    <n v="-3746.583333333333"/>
    <n v="-0.92170877455108746"/>
    <n v="0.33333333333333331"/>
  </r>
  <r>
    <n v="223"/>
    <n v="35"/>
    <x v="138"/>
    <n v="46"/>
    <n v="5"/>
    <n v="128.43049999999999"/>
    <x v="104"/>
    <x v="3"/>
    <n v="81.11399999999999"/>
    <n v="135.19"/>
    <x v="3"/>
    <n v="138.43829863318425"/>
    <n v="2089.5899999999997"/>
    <n v="5907.8029999999999"/>
    <n v="2176.5590000000002"/>
    <n v="-1961.1594999999998"/>
    <n v="-0.93853794285003278"/>
    <n v="0.36842105263157898"/>
  </r>
  <r>
    <n v="224"/>
    <n v="88"/>
    <x v="61"/>
    <n v="16"/>
    <n v="9"/>
    <n v="5675.0603000000001"/>
    <x v="116"/>
    <x v="5"/>
    <n v="3741.7979999999998"/>
    <n v="6236.33"/>
    <x v="4"/>
    <n v="6657.4033628446296"/>
    <n v="4981.5050000000001"/>
    <n v="90800.964800000002"/>
    <n v="30932.196800000005"/>
    <n v="693.55529999999999"/>
    <n v="0.13922605718552927"/>
    <n v="0.34065934065934073"/>
  </r>
  <r>
    <n v="225"/>
    <n v="117"/>
    <x v="196"/>
    <n v="10"/>
    <n v="5"/>
    <n v="2020.8209999999997"/>
    <x v="1"/>
    <x v="0"/>
    <n v="1276.3079999999998"/>
    <n v="2127.1799999999998"/>
    <x v="1"/>
    <n v="2367.5350678820255"/>
    <n v="892.9766666666668"/>
    <n v="20208.209999999995"/>
    <n v="7445.1299999999992"/>
    <n v="1127.844333333333"/>
    <n v="1.2630165775141562"/>
    <n v="0.36842105263157898"/>
  </r>
  <r>
    <n v="226"/>
    <n v="11"/>
    <x v="197"/>
    <n v="21"/>
    <n v="8"/>
    <n v="2944.1839999999997"/>
    <x v="16"/>
    <x v="1"/>
    <n v="1920.12"/>
    <n v="3200.2"/>
    <x v="1"/>
    <n v="3489.7583812907492"/>
    <n v="7089.33"/>
    <n v="61827.863999999994"/>
    <n v="21505.343999999997"/>
    <n v="-4145.1460000000006"/>
    <n v="-0.58470208045047989"/>
    <n v="0.34782608695652173"/>
  </r>
  <r>
    <n v="227"/>
    <n v="133"/>
    <x v="198"/>
    <n v="50"/>
    <n v="4"/>
    <n v="6340.7039999999997"/>
    <x v="40"/>
    <x v="1"/>
    <n v="3962.9399999999996"/>
    <n v="6604.9"/>
    <x v="0"/>
    <n v="8195.4156699201612"/>
    <n v="4666.1933333333336"/>
    <n v="317035.2"/>
    <n v="118888.20000000001"/>
    <n v="1674.5106666666661"/>
    <n v="0.3588601129543138"/>
    <n v="0.375"/>
  </r>
  <r>
    <n v="228"/>
    <n v="88"/>
    <x v="199"/>
    <n v="14"/>
    <n v="4"/>
    <n v="5986.8768"/>
    <x v="116"/>
    <x v="5"/>
    <n v="3741.7979999999998"/>
    <n v="6236.33"/>
    <x v="4"/>
    <n v="6630.6949661655135"/>
    <n v="4981.5050000000001"/>
    <n v="83816.275200000004"/>
    <n v="31431.103200000005"/>
    <n v="1005.3717999999999"/>
    <n v="0.20182089549242646"/>
    <n v="0.37500000000000006"/>
  </r>
  <r>
    <n v="229"/>
    <n v="128"/>
    <x v="200"/>
    <n v="21"/>
    <n v="4"/>
    <n v="5052.0960000000005"/>
    <x v="117"/>
    <x v="7"/>
    <n v="3157.56"/>
    <n v="5262.6"/>
    <x v="0"/>
    <n v="6742.4080691864337"/>
    <n v="1349.8883333333335"/>
    <n v="106094.016"/>
    <n v="39785.256000000008"/>
    <n v="3702.2076666666671"/>
    <n v="2.7426029066601805"/>
    <n v="0.37500000000000006"/>
  </r>
  <r>
    <n v="230"/>
    <n v="103"/>
    <x v="201"/>
    <n v="39"/>
    <n v="6"/>
    <n v="6029.2069999999994"/>
    <x v="12"/>
    <x v="1"/>
    <n v="3848.43"/>
    <n v="6414.05"/>
    <x v="0"/>
    <n v="7756.2411495792057"/>
    <n v="6457.8324999999995"/>
    <n v="235139.07299999997"/>
    <n v="85050.302999999985"/>
    <n v="-428.6255000000001"/>
    <n v="-6.6372966471335407E-2"/>
    <n v="0.36170212765957444"/>
  </r>
  <r>
    <n v="231"/>
    <n v="6"/>
    <x v="152"/>
    <n v="26"/>
    <n v="2"/>
    <n v="4042.6764000000003"/>
    <x v="34"/>
    <x v="0"/>
    <n v="2475.1080000000002"/>
    <n v="4125.18"/>
    <x v="4"/>
    <n v="4979.4843375024848"/>
    <n v="6862.0275000000001"/>
    <n v="105109.5864"/>
    <n v="40756.778400000003"/>
    <n v="-2819.3510999999999"/>
    <n v="-0.41086269327833497"/>
    <n v="0.38775510204081637"/>
  </r>
  <r>
    <n v="232"/>
    <n v="78"/>
    <x v="92"/>
    <n v="39"/>
    <n v="8"/>
    <n v="796.48080000000004"/>
    <x v="26"/>
    <x v="2"/>
    <n v="519.44399999999996"/>
    <n v="865.74"/>
    <x v="0"/>
    <n v="995.9389621815759"/>
    <n v="398.392"/>
    <n v="31062.751200000002"/>
    <n v="10804.435200000004"/>
    <n v="398.08880000000005"/>
    <n v="0.99923894054097484"/>
    <n v="0.34782608695652184"/>
  </r>
  <r>
    <n v="233"/>
    <n v="21"/>
    <x v="202"/>
    <n v="22"/>
    <n v="10"/>
    <n v="2591.3700000000003"/>
    <x v="67"/>
    <x v="0"/>
    <n v="1727.5800000000002"/>
    <n v="2879.3"/>
    <x v="3"/>
    <n v="3351.8377680856115"/>
    <n v="4150.0079999999998"/>
    <n v="57010.140000000007"/>
    <n v="19003.380000000005"/>
    <n v="-1558.6379999999995"/>
    <n v="-0.37557469768732965"/>
    <n v="0.33333333333333337"/>
  </r>
  <r>
    <n v="234"/>
    <n v="96"/>
    <x v="60"/>
    <n v="37"/>
    <n v="4"/>
    <n v="5169.0623999999998"/>
    <x v="105"/>
    <x v="4"/>
    <n v="3230.6639999999998"/>
    <n v="5384.44"/>
    <x v="3"/>
    <n v="5849.523262836261"/>
    <n v="3578.9180000000001"/>
    <n v="191255.3088"/>
    <n v="71720.7408"/>
    <n v="1590.1443999999997"/>
    <n v="0.44430869888608782"/>
    <n v="0.375"/>
  </r>
  <r>
    <n v="235"/>
    <n v="68"/>
    <x v="203"/>
    <n v="17"/>
    <n v="3"/>
    <n v="5862.1852999999992"/>
    <x v="53"/>
    <x v="6"/>
    <n v="3626.0939999999996"/>
    <n v="6043.49"/>
    <x v="2"/>
    <n v="6445.1162490784254"/>
    <n v="796.21333333333325"/>
    <n v="99657.150099999984"/>
    <n v="38013.552099999994"/>
    <n v="5065.971966666666"/>
    <n v="6.3625811758992565"/>
    <n v="0.38144329896907214"/>
  </r>
  <r>
    <n v="236"/>
    <n v="56"/>
    <x v="204"/>
    <n v="29"/>
    <n v="9"/>
    <n v="7263.4380000000001"/>
    <x v="17"/>
    <x v="5"/>
    <n v="4789.08"/>
    <n v="7981.8"/>
    <x v="4"/>
    <n v="10035.02856932234"/>
    <n v="3458.9274999999998"/>
    <n v="210639.70199999999"/>
    <n v="71756.382000000012"/>
    <n v="3804.5105000000003"/>
    <n v="1.0999104491204283"/>
    <n v="0.34065934065934073"/>
  </r>
  <r>
    <n v="237"/>
    <n v="7"/>
    <x v="105"/>
    <n v="39"/>
    <n v="8"/>
    <n v="7695.616"/>
    <x v="24"/>
    <x v="3"/>
    <n v="5018.8799999999992"/>
    <n v="8364.7999999999993"/>
    <x v="1"/>
    <n v="9598.3486763888923"/>
    <n v="1679.8333333333333"/>
    <n v="300129.02399999998"/>
    <n v="104392.70400000003"/>
    <n v="6015.782666666667"/>
    <n v="3.5811782914971726"/>
    <n v="0.34782608695652184"/>
  </r>
  <r>
    <n v="238"/>
    <n v="23"/>
    <x v="145"/>
    <n v="12"/>
    <n v="8"/>
    <n v="3646.3280000000004"/>
    <x v="118"/>
    <x v="5"/>
    <n v="2378.04"/>
    <n v="3963.4"/>
    <x v="4"/>
    <n v="4768.4511936551789"/>
    <n v="5343.3279999999995"/>
    <n v="43755.936000000002"/>
    <n v="15219.456000000006"/>
    <n v="-1696.9999999999991"/>
    <n v="-0.31759233196988829"/>
    <n v="0.34782608695652184"/>
  </r>
  <r>
    <n v="239"/>
    <n v="131"/>
    <x v="205"/>
    <n v="19"/>
    <n v="2"/>
    <n v="6068.7284"/>
    <x v="109"/>
    <x v="6"/>
    <n v="3715.5479999999998"/>
    <n v="6192.58"/>
    <x v="3"/>
    <n v="7616.0834039747133"/>
    <n v="1795.3133333333335"/>
    <n v="115305.83960000001"/>
    <n v="44710.427600000003"/>
    <n v="4273.4150666666665"/>
    <n v="2.3803171219879906"/>
    <n v="0.38775510204081631"/>
  </r>
  <r>
    <n v="240"/>
    <n v="8"/>
    <x v="19"/>
    <n v="41"/>
    <n v="6"/>
    <n v="5305.3035999999993"/>
    <x v="114"/>
    <x v="1"/>
    <n v="3386.3639999999996"/>
    <n v="5643.94"/>
    <x v="2"/>
    <n v="6659.4547452889592"/>
    <n v="2853.6650000000004"/>
    <n v="217517.44759999996"/>
    <n v="78676.523599999986"/>
    <n v="2451.6385999999989"/>
    <n v="0.85911927293497958"/>
    <n v="0.36170212765957449"/>
  </r>
  <r>
    <n v="241"/>
    <n v="131"/>
    <x v="36"/>
    <n v="12"/>
    <n v="10"/>
    <n v="5573.3220000000001"/>
    <x v="109"/>
    <x v="6"/>
    <n v="3715.5479999999998"/>
    <n v="6192.58"/>
    <x v="3"/>
    <n v="7532.2297424405788"/>
    <n v="1795.3133333333335"/>
    <n v="66879.864000000001"/>
    <n v="22293.288000000004"/>
    <n v="3778.0086666666666"/>
    <n v="2.1043728671318283"/>
    <n v="0.33333333333333337"/>
  </r>
  <r>
    <n v="242"/>
    <n v="101"/>
    <x v="206"/>
    <n v="28"/>
    <n v="8"/>
    <n v="4342.6668"/>
    <x v="5"/>
    <x v="3"/>
    <n v="2832.174"/>
    <n v="4720.29"/>
    <x v="2"/>
    <n v="5928.0438624918979"/>
    <n v="6068.0179999999991"/>
    <n v="121594.6704"/>
    <n v="42293.7984"/>
    <n v="-1725.3511999999992"/>
    <n v="-0.28433521456264621"/>
    <n v="0.34782608695652173"/>
  </r>
  <r>
    <n v="243"/>
    <n v="48"/>
    <x v="207"/>
    <n v="43"/>
    <n v="6"/>
    <n v="3466.9737999999998"/>
    <x v="3"/>
    <x v="0"/>
    <n v="2212.962"/>
    <n v="3688.27"/>
    <x v="0"/>
    <n v="4398.8241749768622"/>
    <n v="1050.3625000000002"/>
    <n v="149079.87339999998"/>
    <n v="53922.507399999988"/>
    <n v="2416.6112999999996"/>
    <n v="2.3007402682407254"/>
    <n v="0.36170212765957444"/>
  </r>
  <r>
    <n v="244"/>
    <n v="43"/>
    <x v="208"/>
    <n v="32"/>
    <n v="6"/>
    <n v="3031.4811999999997"/>
    <x v="119"/>
    <x v="3"/>
    <n v="1934.9879999999998"/>
    <n v="3224.98"/>
    <x v="2"/>
    <n v="3606.5409780835362"/>
    <n v="445.53000000000003"/>
    <n v="97007.398399999991"/>
    <n v="35087.782399999996"/>
    <n v="2585.9511999999995"/>
    <n v="5.8042134087491286"/>
    <n v="0.36170212765957449"/>
  </r>
  <r>
    <n v="245"/>
    <n v="141"/>
    <x v="209"/>
    <n v="40"/>
    <n v="3"/>
    <n v="7629.2342999999992"/>
    <x v="86"/>
    <x v="1"/>
    <n v="4719.1139999999996"/>
    <n v="7865.19"/>
    <x v="4"/>
    <n v="8383.0061378157243"/>
    <n v="7586.8133333333344"/>
    <n v="305169.37199999997"/>
    <n v="116404.81199999998"/>
    <n v="42.420966666664754"/>
    <n v="5.5914077232247818E-3"/>
    <n v="0.38144329896907214"/>
  </r>
  <r>
    <n v="246"/>
    <n v="106"/>
    <x v="210"/>
    <n v="7"/>
    <n v="7"/>
    <n v="1333.6478999999999"/>
    <x v="74"/>
    <x v="1"/>
    <n v="860.41800000000001"/>
    <n v="1434.03"/>
    <x v="2"/>
    <n v="1724.3612793567027"/>
    <n v="695.38400000000001"/>
    <n v="9335.5352999999996"/>
    <n v="3312.6092999999996"/>
    <n v="638.26389999999992"/>
    <n v="0.91785819058246942"/>
    <n v="0.35483870967741932"/>
  </r>
  <r>
    <n v="247"/>
    <n v="58"/>
    <x v="211"/>
    <n v="27"/>
    <n v="8"/>
    <n v="1047.4936"/>
    <x v="103"/>
    <x v="7"/>
    <n v="683.14799999999991"/>
    <n v="1138.58"/>
    <x v="2"/>
    <n v="1467.6313532475879"/>
    <n v="1439.8525"/>
    <n v="28282.3272"/>
    <n v="9837.3312000000024"/>
    <n v="-392.35889999999995"/>
    <n v="-0.27249937059525192"/>
    <n v="0.34782608695652184"/>
  </r>
  <r>
    <n v="248"/>
    <n v="67"/>
    <x v="212"/>
    <n v="14"/>
    <n v="7"/>
    <n v="1070.1603"/>
    <x v="76"/>
    <x v="6"/>
    <n v="690.42600000000004"/>
    <n v="1150.71"/>
    <x v="0"/>
    <n v="1164.365499149787"/>
    <n v="7069.7"/>
    <n v="14982.244200000001"/>
    <n v="5316.2801999999992"/>
    <n v="-5999.5396999999994"/>
    <n v="-0.84862719775945228"/>
    <n v="0.35483870967741926"/>
  </r>
  <r>
    <n v="249"/>
    <n v="133"/>
    <x v="213"/>
    <n v="2"/>
    <n v="5"/>
    <n v="6274.6549999999997"/>
    <x v="40"/>
    <x v="1"/>
    <n v="3962.9399999999996"/>
    <n v="6604.9"/>
    <x v="0"/>
    <n v="8584.1948181794469"/>
    <n v="4666.1933333333336"/>
    <n v="12549.31"/>
    <n v="4623.43"/>
    <n v="1608.4616666666661"/>
    <n v="0.34470532011103971"/>
    <n v="0.36842105263157898"/>
  </r>
  <r>
    <n v="250"/>
    <n v="48"/>
    <x v="214"/>
    <n v="47"/>
    <n v="4"/>
    <n v="3540.7392"/>
    <x v="3"/>
    <x v="0"/>
    <n v="2212.962"/>
    <n v="3688.27"/>
    <x v="0"/>
    <n v="4713.1491694565948"/>
    <n v="1050.3625000000002"/>
    <n v="166414.74239999999"/>
    <n v="62405.528400000003"/>
    <n v="2490.3766999999998"/>
    <n v="2.3709687845862732"/>
    <n v="0.37500000000000006"/>
  </r>
  <r>
    <n v="251"/>
    <n v="8"/>
    <x v="215"/>
    <n v="39"/>
    <n v="10"/>
    <n v="5079.5459999999994"/>
    <x v="114"/>
    <x v="1"/>
    <n v="3386.3639999999996"/>
    <n v="5643.94"/>
    <x v="2"/>
    <n v="6157.0373921784594"/>
    <n v="2853.6650000000004"/>
    <n v="198102.29399999997"/>
    <n v="66034.097999999998"/>
    <n v="2225.8809999999989"/>
    <n v="0.78000781451221446"/>
    <n v="0.33333333333333337"/>
  </r>
  <r>
    <n v="252"/>
    <n v="117"/>
    <x v="216"/>
    <n v="15"/>
    <n v="6"/>
    <n v="1999.5491999999997"/>
    <x v="1"/>
    <x v="0"/>
    <n v="1276.3079999999998"/>
    <n v="2127.1799999999998"/>
    <x v="1"/>
    <n v="2370.3861621494393"/>
    <n v="892.9766666666668"/>
    <n v="29993.237999999994"/>
    <n v="10848.617999999999"/>
    <n v="1106.572533333333"/>
    <n v="1.2391953503824282"/>
    <n v="0.36170212765957449"/>
  </r>
  <r>
    <n v="253"/>
    <n v="64"/>
    <x v="217"/>
    <n v="49"/>
    <n v="10"/>
    <n v="2880"/>
    <x v="31"/>
    <x v="2"/>
    <n v="1920"/>
    <n v="3200"/>
    <x v="2"/>
    <n v="3924.7262595109519"/>
    <n v="3782.0099999999998"/>
    <n v="141120"/>
    <n v="47040"/>
    <n v="-902.00999999999976"/>
    <n v="-0.2385001626119444"/>
    <n v="0.33333333333333331"/>
  </r>
  <r>
    <n v="254"/>
    <n v="62"/>
    <x v="191"/>
    <n v="4"/>
    <n v="10"/>
    <n v="3112.1460000000002"/>
    <x v="79"/>
    <x v="7"/>
    <n v="2074.7640000000001"/>
    <n v="3457.94"/>
    <x v="0"/>
    <n v="3750.4286474391947"/>
    <n v="5560.3266666666668"/>
    <n v="12448.584000000001"/>
    <n v="4149.5280000000002"/>
    <n v="-2448.1806666666666"/>
    <n v="-0.44029439517342506"/>
    <n v="0.33333333333333331"/>
  </r>
  <r>
    <n v="255"/>
    <n v="53"/>
    <x v="99"/>
    <n v="27"/>
    <n v="7"/>
    <n v="3221.9012999999995"/>
    <x v="120"/>
    <x v="2"/>
    <n v="2078.6459999999997"/>
    <n v="3464.41"/>
    <x v="0"/>
    <n v="3572.7353161885076"/>
    <n v="954.33000000000015"/>
    <n v="86991.335099999982"/>
    <n v="30867.893099999994"/>
    <n v="2267.5712999999996"/>
    <n v="2.3760872025400013"/>
    <n v="0.35483870967741937"/>
  </r>
  <r>
    <n v="256"/>
    <n v="76"/>
    <x v="218"/>
    <n v="20"/>
    <n v="7"/>
    <n v="2850.9800999999998"/>
    <x v="63"/>
    <x v="5"/>
    <n v="1839.3420000000001"/>
    <n v="3065.57"/>
    <x v="1"/>
    <n v="3983.3194477213578"/>
    <n v="831.92600000000004"/>
    <n v="57019.601999999999"/>
    <n v="20232.761999999995"/>
    <n v="2019.0540999999998"/>
    <n v="2.4269635760872958"/>
    <n v="0.35483870967741926"/>
  </r>
  <r>
    <n v="257"/>
    <n v="9"/>
    <x v="219"/>
    <n v="32"/>
    <n v="3"/>
    <n v="2777.9344999999998"/>
    <x v="20"/>
    <x v="0"/>
    <n v="1718.31"/>
    <n v="2863.85"/>
    <x v="4"/>
    <n v="2882.6121289134348"/>
    <n v="6325.1699999999992"/>
    <n v="88893.903999999995"/>
    <n v="33907.983999999997"/>
    <n v="-3547.2354999999993"/>
    <n v="-0.56081267380955768"/>
    <n v="0.38144329896907214"/>
  </r>
  <r>
    <n v="258"/>
    <n v="92"/>
    <x v="220"/>
    <n v="22"/>
    <n v="9"/>
    <n v="3255.9982"/>
    <x v="88"/>
    <x v="1"/>
    <n v="2146.8119999999999"/>
    <n v="3578.02"/>
    <x v="4"/>
    <n v="4012.78545881234"/>
    <n v="5387.83"/>
    <n v="71631.960399999996"/>
    <n v="24402.096400000002"/>
    <n v="-2131.8317999999999"/>
    <n v="-0.39567540178513427"/>
    <n v="0.34065934065934073"/>
  </r>
  <r>
    <n v="259"/>
    <n v="119"/>
    <x v="221"/>
    <n v="33"/>
    <n v="3"/>
    <n v="1883.6527000000001"/>
    <x v="45"/>
    <x v="7"/>
    <n v="1165.146"/>
    <n v="1941.91"/>
    <x v="0"/>
    <n v="2120.2304846962165"/>
    <n v="4902.3539999999994"/>
    <n v="62160.539100000002"/>
    <n v="23710.721100000006"/>
    <n v="-3018.7012999999993"/>
    <n v="-0.6157656709409397"/>
    <n v="0.38144329896907225"/>
  </r>
  <r>
    <n v="260"/>
    <n v="85"/>
    <x v="222"/>
    <n v="7"/>
    <n v="3"/>
    <n v="3640.4391000000001"/>
    <x v="42"/>
    <x v="3"/>
    <n v="2251.8180000000002"/>
    <n v="3753.03"/>
    <x v="1"/>
    <n v="3801.0992959239379"/>
    <n v="3340.25"/>
    <n v="25483.073700000001"/>
    <n v="9720.3476999999984"/>
    <n v="300.18910000000005"/>
    <n v="8.987024923284187E-2"/>
    <n v="0.38144329896907209"/>
  </r>
  <r>
    <n v="261"/>
    <n v="134"/>
    <x v="223"/>
    <n v="47"/>
    <n v="10"/>
    <n v="604.98900000000003"/>
    <x v="121"/>
    <x v="5"/>
    <n v="403.32600000000002"/>
    <n v="672.21"/>
    <x v="1"/>
    <n v="703.00515022154025"/>
    <n v="4666.126666666667"/>
    <n v="28434.483"/>
    <n v="9478.1610000000001"/>
    <n v="-4061.137666666667"/>
    <n v="-0.87034449700608219"/>
    <n v="0.33333333333333331"/>
  </r>
  <r>
    <n v="262"/>
    <n v="12"/>
    <x v="115"/>
    <n v="11"/>
    <n v="7"/>
    <n v="1502.1824999999999"/>
    <x v="122"/>
    <x v="4"/>
    <n v="969.15"/>
    <n v="1615.25"/>
    <x v="3"/>
    <n v="1735.8258043772614"/>
    <n v="4365.21"/>
    <n v="16524.0075"/>
    <n v="5863.3574999999992"/>
    <n v="-2863.0275000000001"/>
    <n v="-0.65587394420886969"/>
    <n v="0.35483870967741932"/>
  </r>
  <r>
    <n v="263"/>
    <n v="130"/>
    <x v="224"/>
    <n v="9"/>
    <n v="10"/>
    <n v="2866.9409999999998"/>
    <x v="111"/>
    <x v="4"/>
    <n v="1911.2939999999999"/>
    <n v="3185.49"/>
    <x v="4"/>
    <n v="3201.3875414095055"/>
    <n v="3865.1374999999998"/>
    <n v="25802.468999999997"/>
    <n v="8600.8230000000003"/>
    <n v="-998.19650000000001"/>
    <n v="-0.25825640096891767"/>
    <n v="0.33333333333333337"/>
  </r>
  <r>
    <n v="264"/>
    <n v="30"/>
    <x v="225"/>
    <n v="39"/>
    <n v="6"/>
    <n v="1925.4395999999999"/>
    <x v="123"/>
    <x v="1"/>
    <n v="1229.0040000000001"/>
    <n v="2048.34"/>
    <x v="1"/>
    <n v="2361.3754310087097"/>
    <n v="4153.6075000000001"/>
    <n v="75092.14439999999"/>
    <n v="27160.988399999991"/>
    <n v="-2228.1679000000004"/>
    <n v="-0.53644161129813073"/>
    <n v="0.36170212765957438"/>
  </r>
  <r>
    <n v="265"/>
    <n v="98"/>
    <x v="226"/>
    <n v="47"/>
    <n v="10"/>
    <n v="7026.9120000000003"/>
    <x v="124"/>
    <x v="1"/>
    <n v="4684.6080000000002"/>
    <n v="7807.68"/>
    <x v="3"/>
    <n v="8783.4100924812883"/>
    <n v="6533.69"/>
    <n v="330264.864"/>
    <n v="110088.288"/>
    <n v="493.22200000000066"/>
    <n v="7.5489042179840288E-2"/>
    <n v="0.33333333333333331"/>
  </r>
  <r>
    <n v="266"/>
    <n v="36"/>
    <x v="227"/>
    <n v="27"/>
    <n v="8"/>
    <n v="135.608"/>
    <x v="57"/>
    <x v="0"/>
    <n v="88.44"/>
    <n v="147.4"/>
    <x v="3"/>
    <n v="148.32327906473753"/>
    <n v="2726.4116666666664"/>
    <n v="3661.4160000000002"/>
    <n v="1273.5360000000001"/>
    <n v="-2590.8036666666662"/>
    <n v="-0.95026136307368592"/>
    <n v="0.34782608695652173"/>
  </r>
  <r>
    <n v="267"/>
    <n v="120"/>
    <x v="228"/>
    <n v="37"/>
    <n v="9"/>
    <n v="1798.7059999999999"/>
    <x v="125"/>
    <x v="0"/>
    <n v="1185.9599999999998"/>
    <n v="1976.6"/>
    <x v="2"/>
    <n v="2411.3682819691203"/>
    <n v="1688.8574999999998"/>
    <n v="66552.122000000003"/>
    <n v="22671.602000000003"/>
    <n v="109.84850000000006"/>
    <n v="6.5043083859946782E-2"/>
    <n v="0.34065934065934067"/>
  </r>
  <r>
    <n v="268"/>
    <n v="64"/>
    <x v="229"/>
    <n v="9"/>
    <n v="7"/>
    <n v="2976"/>
    <x v="31"/>
    <x v="2"/>
    <n v="1920"/>
    <n v="3200"/>
    <x v="2"/>
    <n v="3842.6646124163567"/>
    <n v="3782.0099999999998"/>
    <n v="26784"/>
    <n v="9504"/>
    <n v="-806.00999999999976"/>
    <n v="-0.21311683469900922"/>
    <n v="0.35483870967741937"/>
  </r>
  <r>
    <n v="269"/>
    <n v="39"/>
    <x v="230"/>
    <n v="10"/>
    <n v="2"/>
    <n v="3143.4283999999998"/>
    <x v="49"/>
    <x v="6"/>
    <n v="1924.5479999999998"/>
    <n v="3207.58"/>
    <x v="1"/>
    <n v="3615.7745661535519"/>
    <n v="9555.6079999999984"/>
    <n v="31434.284"/>
    <n v="12188.804"/>
    <n v="-6412.1795999999986"/>
    <n v="-0.671038368254537"/>
    <n v="0.38775510204081631"/>
  </r>
  <r>
    <n v="270"/>
    <n v="120"/>
    <x v="231"/>
    <n v="31"/>
    <n v="7"/>
    <n v="1838.2379999999998"/>
    <x v="125"/>
    <x v="0"/>
    <n v="1185.9599999999998"/>
    <n v="1976.6"/>
    <x v="2"/>
    <n v="2491.4266661925253"/>
    <n v="1688.8574999999998"/>
    <n v="56985.377999999997"/>
    <n v="20220.618000000002"/>
    <n v="149.38049999999998"/>
    <n v="8.8450624164560954E-2"/>
    <n v="0.35483870967741943"/>
  </r>
  <r>
    <n v="271"/>
    <n v="6"/>
    <x v="232"/>
    <n v="1"/>
    <n v="7"/>
    <n v="3836.4173999999998"/>
    <x v="34"/>
    <x v="0"/>
    <n v="2475.1080000000002"/>
    <n v="4125.18"/>
    <x v="4"/>
    <n v="4755.3109669504456"/>
    <n v="6862.0275000000001"/>
    <n v="3836.4173999999998"/>
    <n v="1361.3093999999996"/>
    <n v="-3025.6101000000003"/>
    <n v="-0.44092071913148123"/>
    <n v="0.35483870967741926"/>
  </r>
  <r>
    <n v="272"/>
    <n v="74"/>
    <x v="233"/>
    <n v="42"/>
    <n v="3"/>
    <n v="1848.0536999999999"/>
    <x v="78"/>
    <x v="3"/>
    <n v="1143.126"/>
    <n v="1905.21"/>
    <x v="4"/>
    <n v="2381.611905541281"/>
    <n v="2585.9039999999995"/>
    <n v="77618.255399999995"/>
    <n v="29606.963399999997"/>
    <n v="-737.85029999999961"/>
    <n v="-0.2853355344978003"/>
    <n v="0.38144329896907214"/>
  </r>
  <r>
    <n v="273"/>
    <n v="66"/>
    <x v="141"/>
    <n v="2"/>
    <n v="6"/>
    <n v="5475.5093999999999"/>
    <x v="81"/>
    <x v="7"/>
    <n v="3495.0059999999999"/>
    <n v="5825.01"/>
    <x v="1"/>
    <n v="7355.438276315539"/>
    <n v="6051.7379999999994"/>
    <n v="10951.0188"/>
    <n v="3961.0068000000001"/>
    <n v="-576.22859999999946"/>
    <n v="-9.5217043434464535E-2"/>
    <n v="0.36170212765957449"/>
  </r>
  <r>
    <n v="274"/>
    <n v="88"/>
    <x v="234"/>
    <n v="40"/>
    <n v="6"/>
    <n v="5862.1502"/>
    <x v="116"/>
    <x v="5"/>
    <n v="3741.7979999999998"/>
    <n v="6236.33"/>
    <x v="4"/>
    <n v="7405.4608601139744"/>
    <n v="4981.5050000000001"/>
    <n v="234486.008"/>
    <n v="84814.088000000018"/>
    <n v="880.64519999999993"/>
    <n v="0.17678296016966757"/>
    <n v="0.36170212765957455"/>
  </r>
  <r>
    <n v="275"/>
    <n v="110"/>
    <x v="235"/>
    <n v="7"/>
    <n v="4"/>
    <n v="1492.0416"/>
    <x v="91"/>
    <x v="2"/>
    <n v="932.52599999999995"/>
    <n v="1554.21"/>
    <x v="3"/>
    <n v="1835.4360136405326"/>
    <n v="764.66499999999996"/>
    <n v="10444.2912"/>
    <n v="3916.6092000000003"/>
    <n v="727.37660000000005"/>
    <n v="0.95123563913609244"/>
    <n v="0.37500000000000006"/>
  </r>
  <r>
    <n v="276"/>
    <n v="109"/>
    <x v="236"/>
    <n v="42"/>
    <n v="3"/>
    <n v="2148.0552999999995"/>
    <x v="94"/>
    <x v="2"/>
    <n v="1328.6939999999997"/>
    <n v="2214.4899999999998"/>
    <x v="2"/>
    <n v="2646.0388331027134"/>
    <n v="6555.1760000000013"/>
    <n v="90218.322599999985"/>
    <n v="34413.174599999991"/>
    <n v="-4407.1207000000013"/>
    <n v="-0.67231157485321524"/>
    <n v="0.38144329896907214"/>
  </r>
  <r>
    <n v="277"/>
    <n v="147"/>
    <x v="237"/>
    <n v="44"/>
    <n v="6"/>
    <n v="4309.2607999999991"/>
    <x v="37"/>
    <x v="4"/>
    <n v="2750.5919999999996"/>
    <n v="4584.32"/>
    <x v="1"/>
    <n v="4991.3452532017254"/>
    <n v="769.14"/>
    <n v="189607.47519999996"/>
    <n v="68581.427199999976"/>
    <n v="3540.1207999999992"/>
    <n v="4.602700158618716"/>
    <n v="0.36170212765957444"/>
  </r>
  <r>
    <n v="278"/>
    <n v="40"/>
    <x v="238"/>
    <n v="32"/>
    <n v="9"/>
    <n v="447.96570000000003"/>
    <x v="9"/>
    <x v="3"/>
    <n v="295.36199999999997"/>
    <n v="492.27"/>
    <x v="1"/>
    <n v="616.44059307879979"/>
    <n v="603.70600000000002"/>
    <n v="14334.902400000001"/>
    <n v="4883.3184000000019"/>
    <n v="-155.74029999999999"/>
    <n v="-0.25797374881150759"/>
    <n v="0.34065934065934078"/>
  </r>
  <r>
    <n v="279"/>
    <n v="38"/>
    <x v="239"/>
    <n v="41"/>
    <n v="10"/>
    <n v="5935.9409999999998"/>
    <x v="126"/>
    <x v="3"/>
    <n v="3957.2939999999999"/>
    <n v="6595.49"/>
    <x v="4"/>
    <n v="7621.6397759219808"/>
    <n v="517.86"/>
    <n v="243373.58100000001"/>
    <n v="81124.527000000002"/>
    <n v="5418.0810000000001"/>
    <n v="10.462443517553007"/>
    <n v="0.33333333333333331"/>
  </r>
  <r>
    <n v="280"/>
    <n v="148"/>
    <x v="240"/>
    <n v="1"/>
    <n v="2"/>
    <n v="3948.4395999999997"/>
    <x v="127"/>
    <x v="4"/>
    <n v="2417.4119999999998"/>
    <n v="4029.02"/>
    <x v="1"/>
    <n v="4079.082898789718"/>
    <n v="4467.1499999999996"/>
    <n v="3948.4395999999997"/>
    <n v="1531.0275999999999"/>
    <n v="-518.71039999999994"/>
    <n v="-0.11611662917072406"/>
    <n v="0.38775510204081631"/>
  </r>
  <r>
    <n v="281"/>
    <n v="64"/>
    <x v="51"/>
    <n v="42"/>
    <n v="6"/>
    <n v="3008"/>
    <x v="31"/>
    <x v="2"/>
    <n v="1920"/>
    <n v="3200"/>
    <x v="2"/>
    <n v="3490.8879387964466"/>
    <n v="3782.0099999999998"/>
    <n v="126336"/>
    <n v="45696"/>
    <n v="-774.00999999999976"/>
    <n v="-0.20465572539469748"/>
    <n v="0.36170212765957449"/>
  </r>
  <r>
    <n v="282"/>
    <n v="125"/>
    <x v="57"/>
    <n v="31"/>
    <n v="2"/>
    <n v="4264.0486000000001"/>
    <x v="22"/>
    <x v="0"/>
    <n v="2610.6419999999998"/>
    <n v="4351.07"/>
    <x v="4"/>
    <n v="4695.6688978374923"/>
    <n v="5094.8040000000001"/>
    <n v="132185.50659999999"/>
    <n v="51255.604600000006"/>
    <n v="-830.75540000000001"/>
    <n v="-0.16305934438302239"/>
    <n v="0.38775510204081637"/>
  </r>
  <r>
    <n v="283"/>
    <n v="65"/>
    <x v="241"/>
    <n v="1"/>
    <n v="5"/>
    <n v="4285.7919999999995"/>
    <x v="90"/>
    <x v="2"/>
    <n v="2706.8159999999998"/>
    <n v="4511.3599999999997"/>
    <x v="1"/>
    <n v="5176.3852944695627"/>
    <n v="1786.8475000000001"/>
    <n v="4285.7919999999995"/>
    <n v="1578.9759999999997"/>
    <n v="2498.9444999999996"/>
    <n v="1.3985214183079415"/>
    <n v="0.36842105263157893"/>
  </r>
  <r>
    <n v="284"/>
    <n v="21"/>
    <x v="68"/>
    <n v="20"/>
    <n v="6"/>
    <n v="2706.5419999999999"/>
    <x v="67"/>
    <x v="0"/>
    <n v="1727.5800000000002"/>
    <n v="2879.3"/>
    <x v="3"/>
    <n v="3252.1405000536893"/>
    <n v="4150.0079999999998"/>
    <n v="54130.84"/>
    <n v="19579.239999999994"/>
    <n v="-1443.4659999999999"/>
    <n v="-0.34782246202898887"/>
    <n v="0.36170212765957438"/>
  </r>
  <r>
    <n v="285"/>
    <n v="57"/>
    <x v="26"/>
    <n v="8"/>
    <n v="9"/>
    <n v="6198.6925000000001"/>
    <x v="55"/>
    <x v="6"/>
    <n v="4087.0499999999997"/>
    <n v="6811.75"/>
    <x v="2"/>
    <n v="8731.2817868813654"/>
    <n v="1836.9825000000001"/>
    <n v="49589.54"/>
    <n v="16893.140000000003"/>
    <n v="4361.71"/>
    <n v="2.3743884332049978"/>
    <n v="0.34065934065934073"/>
  </r>
  <r>
    <n v="286"/>
    <n v="30"/>
    <x v="230"/>
    <n v="28"/>
    <n v="5"/>
    <n v="1945.923"/>
    <x v="123"/>
    <x v="1"/>
    <n v="1229.0040000000001"/>
    <n v="2048.34"/>
    <x v="1"/>
    <n v="2140.7056424833154"/>
    <n v="4153.6075000000001"/>
    <n v="54485.843999999997"/>
    <n v="20073.731999999996"/>
    <n v="-2207.6845000000003"/>
    <n v="-0.53151013907789801"/>
    <n v="0.36842105263157887"/>
  </r>
  <r>
    <n v="287"/>
    <n v="109"/>
    <x v="189"/>
    <n v="16"/>
    <n v="9"/>
    <n v="2015.1858999999999"/>
    <x v="94"/>
    <x v="2"/>
    <n v="1328.6939999999997"/>
    <n v="2214.4899999999998"/>
    <x v="2"/>
    <n v="2831.4695301258935"/>
    <n v="6555.1760000000013"/>
    <n v="32242.974399999999"/>
    <n v="10983.870400000003"/>
    <n v="-4539.9901000000009"/>
    <n v="-0.69258096197569674"/>
    <n v="0.34065934065934078"/>
  </r>
  <r>
    <n v="288"/>
    <n v="2"/>
    <x v="242"/>
    <n v="33"/>
    <n v="8"/>
    <n v="4070.7975999999999"/>
    <x v="64"/>
    <x v="0"/>
    <n v="2654.8679999999999"/>
    <n v="4424.78"/>
    <x v="0"/>
    <n v="5750.1192943273027"/>
    <n v="1807.3"/>
    <n v="134336.32079999999"/>
    <n v="46725.676800000001"/>
    <n v="2263.4975999999997"/>
    <n v="1.2524194101698665"/>
    <n v="0.34782608695652178"/>
  </r>
  <r>
    <n v="289"/>
    <n v="86"/>
    <x v="243"/>
    <n v="11"/>
    <n v="4"/>
    <n v="2997.9935999999998"/>
    <x v="39"/>
    <x v="1"/>
    <n v="1873.7459999999999"/>
    <n v="3122.91"/>
    <x v="0"/>
    <n v="4053.5625487818593"/>
    <n v="2919.076"/>
    <n v="32977.929599999996"/>
    <n v="12366.723599999999"/>
    <n v="78.917599999999766"/>
    <n v="2.7035130294654805E-2"/>
    <n v="0.375"/>
  </r>
  <r>
    <n v="290"/>
    <n v="64"/>
    <x v="244"/>
    <n v="35"/>
    <n v="2"/>
    <n v="3136"/>
    <x v="31"/>
    <x v="2"/>
    <n v="1920"/>
    <n v="3200"/>
    <x v="2"/>
    <n v="3547.4937693832649"/>
    <n v="3782.0099999999998"/>
    <n v="109760"/>
    <n v="42560"/>
    <n v="-646.00999999999976"/>
    <n v="-0.17081128817745056"/>
    <n v="0.38775510204081631"/>
  </r>
  <r>
    <n v="291"/>
    <n v="47"/>
    <x v="192"/>
    <n v="15"/>
    <n v="2"/>
    <n v="3345.3083999999999"/>
    <x v="112"/>
    <x v="2"/>
    <n v="2048.1479999999997"/>
    <n v="3413.58"/>
    <x v="4"/>
    <n v="4335.6596221930795"/>
    <n v="2051.0440000000003"/>
    <n v="50179.625999999997"/>
    <n v="19457.406000000003"/>
    <n v="1294.2643999999996"/>
    <n v="0.63102712569793695"/>
    <n v="0.38775510204081642"/>
  </r>
  <r>
    <n v="292"/>
    <n v="75"/>
    <x v="245"/>
    <n v="15"/>
    <n v="8"/>
    <n v="3471.5648000000001"/>
    <x v="128"/>
    <x v="3"/>
    <n v="2264.0639999999999"/>
    <n v="3773.44"/>
    <x v="0"/>
    <n v="4855.7364531411095"/>
    <n v="3293.6366666666668"/>
    <n v="52073.472000000002"/>
    <n v="18112.512000000002"/>
    <n v="177.92813333333334"/>
    <n v="5.4021785442838768E-2"/>
    <n v="0.34782608695652178"/>
  </r>
  <r>
    <n v="293"/>
    <n v="28"/>
    <x v="246"/>
    <n v="48"/>
    <n v="5"/>
    <n v="5430.7889999999998"/>
    <x v="70"/>
    <x v="0"/>
    <n v="3429.9719999999998"/>
    <n v="5716.62"/>
    <x v="4"/>
    <n v="6460.2771178667226"/>
    <n v="3542.9559999999997"/>
    <n v="260677.87199999997"/>
    <n v="96039.216"/>
    <n v="1887.8330000000001"/>
    <n v="0.53284122072077678"/>
    <n v="0.36842105263157898"/>
  </r>
  <r>
    <n v="294"/>
    <n v="68"/>
    <x v="247"/>
    <n v="22"/>
    <n v="6"/>
    <n v="5680.8805999999995"/>
    <x v="53"/>
    <x v="6"/>
    <n v="3626.0939999999996"/>
    <n v="6043.49"/>
    <x v="2"/>
    <n v="7734.3864020628143"/>
    <n v="796.21333333333325"/>
    <n v="124979.37319999999"/>
    <n v="45205.305199999995"/>
    <n v="4884.6672666666664"/>
    <n v="6.1348724797374237"/>
    <n v="0.36170212765957449"/>
  </r>
  <r>
    <n v="295"/>
    <n v="136"/>
    <x v="248"/>
    <n v="29"/>
    <n v="2"/>
    <n v="5053.2425999999996"/>
    <x v="30"/>
    <x v="3"/>
    <n v="3093.8219999999997"/>
    <n v="5156.37"/>
    <x v="3"/>
    <n v="5255.1145757103677"/>
    <n v="5805.195999999999"/>
    <n v="146544.03539999999"/>
    <n v="56823.197399999997"/>
    <n v="-751.95339999999942"/>
    <n v="-0.12953109593543433"/>
    <n v="0.38775510204081631"/>
  </r>
  <r>
    <n v="296"/>
    <n v="128"/>
    <x v="249"/>
    <n v="2"/>
    <n v="8"/>
    <n v="4841.5920000000006"/>
    <x v="117"/>
    <x v="7"/>
    <n v="3157.56"/>
    <n v="5262.6"/>
    <x v="0"/>
    <n v="6234.6702770850507"/>
    <n v="1349.8883333333335"/>
    <n v="9683.1840000000011"/>
    <n v="3368.0640000000012"/>
    <n v="3491.7036666666672"/>
    <n v="2.5866611188826729"/>
    <n v="0.34782608695652184"/>
  </r>
  <r>
    <n v="297"/>
    <n v="111"/>
    <x v="250"/>
    <n v="50"/>
    <n v="4"/>
    <n v="724.05119999999999"/>
    <x v="110"/>
    <x v="6"/>
    <n v="452.53199999999998"/>
    <n v="754.22"/>
    <x v="3"/>
    <n v="766.02104910337482"/>
    <n v="3824.0450000000001"/>
    <n v="36202.559999999998"/>
    <n v="13575.960000000001"/>
    <n v="-3099.9938000000002"/>
    <n v="-0.81065829507759457"/>
    <n v="0.37500000000000006"/>
  </r>
  <r>
    <n v="298"/>
    <n v="50"/>
    <x v="251"/>
    <n v="34"/>
    <n v="7"/>
    <n v="1261.731"/>
    <x v="10"/>
    <x v="1"/>
    <n v="814.02"/>
    <n v="1356.7"/>
    <x v="3"/>
    <n v="1620.4363870484283"/>
    <n v="4909.6483333333335"/>
    <n v="42898.853999999999"/>
    <n v="15222.174000000001"/>
    <n v="-3647.9173333333338"/>
    <n v="-0.74300990328906791"/>
    <n v="0.35483870967741937"/>
  </r>
  <r>
    <n v="299"/>
    <n v="3"/>
    <x v="131"/>
    <n v="34"/>
    <n v="9"/>
    <n v="4701.7698"/>
    <x v="129"/>
    <x v="2"/>
    <n v="3100.0679999999998"/>
    <n v="5166.78"/>
    <x v="1"/>
    <n v="5198.1799800478075"/>
    <n v="7049.42"/>
    <n v="159860.17319999999"/>
    <n v="54457.861200000007"/>
    <n v="-2347.6502"/>
    <n v="-0.33302742636982902"/>
    <n v="0.34065934065934073"/>
  </r>
  <r>
    <n v="300"/>
    <n v="82"/>
    <x v="252"/>
    <n v="39"/>
    <n v="5"/>
    <n v="1207.6589999999999"/>
    <x v="7"/>
    <x v="4"/>
    <n v="762.73199999999997"/>
    <n v="1271.22"/>
    <x v="2"/>
    <n v="1285.5660290835631"/>
    <n v="2617.7080000000001"/>
    <n v="47098.700999999994"/>
    <n v="17352.152999999995"/>
    <n v="-1410.0490000000002"/>
    <n v="-0.53865786405512006"/>
    <n v="0.36842105263157887"/>
  </r>
  <r>
    <n v="301"/>
    <n v="25"/>
    <x v="253"/>
    <n v="35"/>
    <n v="2"/>
    <n v="556.8066"/>
    <x v="38"/>
    <x v="4"/>
    <n v="340.90199999999999"/>
    <n v="568.16999999999996"/>
    <x v="1"/>
    <n v="686.28404263289315"/>
    <n v="2024.2300000000002"/>
    <n v="19488.231"/>
    <n v="7556.661000000001"/>
    <n v="-1467.4234000000001"/>
    <n v="-0.724929182948578"/>
    <n v="0.38775510204081637"/>
  </r>
  <r>
    <n v="302"/>
    <n v="4"/>
    <x v="254"/>
    <n v="14"/>
    <n v="10"/>
    <n v="6376.8420000000006"/>
    <x v="62"/>
    <x v="4"/>
    <n v="4251.2280000000001"/>
    <n v="7085.38"/>
    <x v="0"/>
    <n v="7305.8969910209398"/>
    <n v="3570.2466666666674"/>
    <n v="89275.788"/>
    <n v="29758.596000000005"/>
    <n v="2806.5953333333332"/>
    <n v="0.78610684229100869"/>
    <n v="0.33333333333333337"/>
  </r>
  <r>
    <n v="303"/>
    <n v="54"/>
    <x v="255"/>
    <n v="41"/>
    <n v="9"/>
    <n v="845.89049999999997"/>
    <x v="50"/>
    <x v="2"/>
    <n v="557.7299999999999"/>
    <n v="929.55"/>
    <x v="3"/>
    <n v="1037.0986699399548"/>
    <n v="2958.2974999999997"/>
    <n v="34681.510499999997"/>
    <n v="11814.580500000004"/>
    <n v="-2112.4069999999997"/>
    <n v="-0.71406171962082921"/>
    <n v="0.34065934065934078"/>
  </r>
  <r>
    <n v="304"/>
    <n v="95"/>
    <x v="106"/>
    <n v="43"/>
    <n v="4"/>
    <n v="6689.9232000000002"/>
    <x v="51"/>
    <x v="7"/>
    <n v="4181.2020000000002"/>
    <n v="6968.67"/>
    <x v="2"/>
    <n v="8025.5526705916272"/>
    <n v="2797.7239999999997"/>
    <n v="287666.69760000001"/>
    <n v="107875.0116"/>
    <n v="3892.1992000000005"/>
    <n v="1.3912019913329552"/>
    <n v="0.375"/>
  </r>
  <r>
    <n v="305"/>
    <n v="120"/>
    <x v="256"/>
    <n v="13"/>
    <n v="6"/>
    <n v="1858.0039999999999"/>
    <x v="125"/>
    <x v="0"/>
    <n v="1185.9599999999998"/>
    <n v="1976.6"/>
    <x v="2"/>
    <n v="1999.5702792704981"/>
    <n v="1688.8574999999998"/>
    <n v="24154.052"/>
    <n v="8736.5720000000019"/>
    <n v="169.14650000000006"/>
    <n v="0.10015439431686811"/>
    <n v="0.36170212765957455"/>
  </r>
  <r>
    <n v="306"/>
    <n v="103"/>
    <x v="233"/>
    <n v="8"/>
    <n v="10"/>
    <n v="5772.6450000000004"/>
    <x v="12"/>
    <x v="1"/>
    <n v="3848.43"/>
    <n v="6414.05"/>
    <x v="0"/>
    <n v="7720.1605010445328"/>
    <n v="6457.8324999999995"/>
    <n v="46181.16"/>
    <n v="15393.720000000005"/>
    <n v="-685.18749999999909"/>
    <n v="-0.10610177640872524"/>
    <n v="0.33333333333333343"/>
  </r>
  <r>
    <n v="307"/>
    <n v="90"/>
    <x v="257"/>
    <n v="39"/>
    <n v="6"/>
    <n v="1294.1073999999999"/>
    <x v="0"/>
    <x v="0"/>
    <n v="826.02599999999995"/>
    <n v="1376.71"/>
    <x v="0"/>
    <n v="1735.4139246634486"/>
    <n v="2414.7550000000001"/>
    <n v="50470.188599999994"/>
    <n v="18255.174599999998"/>
    <n v="-1120.6476000000002"/>
    <n v="-0.46408335421191804"/>
    <n v="0.36170212765957449"/>
  </r>
  <r>
    <n v="308"/>
    <n v="94"/>
    <x v="258"/>
    <n v="46"/>
    <n v="5"/>
    <n v="4420.1409999999996"/>
    <x v="8"/>
    <x v="4"/>
    <n v="2791.6679999999997"/>
    <n v="4652.78"/>
    <x v="1"/>
    <n v="5173.7184979551876"/>
    <n v="6485.5883333333331"/>
    <n v="203326.48599999998"/>
    <n v="74909.758000000002"/>
    <n v="-2065.4473333333335"/>
    <n v="-0.31846722720863413"/>
    <n v="0.36842105263157898"/>
  </r>
  <r>
    <n v="309"/>
    <n v="31"/>
    <x v="186"/>
    <n v="41"/>
    <n v="2"/>
    <n v="1002.7752"/>
    <x v="52"/>
    <x v="5"/>
    <n v="613.94399999999996"/>
    <n v="1023.24"/>
    <x v="2"/>
    <n v="1234.7644396556386"/>
    <n v="1065.8219999999999"/>
    <n v="41113.783200000005"/>
    <n v="15942.079200000004"/>
    <n v="-63.046799999999848"/>
    <n v="-5.9153216953675057E-2"/>
    <n v="0.38775510204081637"/>
  </r>
  <r>
    <n v="310"/>
    <n v="71"/>
    <x v="259"/>
    <n v="34"/>
    <n v="8"/>
    <n v="4536.7592000000004"/>
    <x v="54"/>
    <x v="2"/>
    <n v="2958.7559999999999"/>
    <n v="4931.26"/>
    <x v="3"/>
    <n v="5767.5597428162455"/>
    <n v="2482.0633333333335"/>
    <n v="154249.81280000001"/>
    <n v="53652.108800000016"/>
    <n v="2054.6958666666669"/>
    <n v="0.82781766245556454"/>
    <n v="0.34782608695652184"/>
  </r>
  <r>
    <n v="311"/>
    <n v="62"/>
    <x v="260"/>
    <n v="28"/>
    <n v="8"/>
    <n v="3181.3048000000003"/>
    <x v="79"/>
    <x v="7"/>
    <n v="2074.7640000000001"/>
    <n v="3457.94"/>
    <x v="0"/>
    <n v="3719.8307594493422"/>
    <n v="5560.3266666666668"/>
    <n v="89076.534400000004"/>
    <n v="30983.142400000004"/>
    <n v="-2379.0218666666665"/>
    <n v="-0.42785649284394556"/>
    <n v="0.34782608695652178"/>
  </r>
  <r>
    <n v="312"/>
    <n v="80"/>
    <x v="261"/>
    <n v="30"/>
    <n v="7"/>
    <n v="929.13509999999997"/>
    <x v="130"/>
    <x v="0"/>
    <n v="599.44200000000001"/>
    <n v="999.07"/>
    <x v="4"/>
    <n v="1230.2416440333286"/>
    <n v="4319.1966666666667"/>
    <n v="27874.053"/>
    <n v="9890.7929999999978"/>
    <n v="-3390.0615666666667"/>
    <n v="-0.78488242798236396"/>
    <n v="0.35483870967741926"/>
  </r>
  <r>
    <n v="313"/>
    <n v="131"/>
    <x v="13"/>
    <n v="12"/>
    <n v="10"/>
    <n v="5573.3220000000001"/>
    <x v="109"/>
    <x v="6"/>
    <n v="3715.5479999999998"/>
    <n v="6192.58"/>
    <x v="3"/>
    <n v="8009.4557484971638"/>
    <n v="1795.3133333333335"/>
    <n v="66879.864000000001"/>
    <n v="22293.288000000004"/>
    <n v="3778.0086666666666"/>
    <n v="2.1043728671318283"/>
    <n v="0.33333333333333337"/>
  </r>
  <r>
    <n v="314"/>
    <n v="34"/>
    <x v="146"/>
    <n v="4"/>
    <n v="4"/>
    <n v="1251.2544"/>
    <x v="23"/>
    <x v="1"/>
    <n v="782.03399999999999"/>
    <n v="1303.3900000000001"/>
    <x v="2"/>
    <n v="1618.0989992639982"/>
    <n v="4145.4440000000004"/>
    <n v="5005.0176000000001"/>
    <n v="1876.8816000000002"/>
    <n v="-2894.1896000000006"/>
    <n v="-0.698161547954815"/>
    <n v="0.375"/>
  </r>
  <r>
    <n v="315"/>
    <n v="93"/>
    <x v="262"/>
    <n v="45"/>
    <n v="9"/>
    <n v="6972.9386999999997"/>
    <x v="66"/>
    <x v="2"/>
    <n v="4597.5419999999995"/>
    <n v="7662.57"/>
    <x v="3"/>
    <n v="9633.9909598674985"/>
    <n v="991.00333333333344"/>
    <n v="313782.2415"/>
    <n v="106892.8515"/>
    <n v="5981.9353666666666"/>
    <n v="6.0362414186296034"/>
    <n v="0.34065934065934067"/>
  </r>
  <r>
    <n v="316"/>
    <n v="118"/>
    <x v="263"/>
    <n v="29"/>
    <n v="6"/>
    <n v="2960.2949999999996"/>
    <x v="131"/>
    <x v="1"/>
    <n v="1889.55"/>
    <n v="3149.25"/>
    <x v="4"/>
    <n v="3329.8682580649843"/>
    <n v="224.52399999999997"/>
    <n v="85848.554999999993"/>
    <n v="31051.604999999989"/>
    <n v="2735.7709999999997"/>
    <n v="12.184759758422263"/>
    <n v="0.36170212765957438"/>
  </r>
  <r>
    <n v="317"/>
    <n v="4"/>
    <x v="264"/>
    <n v="23"/>
    <n v="5"/>
    <n v="6731.1109999999999"/>
    <x v="62"/>
    <x v="4"/>
    <n v="4251.2280000000001"/>
    <n v="7085.38"/>
    <x v="0"/>
    <n v="9185.7982894117777"/>
    <n v="3570.2466666666674"/>
    <n v="154815.55299999999"/>
    <n v="57037.308999999994"/>
    <n v="3160.8643333333325"/>
    <n v="0.88533500019606448"/>
    <n v="0.36842105263157893"/>
  </r>
  <r>
    <n v="318"/>
    <n v="26"/>
    <x v="265"/>
    <n v="42"/>
    <n v="8"/>
    <n v="5185.9664000000002"/>
    <x v="100"/>
    <x v="7"/>
    <n v="3382.152"/>
    <n v="5636.92"/>
    <x v="0"/>
    <n v="6169.2028214157963"/>
    <n v="3474.7766666666666"/>
    <n v="217810.5888"/>
    <n v="75760.204800000007"/>
    <n v="1711.1897333333336"/>
    <n v="0.49246034996973437"/>
    <n v="0.34782608695652178"/>
  </r>
  <r>
    <n v="319"/>
    <n v="42"/>
    <x v="266"/>
    <n v="38"/>
    <n v="2"/>
    <n v="419.048"/>
    <x v="132"/>
    <x v="1"/>
    <n v="256.56"/>
    <n v="427.6"/>
    <x v="2"/>
    <n v="491.60483810484624"/>
    <n v="513.45666666666671"/>
    <n v="15923.824000000001"/>
    <n v="6174.5439999999999"/>
    <n v="-94.408666666666704"/>
    <n v="-0.18386881074027675"/>
    <n v="0.38775510204081631"/>
  </r>
  <r>
    <n v="320"/>
    <n v="10"/>
    <x v="178"/>
    <n v="36"/>
    <n v="4"/>
    <n v="2685.3984"/>
    <x v="33"/>
    <x v="3"/>
    <n v="1678.374"/>
    <n v="2797.29"/>
    <x v="0"/>
    <n v="3263.2010699827215"/>
    <n v="6310.5433333333322"/>
    <n v="96674.342399999994"/>
    <n v="36252.878400000001"/>
    <n v="-3625.1449333333321"/>
    <n v="-0.57445844863860107"/>
    <n v="0.37500000000000006"/>
  </r>
  <r>
    <n v="321"/>
    <n v="119"/>
    <x v="267"/>
    <n v="2"/>
    <n v="3"/>
    <n v="1883.6527000000001"/>
    <x v="45"/>
    <x v="7"/>
    <n v="1165.146"/>
    <n v="1941.91"/>
    <x v="0"/>
    <n v="2425.0894245912182"/>
    <n v="4902.3539999999994"/>
    <n v="3767.3054000000002"/>
    <n v="1437.0134000000003"/>
    <n v="-3018.7012999999993"/>
    <n v="-0.6157656709409397"/>
    <n v="0.3814432989690722"/>
  </r>
  <r>
    <n v="322"/>
    <n v="69"/>
    <x v="268"/>
    <n v="15"/>
    <n v="9"/>
    <n v="6787.4170000000004"/>
    <x v="102"/>
    <x v="1"/>
    <n v="4475.2199999999993"/>
    <n v="7458.7"/>
    <x v="3"/>
    <n v="9411.7248280297881"/>
    <n v="809.57599999999991"/>
    <n v="101811.255"/>
    <n v="34682.955000000016"/>
    <n v="5977.8410000000003"/>
    <n v="7.3839157781357168"/>
    <n v="0.34065934065934078"/>
  </r>
  <r>
    <n v="323"/>
    <n v="93"/>
    <x v="269"/>
    <n v="40"/>
    <n v="7"/>
    <n v="7126.1900999999989"/>
    <x v="66"/>
    <x v="2"/>
    <n v="4597.5419999999995"/>
    <n v="7662.57"/>
    <x v="3"/>
    <n v="8799.8864852020033"/>
    <n v="991.00333333333344"/>
    <n v="285047.60399999993"/>
    <n v="101145.92399999997"/>
    <n v="6135.1867666666658"/>
    <n v="6.1908840871709128"/>
    <n v="0.35483870967741932"/>
  </r>
  <r>
    <n v="324"/>
    <n v="139"/>
    <x v="270"/>
    <n v="36"/>
    <n v="9"/>
    <n v="2357.8827999999999"/>
    <x v="25"/>
    <x v="3"/>
    <n v="1554.6479999999999"/>
    <n v="2591.08"/>
    <x v="4"/>
    <n v="2600.5611569301045"/>
    <n v="2839.1733333333336"/>
    <n v="84883.780799999993"/>
    <n v="28916.452799999999"/>
    <n v="-481.29053333333377"/>
    <n v="-0.16951784087386954"/>
    <n v="0.34065934065934067"/>
  </r>
  <r>
    <n v="325"/>
    <n v="131"/>
    <x v="208"/>
    <n v="50"/>
    <n v="7"/>
    <n v="5759.0993999999992"/>
    <x v="109"/>
    <x v="6"/>
    <n v="3715.5479999999998"/>
    <n v="6192.58"/>
    <x v="3"/>
    <n v="7553.6105055364524"/>
    <n v="1795.3133333333335"/>
    <n v="287954.96999999997"/>
    <n v="102177.56999999996"/>
    <n v="3963.7860666666656"/>
    <n v="2.2078519627028887"/>
    <n v="0.35483870967741926"/>
  </r>
  <r>
    <n v="326"/>
    <n v="72"/>
    <x v="104"/>
    <n v="21"/>
    <n v="9"/>
    <n v="5279.2739999999994"/>
    <x v="65"/>
    <x v="5"/>
    <n v="3480.8399999999997"/>
    <n v="5801.4"/>
    <x v="3"/>
    <n v="7233.2517848262132"/>
    <n v="5210.5919999999996"/>
    <n v="110864.75399999999"/>
    <n v="37767.113999999994"/>
    <n v="68.681999999999789"/>
    <n v="1.3181227776037693E-2"/>
    <n v="0.34065934065934067"/>
  </r>
  <r>
    <n v="327"/>
    <n v="8"/>
    <x v="271"/>
    <n v="36"/>
    <n v="9"/>
    <n v="5135.9853999999996"/>
    <x v="114"/>
    <x v="1"/>
    <n v="3386.3639999999996"/>
    <n v="5643.94"/>
    <x v="2"/>
    <n v="6414.1918547767673"/>
    <n v="2853.6650000000004"/>
    <n v="184895.47439999998"/>
    <n v="62986.3704"/>
    <n v="2282.3203999999992"/>
    <n v="0.79978567911790588"/>
    <n v="0.34065934065934073"/>
  </r>
  <r>
    <n v="328"/>
    <n v="57"/>
    <x v="117"/>
    <n v="7"/>
    <n v="2"/>
    <n v="6675.5150000000003"/>
    <x v="55"/>
    <x v="6"/>
    <n v="4087.0499999999997"/>
    <n v="6811.75"/>
    <x v="2"/>
    <n v="6839.607875738584"/>
    <n v="1836.9825000000001"/>
    <n v="46728.605000000003"/>
    <n v="18119.255000000005"/>
    <n v="4838.5325000000003"/>
    <n v="2.633956774220767"/>
    <n v="0.38775510204081642"/>
  </r>
  <r>
    <n v="329"/>
    <n v="24"/>
    <x v="272"/>
    <n v="24"/>
    <n v="6"/>
    <n v="3756.7287999999999"/>
    <x v="32"/>
    <x v="7"/>
    <n v="2397.9119999999998"/>
    <n v="3996.52"/>
    <x v="0"/>
    <n v="4425.2850616195556"/>
    <n v="3028.7733333333331"/>
    <n v="90161.491199999989"/>
    <n v="32611.603200000001"/>
    <n v="727.95546666666678"/>
    <n v="0.24034663097931841"/>
    <n v="0.36170212765957455"/>
  </r>
  <r>
    <n v="330"/>
    <n v="28"/>
    <x v="151"/>
    <n v="31"/>
    <n v="3"/>
    <n v="5545.1214"/>
    <x v="70"/>
    <x v="0"/>
    <n v="3429.9719999999998"/>
    <n v="5716.62"/>
    <x v="4"/>
    <n v="7357.0103579034239"/>
    <n v="3542.9559999999997"/>
    <n v="171898.7634"/>
    <n v="65569.631400000013"/>
    <n v="2002.1654000000003"/>
    <n v="0.56511156220963521"/>
    <n v="0.38144329896907225"/>
  </r>
  <r>
    <n v="331"/>
    <n v="5"/>
    <x v="273"/>
    <n v="17"/>
    <n v="3"/>
    <n v="805.34249999999997"/>
    <x v="113"/>
    <x v="6"/>
    <n v="498.15"/>
    <n v="830.25"/>
    <x v="4"/>
    <n v="971.0096375298159"/>
    <n v="7010.5333333333328"/>
    <n v="13690.8225"/>
    <n v="5222.2725"/>
    <n v="-6205.1908333333331"/>
    <n v="-0.88512393255862609"/>
    <n v="0.38144329896907214"/>
  </r>
  <r>
    <n v="332"/>
    <n v="28"/>
    <x v="274"/>
    <n v="29"/>
    <n v="6"/>
    <n v="5373.6227999999992"/>
    <x v="70"/>
    <x v="0"/>
    <n v="3429.9719999999998"/>
    <n v="5716.62"/>
    <x v="4"/>
    <n v="5990.8163625598663"/>
    <n v="3542.9559999999997"/>
    <n v="155835.06119999997"/>
    <n v="56365.873199999987"/>
    <n v="1830.6667999999995"/>
    <n v="0.51670604997634739"/>
    <n v="0.36170212765957444"/>
  </r>
  <r>
    <n v="333"/>
    <n v="80"/>
    <x v="275"/>
    <n v="48"/>
    <n v="2"/>
    <n v="979.08860000000004"/>
    <x v="130"/>
    <x v="0"/>
    <n v="599.44200000000001"/>
    <n v="999.07"/>
    <x v="4"/>
    <n v="1081.9288990621915"/>
    <n v="4319.1966666666667"/>
    <n v="46996.252800000002"/>
    <n v="18223.036800000002"/>
    <n v="-3340.1080666666667"/>
    <n v="-0.77331696712120079"/>
    <n v="0.38775510204081637"/>
  </r>
  <r>
    <n v="334"/>
    <n v="116"/>
    <x v="174"/>
    <n v="22"/>
    <n v="7"/>
    <n v="2197.7294999999999"/>
    <x v="58"/>
    <x v="1"/>
    <n v="1417.89"/>
    <n v="2363.15"/>
    <x v="4"/>
    <n v="2496.1949238483821"/>
    <n v="4469.4999999999991"/>
    <n v="48350.048999999999"/>
    <n v="17156.468999999997"/>
    <n v="-2271.7704999999992"/>
    <n v="-0.50828291755229882"/>
    <n v="0.35483870967741932"/>
  </r>
  <r>
    <n v="335"/>
    <n v="117"/>
    <x v="276"/>
    <n v="42"/>
    <n v="2"/>
    <n v="2084.6363999999999"/>
    <x v="1"/>
    <x v="0"/>
    <n v="1276.3079999999998"/>
    <n v="2127.1799999999998"/>
    <x v="1"/>
    <n v="2143.827006602321"/>
    <n v="892.9766666666668"/>
    <n v="87554.728799999997"/>
    <n v="33949.792800000003"/>
    <n v="1191.659733333333"/>
    <n v="1.3344802589093401"/>
    <n v="0.38775510204081637"/>
  </r>
  <r>
    <n v="336"/>
    <n v="30"/>
    <x v="64"/>
    <n v="37"/>
    <n v="6"/>
    <n v="1925.4395999999999"/>
    <x v="123"/>
    <x v="1"/>
    <n v="1229.0040000000001"/>
    <n v="2048.34"/>
    <x v="1"/>
    <n v="2148.177865295123"/>
    <n v="4153.6075000000001"/>
    <n v="71241.265199999994"/>
    <n v="25768.117199999993"/>
    <n v="-2228.1679000000004"/>
    <n v="-0.53644161129813073"/>
    <n v="0.36170212765957438"/>
  </r>
  <r>
    <n v="337"/>
    <n v="78"/>
    <x v="277"/>
    <n v="35"/>
    <n v="3"/>
    <n v="839.76779999999997"/>
    <x v="26"/>
    <x v="2"/>
    <n v="519.44399999999996"/>
    <n v="865.74"/>
    <x v="0"/>
    <n v="1008.8605428514768"/>
    <n v="398.392"/>
    <n v="29391.873"/>
    <n v="11211.333000000001"/>
    <n v="441.37579999999997"/>
    <n v="1.1078932307877667"/>
    <n v="0.3814432989690722"/>
  </r>
  <r>
    <n v="338"/>
    <n v="80"/>
    <x v="278"/>
    <n v="43"/>
    <n v="9"/>
    <n v="909.15370000000007"/>
    <x v="130"/>
    <x v="0"/>
    <n v="599.44200000000001"/>
    <n v="999.07"/>
    <x v="4"/>
    <n v="1076.7234481093133"/>
    <n v="4319.1966666666667"/>
    <n v="39093.609100000001"/>
    <n v="13317.603100000002"/>
    <n v="-3410.0429666666669"/>
    <n v="-0.78950861232682934"/>
    <n v="0.34065934065934073"/>
  </r>
  <r>
    <n v="339"/>
    <n v="5"/>
    <x v="279"/>
    <n v="24"/>
    <n v="9"/>
    <n v="755.52750000000003"/>
    <x v="113"/>
    <x v="6"/>
    <n v="498.15"/>
    <n v="830.25"/>
    <x v="4"/>
    <n v="894.27135141423344"/>
    <n v="7010.5333333333328"/>
    <n v="18132.66"/>
    <n v="6177.0600000000013"/>
    <n v="-6255.0058333333327"/>
    <n v="-0.89222966868902032"/>
    <n v="0.34065934065934073"/>
  </r>
  <r>
    <n v="340"/>
    <n v="137"/>
    <x v="280"/>
    <n v="41"/>
    <n v="7"/>
    <n v="333.56310000000002"/>
    <x v="133"/>
    <x v="6"/>
    <n v="215.202"/>
    <n v="358.67"/>
    <x v="3"/>
    <n v="428.6321273463347"/>
    <n v="4109.2999999999993"/>
    <n v="13676.087100000001"/>
    <n v="4852.8051000000005"/>
    <n v="-3775.7368999999994"/>
    <n v="-0.91882726985131291"/>
    <n v="0.35483870967741937"/>
  </r>
  <r>
    <n v="341"/>
    <n v="95"/>
    <x v="281"/>
    <n v="7"/>
    <n v="4"/>
    <n v="6689.9232000000002"/>
    <x v="51"/>
    <x v="7"/>
    <n v="4181.2020000000002"/>
    <n v="6968.67"/>
    <x v="2"/>
    <n v="8117.3623558526688"/>
    <n v="2797.7239999999997"/>
    <n v="46829.462400000004"/>
    <n v="17561.0484"/>
    <n v="3892.1992000000005"/>
    <n v="1.3912019913329552"/>
    <n v="0.37499999999999994"/>
  </r>
  <r>
    <n v="342"/>
    <n v="79"/>
    <x v="282"/>
    <n v="50"/>
    <n v="9"/>
    <n v="2009.2162999999998"/>
    <x v="134"/>
    <x v="2"/>
    <n v="1324.7579999999998"/>
    <n v="2207.9299999999998"/>
    <x v="1"/>
    <n v="2771.747967635069"/>
    <n v="197.005"/>
    <n v="100460.81499999999"/>
    <n v="34222.915000000001"/>
    <n v="1812.2112999999999"/>
    <n v="9.1988086596786882"/>
    <n v="0.34065934065934073"/>
  </r>
  <r>
    <n v="343"/>
    <n v="64"/>
    <x v="283"/>
    <n v="12"/>
    <n v="10"/>
    <n v="2880"/>
    <x v="31"/>
    <x v="2"/>
    <n v="1920"/>
    <n v="3200"/>
    <x v="2"/>
    <n v="3261.649672002005"/>
    <n v="3782.0099999999998"/>
    <n v="34560"/>
    <n v="11520"/>
    <n v="-902.00999999999976"/>
    <n v="-0.2385001626119444"/>
    <n v="0.33333333333333331"/>
  </r>
  <r>
    <n v="344"/>
    <n v="90"/>
    <x v="284"/>
    <n v="43"/>
    <n v="4"/>
    <n v="1321.6415999999999"/>
    <x v="0"/>
    <x v="0"/>
    <n v="826.02599999999995"/>
    <n v="1376.71"/>
    <x v="0"/>
    <n v="1386.4380883575873"/>
    <n v="2414.7550000000001"/>
    <n v="56830.588799999998"/>
    <n v="21311.470799999999"/>
    <n v="-1093.1134000000002"/>
    <n v="-0.45268087238663968"/>
    <n v="0.375"/>
  </r>
  <r>
    <n v="345"/>
    <n v="137"/>
    <x v="285"/>
    <n v="36"/>
    <n v="10"/>
    <n v="322.803"/>
    <x v="133"/>
    <x v="6"/>
    <n v="215.202"/>
    <n v="358.67"/>
    <x v="3"/>
    <n v="429.29849400856051"/>
    <n v="4109.2999999999993"/>
    <n v="11620.907999999999"/>
    <n v="3873.636"/>
    <n v="-3786.4969999999994"/>
    <n v="-0.92144574501739962"/>
    <n v="0.33333333333333337"/>
  </r>
  <r>
    <n v="346"/>
    <n v="40"/>
    <x v="286"/>
    <n v="4"/>
    <n v="7"/>
    <n v="457.81109999999995"/>
    <x v="9"/>
    <x v="3"/>
    <n v="295.36199999999997"/>
    <n v="492.27"/>
    <x v="1"/>
    <n v="579.84094319503777"/>
    <n v="603.70600000000002"/>
    <n v="1831.2443999999998"/>
    <n v="649.79639999999995"/>
    <n v="-145.89490000000006"/>
    <n v="-0.24166547955461776"/>
    <n v="0.35483870967741937"/>
  </r>
  <r>
    <n v="347"/>
    <n v="74"/>
    <x v="287"/>
    <n v="43"/>
    <n v="2"/>
    <n v="1867.1058"/>
    <x v="78"/>
    <x v="3"/>
    <n v="1143.126"/>
    <n v="1905.21"/>
    <x v="4"/>
    <n v="1941.0265880100014"/>
    <n v="2585.9039999999995"/>
    <n v="80285.549400000004"/>
    <n v="31131.131400000002"/>
    <n v="-718.7981999999995"/>
    <n v="-0.27796785959571568"/>
    <n v="0.38775510204081631"/>
  </r>
  <r>
    <n v="348"/>
    <n v="98"/>
    <x v="288"/>
    <n v="13"/>
    <n v="4"/>
    <n v="7495.3728000000001"/>
    <x v="124"/>
    <x v="1"/>
    <n v="4684.6080000000002"/>
    <n v="7807.68"/>
    <x v="3"/>
    <n v="8195.3201144189807"/>
    <n v="6533.69"/>
    <n v="97439.846399999995"/>
    <n v="36539.9424"/>
    <n v="961.6828000000005"/>
    <n v="0.14718831165849627"/>
    <n v="0.375"/>
  </r>
  <r>
    <n v="349"/>
    <n v="17"/>
    <x v="289"/>
    <n v="25"/>
    <n v="6"/>
    <n v="2800.4198000000001"/>
    <x v="135"/>
    <x v="4"/>
    <n v="1787.502"/>
    <n v="2979.17"/>
    <x v="2"/>
    <n v="3793.8870895671562"/>
    <n v="1105.6675"/>
    <n v="70010.49500000001"/>
    <n v="25322.945000000003"/>
    <n v="1694.7523000000001"/>
    <n v="1.5327865746257352"/>
    <n v="0.36170212765957449"/>
  </r>
  <r>
    <n v="350"/>
    <n v="85"/>
    <x v="117"/>
    <n v="28"/>
    <n v="3"/>
    <n v="3640.4391000000001"/>
    <x v="42"/>
    <x v="3"/>
    <n v="2251.8180000000002"/>
    <n v="3753.03"/>
    <x v="1"/>
    <n v="4819.2352733139678"/>
    <n v="3340.25"/>
    <n v="101932.2948"/>
    <n v="38881.390799999994"/>
    <n v="300.18910000000005"/>
    <n v="8.987024923284187E-2"/>
    <n v="0.38144329896907209"/>
  </r>
  <r>
    <n v="351"/>
    <n v="53"/>
    <x v="290"/>
    <n v="8"/>
    <n v="8"/>
    <n v="3187.2572"/>
    <x v="120"/>
    <x v="2"/>
    <n v="2078.6459999999997"/>
    <n v="3464.41"/>
    <x v="0"/>
    <n v="4181.3864867804177"/>
    <n v="954.33000000000015"/>
    <n v="25498.0576"/>
    <n v="8868.8896000000022"/>
    <n v="2232.9272000000001"/>
    <n v="2.3397851896094641"/>
    <n v="0.34782608695652184"/>
  </r>
  <r>
    <n v="352"/>
    <n v="93"/>
    <x v="291"/>
    <n v="11"/>
    <n v="5"/>
    <n v="7279.441499999999"/>
    <x v="66"/>
    <x v="2"/>
    <n v="4597.5419999999995"/>
    <n v="7662.57"/>
    <x v="3"/>
    <n v="8315.411524805746"/>
    <n v="991.00333333333344"/>
    <n v="80073.856499999994"/>
    <n v="29500.894499999995"/>
    <n v="6288.4381666666659"/>
    <n v="6.345526755712223"/>
    <n v="0.36842105263157893"/>
  </r>
  <r>
    <n v="353"/>
    <n v="110"/>
    <x v="128"/>
    <n v="15"/>
    <n v="10"/>
    <n v="1398.789"/>
    <x v="91"/>
    <x v="2"/>
    <n v="932.52599999999995"/>
    <n v="1554.21"/>
    <x v="3"/>
    <n v="1655.50935854012"/>
    <n v="764.66499999999996"/>
    <n v="20981.834999999999"/>
    <n v="6993.9450000000006"/>
    <n v="634.12400000000002"/>
    <n v="0.82928341169008657"/>
    <n v="0.33333333333333337"/>
  </r>
  <r>
    <n v="354"/>
    <n v="34"/>
    <x v="123"/>
    <n v="46"/>
    <n v="4"/>
    <n v="1251.2544"/>
    <x v="23"/>
    <x v="1"/>
    <n v="782.03399999999999"/>
    <n v="1303.3900000000001"/>
    <x v="2"/>
    <n v="1538.3115974362981"/>
    <n v="4145.4440000000004"/>
    <n v="57557.702400000002"/>
    <n v="21584.138400000003"/>
    <n v="-2894.1896000000006"/>
    <n v="-0.698161547954815"/>
    <n v="0.37500000000000006"/>
  </r>
  <r>
    <n v="355"/>
    <n v="35"/>
    <x v="292"/>
    <n v="27"/>
    <n v="10"/>
    <n v="121.67100000000001"/>
    <x v="104"/>
    <x v="3"/>
    <n v="81.11399999999999"/>
    <n v="135.19"/>
    <x v="3"/>
    <n v="166.18361237346954"/>
    <n v="2089.5899999999997"/>
    <n v="3285.1170000000002"/>
    <n v="1095.0390000000004"/>
    <n v="-1967.9189999999996"/>
    <n v="-0.94177278796318897"/>
    <n v="0.33333333333333343"/>
  </r>
  <r>
    <n v="356"/>
    <n v="33"/>
    <x v="293"/>
    <n v="24"/>
    <n v="5"/>
    <n v="4800.3404999999993"/>
    <x v="84"/>
    <x v="0"/>
    <n v="3031.7939999999999"/>
    <n v="5052.99"/>
    <x v="3"/>
    <n v="6430.6183363723676"/>
    <n v="2776.7875000000004"/>
    <n v="115208.17199999999"/>
    <n v="42445.115999999987"/>
    <n v="2023.552999999999"/>
    <n v="0.72873887540908289"/>
    <n v="0.36842105263157887"/>
  </r>
  <r>
    <n v="357"/>
    <n v="3"/>
    <x v="31"/>
    <n v="42"/>
    <n v="5"/>
    <n v="4908.4409999999998"/>
    <x v="129"/>
    <x v="2"/>
    <n v="3100.0679999999998"/>
    <n v="5166.78"/>
    <x v="1"/>
    <n v="5972.867137552058"/>
    <n v="7049.42"/>
    <n v="206154.522"/>
    <n v="75951.665999999997"/>
    <n v="-2140.9790000000003"/>
    <n v="-0.30370995060586548"/>
    <n v="0.36842105263157893"/>
  </r>
  <r>
    <n v="358"/>
    <n v="85"/>
    <x v="294"/>
    <n v="5"/>
    <n v="7"/>
    <n v="3490.3179"/>
    <x v="42"/>
    <x v="3"/>
    <n v="2251.8180000000002"/>
    <n v="3753.03"/>
    <x v="1"/>
    <n v="3919.3001926762199"/>
    <n v="3340.25"/>
    <n v="17451.589500000002"/>
    <n v="6192.499499999999"/>
    <n v="150.06790000000001"/>
    <n v="4.4927146171693737E-2"/>
    <n v="0.35483870967741926"/>
  </r>
  <r>
    <n v="359"/>
    <n v="117"/>
    <x v="295"/>
    <n v="25"/>
    <n v="8"/>
    <n v="1957.0056"/>
    <x v="1"/>
    <x v="0"/>
    <n v="1276.3079999999998"/>
    <n v="2127.1799999999998"/>
    <x v="1"/>
    <n v="2511.5726738131352"/>
    <n v="892.9766666666668"/>
    <n v="48925.14"/>
    <n v="17017.440000000006"/>
    <n v="1064.028933333333"/>
    <n v="1.1915528961189723"/>
    <n v="0.34782608695652184"/>
  </r>
  <r>
    <n v="360"/>
    <n v="42"/>
    <x v="50"/>
    <n v="1"/>
    <n v="4"/>
    <n v="410.49599999999998"/>
    <x v="132"/>
    <x v="1"/>
    <n v="256.56"/>
    <n v="427.6"/>
    <x v="2"/>
    <n v="449.67471765432214"/>
    <n v="513.45666666666671"/>
    <n v="410.49599999999998"/>
    <n v="153.93599999999998"/>
    <n v="-102.96066666666673"/>
    <n v="-0.20052454929659766"/>
    <n v="0.37499999999999994"/>
  </r>
  <r>
    <n v="361"/>
    <n v="96"/>
    <x v="296"/>
    <n v="49"/>
    <n v="5"/>
    <n v="5115.2179999999989"/>
    <x v="105"/>
    <x v="4"/>
    <n v="3230.6639999999998"/>
    <n v="5384.44"/>
    <x v="3"/>
    <n v="5701.3045069030813"/>
    <n v="3578.9180000000001"/>
    <n v="250645.68199999994"/>
    <n v="92343.145999999964"/>
    <n v="1536.2999999999988"/>
    <n v="0.42926381660602414"/>
    <n v="0.36842105263157887"/>
  </r>
  <r>
    <n v="362"/>
    <n v="11"/>
    <x v="157"/>
    <n v="31"/>
    <n v="2"/>
    <n v="3136.1959999999999"/>
    <x v="16"/>
    <x v="1"/>
    <n v="1920.12"/>
    <n v="3200.2"/>
    <x v="1"/>
    <n v="3978.6518158433187"/>
    <n v="7089.33"/>
    <n v="97222.076000000001"/>
    <n v="37698.356"/>
    <n v="-3953.134"/>
    <n v="-0.55761743352333715"/>
    <n v="0.38775510204081631"/>
  </r>
  <r>
    <n v="363"/>
    <n v="1"/>
    <x v="297"/>
    <n v="6"/>
    <n v="4"/>
    <n v="1834.5119999999999"/>
    <x v="97"/>
    <x v="7"/>
    <n v="1146.57"/>
    <n v="1910.95"/>
    <x v="1"/>
    <n v="2269.4953315923922"/>
    <n v="4785.0083333333332"/>
    <n v="11007.072"/>
    <n v="4127.652"/>
    <n v="-2950.4963333333335"/>
    <n v="-0.61661257991539553"/>
    <n v="0.375"/>
  </r>
  <r>
    <n v="364"/>
    <n v="133"/>
    <x v="70"/>
    <n v="6"/>
    <n v="10"/>
    <n v="5944.41"/>
    <x v="40"/>
    <x v="1"/>
    <n v="3962.9399999999996"/>
    <n v="6604.9"/>
    <x v="0"/>
    <n v="7490.369950452372"/>
    <n v="4666.1933333333336"/>
    <n v="35666.46"/>
    <n v="11888.820000000002"/>
    <n v="1278.2166666666662"/>
    <n v="0.27393135589466922"/>
    <n v="0.33333333333333337"/>
  </r>
  <r>
    <n v="365"/>
    <n v="6"/>
    <x v="298"/>
    <n v="22"/>
    <n v="6"/>
    <n v="3877.6692000000003"/>
    <x v="34"/>
    <x v="0"/>
    <n v="2475.1080000000002"/>
    <n v="4125.18"/>
    <x v="4"/>
    <n v="4380.9896079936325"/>
    <n v="6862.0275000000001"/>
    <n v="85308.722399999999"/>
    <n v="30856.346400000002"/>
    <n v="-2984.3582999999999"/>
    <n v="-0.43490911396085191"/>
    <n v="0.36170212765957449"/>
  </r>
  <r>
    <n v="366"/>
    <n v="49"/>
    <x v="232"/>
    <n v="49"/>
    <n v="2"/>
    <n v="3299.0131999999999"/>
    <x v="136"/>
    <x v="6"/>
    <n v="2019.8040000000001"/>
    <n v="3366.34"/>
    <x v="0"/>
    <n v="3395.1307138386087"/>
    <n v="1635.5425"/>
    <n v="161651.64679999999"/>
    <n v="62681.250799999987"/>
    <n v="1663.4706999999999"/>
    <n v="1.0170758020656754"/>
    <n v="0.38775510204081626"/>
  </r>
  <r>
    <n v="367"/>
    <n v="8"/>
    <x v="6"/>
    <n v="13"/>
    <n v="2"/>
    <n v="5531.0611999999992"/>
    <x v="114"/>
    <x v="1"/>
    <n v="3386.3639999999996"/>
    <n v="5643.94"/>
    <x v="2"/>
    <n v="7068.9304026971458"/>
    <n v="2853.6650000000004"/>
    <n v="71903.795599999983"/>
    <n v="27881.063599999994"/>
    <n v="2677.3961999999988"/>
    <n v="0.9382307313577446"/>
    <n v="0.38775510204081631"/>
  </r>
  <r>
    <n v="368"/>
    <n v="144"/>
    <x v="299"/>
    <n v="24"/>
    <n v="10"/>
    <n v="1420.3980000000001"/>
    <x v="77"/>
    <x v="0"/>
    <n v="946.93200000000002"/>
    <n v="1578.22"/>
    <x v="2"/>
    <n v="1912.2883855219245"/>
    <n v="6414.0239999999994"/>
    <n v="34089.552000000003"/>
    <n v="11363.184000000003"/>
    <n v="-4993.6259999999993"/>
    <n v="-0.77854806904370788"/>
    <n v="0.33333333333333337"/>
  </r>
  <r>
    <n v="369"/>
    <n v="133"/>
    <x v="300"/>
    <n v="30"/>
    <n v="8"/>
    <n v="6076.5079999999998"/>
    <x v="40"/>
    <x v="1"/>
    <n v="3962.9399999999996"/>
    <n v="6604.9"/>
    <x v="0"/>
    <n v="7417.7808812720659"/>
    <n v="4666.1933333333336"/>
    <n v="182295.24"/>
    <n v="63407.040000000008"/>
    <n v="1410.3146666666662"/>
    <n v="0.30224094158121739"/>
    <n v="0.34782608695652178"/>
  </r>
  <r>
    <n v="370"/>
    <n v="104"/>
    <x v="301"/>
    <n v="5"/>
    <n v="8"/>
    <n v="2974.8660000000004"/>
    <x v="44"/>
    <x v="2"/>
    <n v="1940.13"/>
    <n v="3233.55"/>
    <x v="1"/>
    <n v="3425.6290793271987"/>
    <n v="5121.3466666666664"/>
    <n v="14874.330000000002"/>
    <n v="5173.6800000000021"/>
    <n v="-2146.4806666666659"/>
    <n v="-0.41912426679441073"/>
    <n v="0.34782608695652184"/>
  </r>
  <r>
    <n v="371"/>
    <n v="108"/>
    <x v="302"/>
    <n v="38"/>
    <n v="7"/>
    <n v="781.70219999999995"/>
    <x v="82"/>
    <x v="6"/>
    <n v="504.32399999999996"/>
    <n v="840.54"/>
    <x v="3"/>
    <n v="912.83247978662246"/>
    <n v="5163.7120000000004"/>
    <n v="29704.683599999997"/>
    <n v="10540.3716"/>
    <n v="-4382.0098000000007"/>
    <n v="-0.84861622801581504"/>
    <n v="0.35483870967741943"/>
  </r>
  <r>
    <n v="372"/>
    <n v="133"/>
    <x v="303"/>
    <n v="14"/>
    <n v="10"/>
    <n v="5944.41"/>
    <x v="40"/>
    <x v="1"/>
    <n v="3962.9399999999996"/>
    <n v="6604.9"/>
    <x v="0"/>
    <n v="6809.7276159075764"/>
    <n v="4666.1933333333336"/>
    <n v="83221.739999999991"/>
    <n v="27740.58"/>
    <n v="1278.2166666666662"/>
    <n v="0.27393135589466922"/>
    <n v="0.33333333333333337"/>
  </r>
  <r>
    <n v="373"/>
    <n v="77"/>
    <x v="59"/>
    <n v="23"/>
    <n v="10"/>
    <n v="1805.3820000000001"/>
    <x v="48"/>
    <x v="7"/>
    <n v="1203.588"/>
    <n v="2005.98"/>
    <x v="1"/>
    <n v="2565.150328646338"/>
    <n v="4139.2699999999995"/>
    <n v="41523.786"/>
    <n v="13841.262000000002"/>
    <n v="-2333.8879999999995"/>
    <n v="-0.56384048395006847"/>
    <n v="0.33333333333333337"/>
  </r>
  <r>
    <n v="374"/>
    <n v="12"/>
    <x v="304"/>
    <n v="26"/>
    <n v="4"/>
    <n v="1550.6399999999999"/>
    <x v="122"/>
    <x v="4"/>
    <n v="969.15"/>
    <n v="1615.25"/>
    <x v="3"/>
    <n v="1918.5444271012379"/>
    <n v="4365.21"/>
    <n v="40316.639999999999"/>
    <n v="15118.739999999998"/>
    <n v="-2814.57"/>
    <n v="-0.64477310369947838"/>
    <n v="0.37499999999999994"/>
  </r>
  <r>
    <n v="375"/>
    <n v="107"/>
    <x v="305"/>
    <n v="4"/>
    <n v="3"/>
    <n v="1520.8630000000001"/>
    <x v="137"/>
    <x v="6"/>
    <n v="940.74"/>
    <n v="1567.9"/>
    <x v="2"/>
    <n v="2002.6041040428408"/>
    <n v="979.96"/>
    <n v="6083.4520000000002"/>
    <n v="2320.4920000000002"/>
    <n v="540.90300000000002"/>
    <n v="0.55196436589248543"/>
    <n v="0.3814432989690722"/>
  </r>
  <r>
    <n v="376"/>
    <n v="52"/>
    <x v="306"/>
    <n v="26"/>
    <n v="4"/>
    <n v="4280.8127999999997"/>
    <x v="75"/>
    <x v="2"/>
    <n v="2675.5080000000003"/>
    <n v="4459.18"/>
    <x v="3"/>
    <n v="5127.0372843539099"/>
    <n v="6258.09"/>
    <n v="111301.13279999999"/>
    <n v="41737.924799999986"/>
    <n v="-1977.2772000000004"/>
    <n v="-0.31595537935696044"/>
    <n v="0.37499999999999989"/>
  </r>
  <r>
    <n v="377"/>
    <n v="125"/>
    <x v="307"/>
    <n v="31"/>
    <n v="9"/>
    <n v="3959.4737"/>
    <x v="22"/>
    <x v="0"/>
    <n v="2610.6419999999998"/>
    <n v="4351.07"/>
    <x v="4"/>
    <n v="5400.9601375461598"/>
    <n v="5094.8040000000001"/>
    <n v="122743.6847"/>
    <n v="41813.782700000003"/>
    <n v="-1135.3303000000001"/>
    <n v="-0.22284081978423509"/>
    <n v="0.34065934065934067"/>
  </r>
  <r>
    <n v="378"/>
    <n v="136"/>
    <x v="308"/>
    <n v="5"/>
    <n v="2"/>
    <n v="5053.2425999999996"/>
    <x v="30"/>
    <x v="3"/>
    <n v="3093.8219999999997"/>
    <n v="5156.37"/>
    <x v="3"/>
    <n v="6526.2510584339016"/>
    <n v="5805.195999999999"/>
    <n v="25266.212999999996"/>
    <n v="9797.1029999999992"/>
    <n v="-751.95339999999942"/>
    <n v="-0.12953109593543433"/>
    <n v="0.38775510204081637"/>
  </r>
  <r>
    <n v="379"/>
    <n v="77"/>
    <x v="309"/>
    <n v="9"/>
    <n v="10"/>
    <n v="1805.3820000000001"/>
    <x v="48"/>
    <x v="7"/>
    <n v="1203.588"/>
    <n v="2005.98"/>
    <x v="1"/>
    <n v="2302.2683137020294"/>
    <n v="4139.2699999999995"/>
    <n v="16248.438"/>
    <n v="5416.1460000000006"/>
    <n v="-2333.8879999999995"/>
    <n v="-0.56384048395006847"/>
    <n v="0.33333333333333337"/>
  </r>
  <r>
    <n v="380"/>
    <n v="19"/>
    <x v="15"/>
    <n v="39"/>
    <n v="4"/>
    <n v="3274.3968"/>
    <x v="95"/>
    <x v="0"/>
    <n v="2046.4979999999998"/>
    <n v="3410.83"/>
    <x v="2"/>
    <n v="4048.8288681331974"/>
    <n v="1213.8383333333334"/>
    <n v="127701.4752"/>
    <n v="47888.053200000009"/>
    <n v="2060.5584666666664"/>
    <n v="1.6975559348238298"/>
    <n v="0.37500000000000006"/>
  </r>
  <r>
    <n v="381"/>
    <n v="47"/>
    <x v="310"/>
    <n v="3"/>
    <n v="4"/>
    <n v="3277.0367999999999"/>
    <x v="112"/>
    <x v="2"/>
    <n v="2048.1479999999997"/>
    <n v="3413.58"/>
    <x v="4"/>
    <n v="3621.4529483394426"/>
    <n v="2051.0440000000003"/>
    <n v="9831.1103999999996"/>
    <n v="3686.6664000000005"/>
    <n v="1225.9927999999995"/>
    <n v="0.5977408578265504"/>
    <n v="0.37500000000000006"/>
  </r>
  <r>
    <n v="382"/>
    <n v="68"/>
    <x v="311"/>
    <n v="39"/>
    <n v="10"/>
    <n v="5439.1409999999996"/>
    <x v="53"/>
    <x v="6"/>
    <n v="3626.0939999999996"/>
    <n v="6043.49"/>
    <x v="2"/>
    <n v="6575.9906928018254"/>
    <n v="796.21333333333325"/>
    <n v="212126.49899999998"/>
    <n v="70708.832999999999"/>
    <n v="4642.9276666666665"/>
    <n v="5.8312608848549807"/>
    <n v="0.33333333333333337"/>
  </r>
  <r>
    <n v="383"/>
    <n v="52"/>
    <x v="312"/>
    <n v="27"/>
    <n v="7"/>
    <n v="4147.0374000000002"/>
    <x v="75"/>
    <x v="2"/>
    <n v="2675.5080000000003"/>
    <n v="4459.18"/>
    <x v="3"/>
    <n v="4609.7672460720269"/>
    <n v="6258.09"/>
    <n v="111970.0098"/>
    <n v="39731.293799999999"/>
    <n v="-2111.0526"/>
    <n v="-0.33733177375205531"/>
    <n v="0.35483870967741937"/>
  </r>
  <r>
    <n v="384"/>
    <n v="8"/>
    <x v="313"/>
    <n v="44"/>
    <n v="2"/>
    <n v="5531.0611999999992"/>
    <x v="114"/>
    <x v="1"/>
    <n v="3386.3639999999996"/>
    <n v="5643.94"/>
    <x v="2"/>
    <n v="6172.4228866417725"/>
    <n v="2853.6650000000004"/>
    <n v="243366.69279999996"/>
    <n v="94366.676799999987"/>
    <n v="2677.3961999999988"/>
    <n v="0.9382307313577446"/>
    <n v="0.38775510204081631"/>
  </r>
  <r>
    <n v="385"/>
    <n v="107"/>
    <x v="314"/>
    <n v="4"/>
    <n v="3"/>
    <n v="1520.8630000000001"/>
    <x v="137"/>
    <x v="6"/>
    <n v="940.74"/>
    <n v="1567.9"/>
    <x v="2"/>
    <n v="1765.688786297241"/>
    <n v="979.96"/>
    <n v="6083.4520000000002"/>
    <n v="2320.4920000000002"/>
    <n v="540.90300000000002"/>
    <n v="0.55196436589248543"/>
    <n v="0.3814432989690722"/>
  </r>
  <r>
    <n v="386"/>
    <n v="50"/>
    <x v="315"/>
    <n v="50"/>
    <n v="2"/>
    <n v="1329.566"/>
    <x v="10"/>
    <x v="1"/>
    <n v="814.02"/>
    <n v="1356.7"/>
    <x v="3"/>
    <n v="1648.8015248893357"/>
    <n v="4909.6483333333335"/>
    <n v="66478.3"/>
    <n v="25777.300000000003"/>
    <n v="-3580.0823333333337"/>
    <n v="-0.72919323142288883"/>
    <n v="0.38775510204081637"/>
  </r>
  <r>
    <n v="387"/>
    <n v="4"/>
    <x v="316"/>
    <n v="18"/>
    <n v="10"/>
    <n v="6376.8420000000006"/>
    <x v="62"/>
    <x v="4"/>
    <n v="4251.2280000000001"/>
    <n v="7085.38"/>
    <x v="0"/>
    <n v="7862.6927680078534"/>
    <n v="3570.2466666666674"/>
    <n v="114783.15600000002"/>
    <n v="38261.052000000011"/>
    <n v="2806.5953333333332"/>
    <n v="0.78610684229100869"/>
    <n v="0.33333333333333337"/>
  </r>
  <r>
    <n v="388"/>
    <n v="14"/>
    <x v="317"/>
    <n v="6"/>
    <n v="7"/>
    <n v="5599.1765999999998"/>
    <x v="138"/>
    <x v="7"/>
    <n v="3612.3719999999998"/>
    <n v="6020.62"/>
    <x v="4"/>
    <n v="6210.0387420422921"/>
    <n v="3652.5316666666672"/>
    <n v="33595.059600000001"/>
    <n v="11920.827600000001"/>
    <n v="1946.6449333333326"/>
    <n v="0.5329577156301174"/>
    <n v="0.35483870967741937"/>
  </r>
  <r>
    <n v="389"/>
    <n v="119"/>
    <x v="318"/>
    <n v="22"/>
    <n v="6"/>
    <n v="1825.3953999999999"/>
    <x v="45"/>
    <x v="7"/>
    <n v="1165.146"/>
    <n v="1941.91"/>
    <x v="0"/>
    <n v="1967.8061532493257"/>
    <n v="4902.3539999999994"/>
    <n v="40158.698799999998"/>
    <n v="14525.486799999999"/>
    <n v="-3076.9585999999995"/>
    <n v="-0.62764920689121995"/>
    <n v="0.36170212765957444"/>
  </r>
  <r>
    <n v="390"/>
    <n v="52"/>
    <x v="46"/>
    <n v="25"/>
    <n v="10"/>
    <n v="4013.2620000000002"/>
    <x v="75"/>
    <x v="2"/>
    <n v="2675.5080000000003"/>
    <n v="4459.18"/>
    <x v="3"/>
    <n v="5206.2072873268007"/>
    <n v="6258.09"/>
    <n v="100331.55"/>
    <n v="33443.85"/>
    <n v="-2244.828"/>
    <n v="-0.35870816814715034"/>
    <n v="0.33333333333333331"/>
  </r>
  <r>
    <n v="391"/>
    <n v="41"/>
    <x v="204"/>
    <n v="8"/>
    <n v="5"/>
    <n v="2927.3964999999998"/>
    <x v="72"/>
    <x v="7"/>
    <n v="1848.8819999999998"/>
    <n v="3081.47"/>
    <x v="1"/>
    <n v="3802.0667205141426"/>
    <n v="1589.1249999999998"/>
    <n v="23419.171999999999"/>
    <n v="8628.116"/>
    <n v="1338.2715000000001"/>
    <n v="0.84214363250216329"/>
    <n v="0.36842105263157898"/>
  </r>
  <r>
    <n v="392"/>
    <n v="9"/>
    <x v="225"/>
    <n v="2"/>
    <n v="5"/>
    <n v="2720.6574999999998"/>
    <x v="20"/>
    <x v="0"/>
    <n v="1718.31"/>
    <n v="2863.85"/>
    <x v="4"/>
    <n v="3581.8849019142021"/>
    <n v="6325.1699999999992"/>
    <n v="5441.3149999999996"/>
    <n v="2004.6949999999997"/>
    <n v="-3604.5124999999994"/>
    <n v="-0.56986808259698951"/>
    <n v="0.36842105263157893"/>
  </r>
  <r>
    <n v="393"/>
    <n v="84"/>
    <x v="319"/>
    <n v="33"/>
    <n v="7"/>
    <n v="7216.9487999999992"/>
    <x v="80"/>
    <x v="6"/>
    <n v="4656.0959999999995"/>
    <n v="7760.16"/>
    <x v="1"/>
    <n v="9838.3769341807874"/>
    <n v="2588.9250000000002"/>
    <n v="238159.31039999999"/>
    <n v="84508.142399999982"/>
    <n v="4628.023799999999"/>
    <n v="1.7876237434456381"/>
    <n v="0.35483870967741932"/>
  </r>
  <r>
    <n v="394"/>
    <n v="110"/>
    <x v="320"/>
    <n v="35"/>
    <n v="9"/>
    <n v="1414.3311000000001"/>
    <x v="91"/>
    <x v="2"/>
    <n v="932.52599999999995"/>
    <n v="1554.21"/>
    <x v="3"/>
    <n v="1922.7230029653103"/>
    <n v="764.66499999999996"/>
    <n v="49501.588500000005"/>
    <n v="16863.178500000005"/>
    <n v="649.66610000000014"/>
    <n v="0.84960878293108766"/>
    <n v="0.34065934065934073"/>
  </r>
  <r>
    <n v="395"/>
    <n v="21"/>
    <x v="110"/>
    <n v="12"/>
    <n v="10"/>
    <n v="2591.3700000000003"/>
    <x v="67"/>
    <x v="0"/>
    <n v="1727.5800000000002"/>
    <n v="2879.3"/>
    <x v="3"/>
    <n v="3439.0024222194716"/>
    <n v="4150.0079999999998"/>
    <n v="31096.440000000002"/>
    <n v="10365.480000000003"/>
    <n v="-1558.6379999999995"/>
    <n v="-0.37557469768732965"/>
    <n v="0.33333333333333343"/>
  </r>
  <r>
    <n v="396"/>
    <n v="2"/>
    <x v="321"/>
    <n v="39"/>
    <n v="10"/>
    <n v="3982.3019999999997"/>
    <x v="64"/>
    <x v="0"/>
    <n v="2654.8679999999999"/>
    <n v="4424.78"/>
    <x v="0"/>
    <n v="5112.7061495906"/>
    <n v="1807.3"/>
    <n v="155309.77799999999"/>
    <n v="51769.925999999992"/>
    <n v="2175.0019999999995"/>
    <n v="1.2034537708183475"/>
    <n v="0.33333333333333331"/>
  </r>
  <r>
    <n v="397"/>
    <n v="30"/>
    <x v="322"/>
    <n v="14"/>
    <n v="8"/>
    <n v="1884.4728000000002"/>
    <x v="123"/>
    <x v="1"/>
    <n v="1229.0040000000001"/>
    <n v="2048.34"/>
    <x v="1"/>
    <n v="2403.1008388106484"/>
    <n v="4153.6075000000001"/>
    <n v="26382.619200000005"/>
    <n v="9176.5632000000005"/>
    <n v="-2269.1346999999996"/>
    <n v="-0.54630455573859582"/>
    <n v="0.34782608695652167"/>
  </r>
  <r>
    <n v="398"/>
    <n v="23"/>
    <x v="323"/>
    <n v="46"/>
    <n v="8"/>
    <n v="3646.3280000000004"/>
    <x v="118"/>
    <x v="5"/>
    <n v="2378.04"/>
    <n v="3963.4"/>
    <x v="4"/>
    <n v="4923.9501112665585"/>
    <n v="5343.3279999999995"/>
    <n v="167731.08800000002"/>
    <n v="58341.248000000021"/>
    <n v="-1696.9999999999991"/>
    <n v="-0.31759233196988829"/>
    <n v="0.34782608695652184"/>
  </r>
  <r>
    <n v="399"/>
    <n v="143"/>
    <x v="324"/>
    <n v="5"/>
    <n v="5"/>
    <n v="285.27550000000002"/>
    <x v="139"/>
    <x v="1"/>
    <n v="180.17400000000001"/>
    <n v="300.29000000000002"/>
    <x v="4"/>
    <n v="371.59993493300379"/>
    <n v="2883.9133333333339"/>
    <n v="1426.3775000000001"/>
    <n v="525.50750000000005"/>
    <n v="-2598.6378333333337"/>
    <n v="-0.90108041850541043"/>
    <n v="0.36842105263157898"/>
  </r>
  <r>
    <n v="400"/>
    <n v="85"/>
    <x v="185"/>
    <n v="5"/>
    <n v="5"/>
    <n v="3565.3784999999998"/>
    <x v="42"/>
    <x v="3"/>
    <n v="2251.8180000000002"/>
    <n v="3753.03"/>
    <x v="1"/>
    <n v="4568.5359408544737"/>
    <n v="3340.25"/>
    <n v="17826.892499999998"/>
    <n v="6567.802499999998"/>
    <n v="225.1284999999998"/>
    <n v="6.7398697702267737E-2"/>
    <n v="0.36842105263157887"/>
  </r>
  <r>
    <n v="401"/>
    <n v="150"/>
    <x v="325"/>
    <n v="7"/>
    <n v="2"/>
    <n v="2243.9255999999996"/>
    <x v="29"/>
    <x v="1"/>
    <n v="1373.8319999999999"/>
    <n v="2289.7199999999998"/>
    <x v="3"/>
    <n v="2680.2219303624552"/>
    <n v="1810.3166666666666"/>
    <n v="15707.479199999998"/>
    <n v="6090.6551999999974"/>
    <n v="433.60893333333297"/>
    <n v="0.23952104143842218"/>
    <n v="0.3877551020408162"/>
  </r>
  <r>
    <n v="402"/>
    <n v="63"/>
    <x v="14"/>
    <n v="50"/>
    <n v="4"/>
    <n v="6721.6992"/>
    <x v="41"/>
    <x v="7"/>
    <n v="4201.0619999999999"/>
    <n v="7001.77"/>
    <x v="0"/>
    <n v="8671.793739419285"/>
    <n v="4859.22"/>
    <n v="336084.96"/>
    <n v="126031.86"/>
    <n v="1862.4791999999998"/>
    <n v="0.38328768814748038"/>
    <n v="0.375"/>
  </r>
  <r>
    <n v="403"/>
    <n v="134"/>
    <x v="326"/>
    <n v="5"/>
    <n v="2"/>
    <n v="658.76580000000001"/>
    <x v="121"/>
    <x v="5"/>
    <n v="403.32600000000002"/>
    <n v="672.21"/>
    <x v="1"/>
    <n v="699.73382488563698"/>
    <n v="4666.126666666667"/>
    <n v="3293.8290000000002"/>
    <n v="1277.1990000000001"/>
    <n v="-4007.3608666666669"/>
    <n v="-0.8588195634066228"/>
    <n v="0.38775510204081631"/>
  </r>
  <r>
    <n v="404"/>
    <n v="7"/>
    <x v="327"/>
    <n v="20"/>
    <n v="9"/>
    <n v="7611.9679999999998"/>
    <x v="24"/>
    <x v="3"/>
    <n v="5018.8799999999992"/>
    <n v="8364.7999999999993"/>
    <x v="1"/>
    <n v="9462.4460517897569"/>
    <n v="1679.8333333333333"/>
    <n v="152239.35999999999"/>
    <n v="51861.760000000009"/>
    <n v="5932.1346666666668"/>
    <n v="3.5313828752852467"/>
    <n v="0.34065934065934073"/>
  </r>
  <r>
    <n v="405"/>
    <n v="88"/>
    <x v="328"/>
    <n v="17"/>
    <n v="6"/>
    <n v="5862.1502"/>
    <x v="116"/>
    <x v="5"/>
    <n v="3741.7979999999998"/>
    <n v="6236.33"/>
    <x v="4"/>
    <n v="7170.9625861953837"/>
    <n v="4981.5050000000001"/>
    <n v="99656.553400000004"/>
    <n v="36045.987400000005"/>
    <n v="880.64519999999993"/>
    <n v="0.17678296016966757"/>
    <n v="0.36170212765957449"/>
  </r>
  <r>
    <n v="406"/>
    <n v="24"/>
    <x v="329"/>
    <n v="6"/>
    <n v="10"/>
    <n v="3596.8679999999999"/>
    <x v="32"/>
    <x v="7"/>
    <n v="2397.9119999999998"/>
    <n v="3996.52"/>
    <x v="0"/>
    <n v="4859.898163232293"/>
    <n v="3028.7733333333331"/>
    <n v="21581.207999999999"/>
    <n v="7193.7360000000008"/>
    <n v="568.09466666666685"/>
    <n v="0.18756592327807084"/>
    <n v="0.33333333333333337"/>
  </r>
  <r>
    <n v="407"/>
    <n v="6"/>
    <x v="78"/>
    <n v="33"/>
    <n v="8"/>
    <n v="3795.1656000000003"/>
    <x v="34"/>
    <x v="0"/>
    <n v="2475.1080000000002"/>
    <n v="4125.18"/>
    <x v="4"/>
    <n v="5028.9951031379114"/>
    <n v="6862.0275000000001"/>
    <n v="125240.46480000002"/>
    <n v="43561.900800000003"/>
    <n v="-3066.8618999999999"/>
    <n v="-0.44693232430211038"/>
    <n v="0.34782608695652173"/>
  </r>
  <r>
    <n v="408"/>
    <n v="11"/>
    <x v="330"/>
    <n v="3"/>
    <n v="4"/>
    <n v="3072.1919999999996"/>
    <x v="16"/>
    <x v="1"/>
    <n v="1920.12"/>
    <n v="3200.2"/>
    <x v="1"/>
    <n v="3955.8073186369566"/>
    <n v="7089.33"/>
    <n v="9216.5759999999991"/>
    <n v="3456.215999999999"/>
    <n v="-4017.1380000000004"/>
    <n v="-0.56664564916571813"/>
    <n v="0.37499999999999994"/>
  </r>
  <r>
    <n v="409"/>
    <n v="96"/>
    <x v="331"/>
    <n v="23"/>
    <n v="9"/>
    <n v="4899.8404"/>
    <x v="105"/>
    <x v="4"/>
    <n v="3230.6639999999998"/>
    <n v="5384.44"/>
    <x v="3"/>
    <n v="5927.5563548591517"/>
    <n v="3578.9180000000001"/>
    <n v="112696.32920000001"/>
    <n v="38391.05720000001"/>
    <n v="1320.9223999999999"/>
    <n v="0.36908428748577082"/>
    <n v="0.34065934065934073"/>
  </r>
  <r>
    <n v="410"/>
    <n v="115"/>
    <x v="332"/>
    <n v="11"/>
    <n v="4"/>
    <n v="4503.6287999999995"/>
    <x v="71"/>
    <x v="2"/>
    <n v="2814.7679999999996"/>
    <n v="4691.28"/>
    <x v="2"/>
    <n v="6047.3199764585188"/>
    <n v="4456.5325000000003"/>
    <n v="49539.916799999992"/>
    <n v="18577.468799999999"/>
    <n v="47.096299999999246"/>
    <n v="1.0567924726230369E-2"/>
    <n v="0.37500000000000006"/>
  </r>
  <r>
    <n v="411"/>
    <n v="135"/>
    <x v="333"/>
    <n v="19"/>
    <n v="7"/>
    <n v="7235.1302999999998"/>
    <x v="140"/>
    <x v="0"/>
    <n v="4667.826"/>
    <n v="7779.71"/>
    <x v="4"/>
    <n v="8803.3663250500904"/>
    <n v="4172.7833333333338"/>
    <n v="137467.47570000001"/>
    <n v="48778.781699999992"/>
    <n v="3062.346966666666"/>
    <n v="0.73388592745849068"/>
    <n v="0.35483870967741926"/>
  </r>
  <r>
    <n v="412"/>
    <n v="147"/>
    <x v="236"/>
    <n v="15"/>
    <n v="6"/>
    <n v="4309.2607999999991"/>
    <x v="37"/>
    <x v="4"/>
    <n v="2750.5919999999996"/>
    <n v="4584.32"/>
    <x v="1"/>
    <n v="5891.0845024949031"/>
    <n v="769.14"/>
    <n v="64638.911999999989"/>
    <n v="23380.031999999992"/>
    <n v="3540.1207999999992"/>
    <n v="4.602700158618716"/>
    <n v="0.36170212765957438"/>
  </r>
  <r>
    <n v="413"/>
    <n v="118"/>
    <x v="334"/>
    <n v="35"/>
    <n v="10"/>
    <n v="2834.3250000000003"/>
    <x v="131"/>
    <x v="1"/>
    <n v="1889.55"/>
    <n v="3149.25"/>
    <x v="4"/>
    <n v="3252.9138205417726"/>
    <n v="224.52399999999997"/>
    <n v="99201.375000000015"/>
    <n v="33067.125000000015"/>
    <n v="2609.8010000000004"/>
    <n v="11.623706151680892"/>
    <n v="0.33333333333333343"/>
  </r>
  <r>
    <n v="414"/>
    <n v="110"/>
    <x v="335"/>
    <n v="33"/>
    <n v="8"/>
    <n v="1429.8732"/>
    <x v="91"/>
    <x v="2"/>
    <n v="932.52599999999995"/>
    <n v="1554.21"/>
    <x v="3"/>
    <n v="1909.5174185400322"/>
    <n v="764.66499999999996"/>
    <n v="47185.815600000002"/>
    <n v="16412.457600000002"/>
    <n v="665.20820000000003"/>
    <n v="0.86993415417208853"/>
    <n v="0.34782608695652178"/>
  </r>
  <r>
    <n v="415"/>
    <n v="64"/>
    <x v="336"/>
    <n v="36"/>
    <n v="4"/>
    <n v="3072"/>
    <x v="31"/>
    <x v="2"/>
    <n v="1920"/>
    <n v="3200"/>
    <x v="2"/>
    <n v="4149.384645211001"/>
    <n v="3782.0099999999998"/>
    <n v="110592"/>
    <n v="41472"/>
    <n v="-710.00999999999976"/>
    <n v="-0.18773350678607403"/>
    <n v="0.375"/>
  </r>
  <r>
    <n v="416"/>
    <n v="54"/>
    <x v="273"/>
    <n v="4"/>
    <n v="7"/>
    <n v="864.48149999999987"/>
    <x v="50"/>
    <x v="2"/>
    <n v="557.7299999999999"/>
    <n v="929.55"/>
    <x v="3"/>
    <n v="1180.0307595741174"/>
    <n v="2958.2974999999997"/>
    <n v="3457.9259999999995"/>
    <n v="1227.0059999999999"/>
    <n v="-2093.8159999999998"/>
    <n v="-0.70777736181029804"/>
    <n v="0.35483870967741937"/>
  </r>
  <r>
    <n v="417"/>
    <n v="149"/>
    <x v="337"/>
    <n v="15"/>
    <n v="9"/>
    <n v="5576.2798000000003"/>
    <x v="14"/>
    <x v="5"/>
    <n v="3676.6679999999997"/>
    <n v="6127.78"/>
    <x v="0"/>
    <n v="6265.6872846356737"/>
    <n v="3159.4639999999999"/>
    <n v="83644.197"/>
    <n v="28494.177000000011"/>
    <n v="2416.8158000000003"/>
    <n v="0.76494487672592582"/>
    <n v="0.34065934065934078"/>
  </r>
  <r>
    <n v="418"/>
    <n v="128"/>
    <x v="338"/>
    <n v="1"/>
    <n v="4"/>
    <n v="5052.0960000000005"/>
    <x v="117"/>
    <x v="7"/>
    <n v="3157.56"/>
    <n v="5262.6"/>
    <x v="0"/>
    <n v="6799.0749391169156"/>
    <n v="1349.8883333333335"/>
    <n v="5052.0960000000005"/>
    <n v="1894.5360000000005"/>
    <n v="3702.2076666666671"/>
    <n v="2.7426029066601805"/>
    <n v="0.37500000000000006"/>
  </r>
  <r>
    <n v="419"/>
    <n v="70"/>
    <x v="339"/>
    <n v="48"/>
    <n v="5"/>
    <n v="3828.2624999999998"/>
    <x v="98"/>
    <x v="7"/>
    <n v="2417.85"/>
    <n v="4029.75"/>
    <x v="1"/>
    <n v="5177.4069517070348"/>
    <n v="2158.7083333333335"/>
    <n v="183756.59999999998"/>
    <n v="67699.799999999988"/>
    <n v="1669.5541666666663"/>
    <n v="0.77340423478546183"/>
    <n v="0.36842105263157893"/>
  </r>
  <r>
    <n v="420"/>
    <n v="142"/>
    <x v="340"/>
    <n v="1"/>
    <n v="10"/>
    <n v="2684.1060000000002"/>
    <x v="141"/>
    <x v="3"/>
    <n v="1789.404"/>
    <n v="2982.34"/>
    <x v="0"/>
    <n v="3607.8452767758231"/>
    <n v="2210.1966666666667"/>
    <n v="2684.1060000000002"/>
    <n v="894.70200000000023"/>
    <n v="473.90933333333351"/>
    <n v="0.21441953129359537"/>
    <n v="0.33333333333333337"/>
  </r>
  <r>
    <n v="421"/>
    <n v="57"/>
    <x v="341"/>
    <n v="30"/>
    <n v="7"/>
    <n v="6334.9274999999998"/>
    <x v="55"/>
    <x v="6"/>
    <n v="4087.0499999999997"/>
    <n v="6811.75"/>
    <x v="2"/>
    <n v="7548.8195634868844"/>
    <n v="1836.9825000000001"/>
    <n v="190047.82499999998"/>
    <n v="67436.324999999997"/>
    <n v="4497.9449999999997"/>
    <n v="2.4485508163523604"/>
    <n v="0.35483870967741937"/>
  </r>
  <r>
    <n v="422"/>
    <n v="101"/>
    <x v="342"/>
    <n v="43"/>
    <n v="2"/>
    <n v="4625.8841999999995"/>
    <x v="5"/>
    <x v="3"/>
    <n v="2832.174"/>
    <n v="4720.29"/>
    <x v="2"/>
    <n v="5308.1130586419486"/>
    <n v="6068.0179999999991"/>
    <n v="198913.02059999999"/>
    <n v="77129.538599999985"/>
    <n v="-1442.1337999999996"/>
    <n v="-0.23766142420803626"/>
    <n v="0.38775510204081626"/>
  </r>
  <r>
    <n v="423"/>
    <n v="29"/>
    <x v="343"/>
    <n v="41"/>
    <n v="4"/>
    <n v="7174.08"/>
    <x v="56"/>
    <x v="5"/>
    <n v="4483.8"/>
    <n v="7473"/>
    <x v="2"/>
    <n v="9437.1294236117046"/>
    <n v="1925.7060000000001"/>
    <n v="294137.27999999997"/>
    <n v="110301.48"/>
    <n v="5248.3739999999998"/>
    <n v="2.7254284921997436"/>
    <n v="0.375"/>
  </r>
  <r>
    <n v="424"/>
    <n v="16"/>
    <x v="35"/>
    <n v="8"/>
    <n v="6"/>
    <n v="6346.692"/>
    <x v="142"/>
    <x v="2"/>
    <n v="4051.08"/>
    <n v="6751.8"/>
    <x v="0"/>
    <n v="8298.1487226127701"/>
    <n v="6827.7939999999999"/>
    <n v="50773.536"/>
    <n v="18364.896000000001"/>
    <n v="-481.10199999999986"/>
    <n v="-7.0462289869905256E-2"/>
    <n v="0.36170212765957449"/>
  </r>
  <r>
    <n v="425"/>
    <n v="53"/>
    <x v="344"/>
    <n v="42"/>
    <n v="3"/>
    <n v="3360.4776999999999"/>
    <x v="120"/>
    <x v="2"/>
    <n v="2078.6459999999997"/>
    <n v="3464.41"/>
    <x v="0"/>
    <n v="4323.7264795654492"/>
    <n v="954.33000000000015"/>
    <n v="141140.06339999998"/>
    <n v="53836.931400000009"/>
    <n v="2406.1476999999995"/>
    <n v="2.5212952542621516"/>
    <n v="0.38144329896907225"/>
  </r>
  <r>
    <n v="426"/>
    <n v="36"/>
    <x v="345"/>
    <n v="41"/>
    <n v="4"/>
    <n v="141.50399999999999"/>
    <x v="57"/>
    <x v="0"/>
    <n v="88.44"/>
    <n v="147.4"/>
    <x v="3"/>
    <n v="160.88261635882807"/>
    <n v="2726.4116666666664"/>
    <n v="5801.6639999999998"/>
    <n v="2175.6239999999998"/>
    <n v="-2584.9076666666665"/>
    <n v="-0.94809881364210713"/>
    <n v="0.375"/>
  </r>
  <r>
    <n v="427"/>
    <n v="147"/>
    <x v="68"/>
    <n v="2"/>
    <n v="10"/>
    <n v="4125.8879999999999"/>
    <x v="37"/>
    <x v="4"/>
    <n v="2750.5919999999996"/>
    <n v="4584.32"/>
    <x v="1"/>
    <n v="5664.4171490126519"/>
    <n v="769.14"/>
    <n v="8251.7759999999998"/>
    <n v="2750.5920000000006"/>
    <n v="3356.748"/>
    <n v="4.3642873859115374"/>
    <n v="0.33333333333333343"/>
  </r>
  <r>
    <n v="428"/>
    <n v="53"/>
    <x v="346"/>
    <n v="40"/>
    <n v="4"/>
    <n v="3325.8335999999999"/>
    <x v="120"/>
    <x v="2"/>
    <n v="2078.6459999999997"/>
    <n v="3464.41"/>
    <x v="0"/>
    <n v="4265.8606853294132"/>
    <n v="954.33000000000015"/>
    <n v="133033.34399999998"/>
    <n v="49887.504000000008"/>
    <n v="2371.5036"/>
    <n v="2.4849932413316145"/>
    <n v="0.37500000000000011"/>
  </r>
  <r>
    <n v="429"/>
    <n v="77"/>
    <x v="347"/>
    <n v="33"/>
    <n v="6"/>
    <n v="1885.6211999999998"/>
    <x v="48"/>
    <x v="7"/>
    <n v="1203.588"/>
    <n v="2005.98"/>
    <x v="1"/>
    <n v="2587.8309040032977"/>
    <n v="4139.2699999999995"/>
    <n v="62225.499599999996"/>
    <n v="22507.095599999993"/>
    <n v="-2253.6487999999999"/>
    <n v="-0.54445561657007158"/>
    <n v="0.36170212765957438"/>
  </r>
  <r>
    <n v="430"/>
    <n v="14"/>
    <x v="348"/>
    <n v="45"/>
    <n v="7"/>
    <n v="5599.1765999999998"/>
    <x v="138"/>
    <x v="7"/>
    <n v="3612.3719999999998"/>
    <n v="6020.62"/>
    <x v="4"/>
    <n v="6798.6755543940735"/>
    <n v="3652.5316666666672"/>
    <n v="251962.94699999999"/>
    <n v="89406.206999999995"/>
    <n v="1946.6449333333326"/>
    <n v="0.5329577156301174"/>
    <n v="0.35483870967741937"/>
  </r>
  <r>
    <n v="431"/>
    <n v="15"/>
    <x v="349"/>
    <n v="3"/>
    <n v="8"/>
    <n v="4454.1615999999995"/>
    <x v="27"/>
    <x v="4"/>
    <n v="2904.8879999999995"/>
    <n v="4841.4799999999996"/>
    <x v="0"/>
    <n v="5193.3335027043022"/>
    <n v="5242.3433333333332"/>
    <n v="13362.484799999998"/>
    <n v="4647.8207999999995"/>
    <n v="-788.1817333333338"/>
    <n v="-0.15034912504140968"/>
    <n v="0.34782608695652173"/>
  </r>
  <r>
    <n v="432"/>
    <n v="138"/>
    <x v="86"/>
    <n v="42"/>
    <n v="5"/>
    <n v="2936.9154999999996"/>
    <x v="13"/>
    <x v="4"/>
    <n v="1854.8939999999998"/>
    <n v="3091.49"/>
    <x v="4"/>
    <n v="3285.1719797533933"/>
    <n v="4980.4933333333329"/>
    <n v="123350.45099999999"/>
    <n v="45444.902999999991"/>
    <n v="-2043.5778333333333"/>
    <n v="-0.41031634751042068"/>
    <n v="0.36842105263157893"/>
  </r>
  <r>
    <n v="433"/>
    <n v="23"/>
    <x v="204"/>
    <n v="44"/>
    <n v="2"/>
    <n v="3884.1320000000001"/>
    <x v="118"/>
    <x v="5"/>
    <n v="2378.04"/>
    <n v="3963.4"/>
    <x v="4"/>
    <n v="4211.8502624860785"/>
    <n v="5343.3279999999995"/>
    <n v="170901.80799999999"/>
    <n v="66268.04800000001"/>
    <n v="-1459.1959999999995"/>
    <n v="-0.27308748405488109"/>
    <n v="0.38775510204081642"/>
  </r>
  <r>
    <n v="434"/>
    <n v="88"/>
    <x v="350"/>
    <n v="26"/>
    <n v="9"/>
    <n v="5675.0603000000001"/>
    <x v="116"/>
    <x v="5"/>
    <n v="3741.7979999999998"/>
    <n v="6236.33"/>
    <x v="4"/>
    <n v="7520.019797551543"/>
    <n v="4981.5050000000001"/>
    <n v="147551.56779999999"/>
    <n v="50264.819800000012"/>
    <n v="693.55529999999999"/>
    <n v="0.13922605718552927"/>
    <n v="0.34065934065934078"/>
  </r>
  <r>
    <n v="435"/>
    <n v="141"/>
    <x v="351"/>
    <n v="18"/>
    <n v="7"/>
    <n v="7314.6266999999989"/>
    <x v="86"/>
    <x v="1"/>
    <n v="4719.1139999999996"/>
    <n v="7865.19"/>
    <x v="4"/>
    <n v="9636.6847603592632"/>
    <n v="7586.8133333333344"/>
    <n v="131663.28059999997"/>
    <n v="46719.228599999988"/>
    <n v="-272.18663333333552"/>
    <n v="-3.58762791931969E-2"/>
    <n v="0.35483870967741932"/>
  </r>
  <r>
    <n v="436"/>
    <n v="47"/>
    <x v="352"/>
    <n v="1"/>
    <n v="4"/>
    <n v="3277.0367999999999"/>
    <x v="112"/>
    <x v="2"/>
    <n v="2048.1479999999997"/>
    <n v="3413.58"/>
    <x v="4"/>
    <n v="3991.2581375841833"/>
    <n v="2051.0440000000003"/>
    <n v="3277.0367999999999"/>
    <n v="1228.8888000000002"/>
    <n v="1225.9927999999995"/>
    <n v="0.5977408578265504"/>
    <n v="0.37500000000000006"/>
  </r>
  <r>
    <n v="437"/>
    <n v="67"/>
    <x v="118"/>
    <n v="47"/>
    <n v="8"/>
    <n v="1058.6532"/>
    <x v="76"/>
    <x v="6"/>
    <n v="690.42600000000004"/>
    <n v="1150.71"/>
    <x v="0"/>
    <n v="1326.3074256122745"/>
    <n v="7069.7"/>
    <n v="49756.700400000002"/>
    <n v="17306.678399999997"/>
    <n v="-6011.0468000000001"/>
    <n v="-0.85025486229967329"/>
    <n v="0.34782608695652167"/>
  </r>
  <r>
    <n v="438"/>
    <n v="4"/>
    <x v="353"/>
    <n v="9"/>
    <n v="10"/>
    <n v="6376.8420000000006"/>
    <x v="62"/>
    <x v="4"/>
    <n v="4251.2280000000001"/>
    <n v="7085.38"/>
    <x v="0"/>
    <n v="7976.0989009041605"/>
    <n v="3570.2466666666674"/>
    <n v="57391.578000000009"/>
    <n v="19130.526000000005"/>
    <n v="2806.5953333333332"/>
    <n v="0.78610684229100869"/>
    <n v="0.33333333333333337"/>
  </r>
  <r>
    <n v="439"/>
    <n v="66"/>
    <x v="354"/>
    <n v="30"/>
    <n v="4"/>
    <n v="5592.0096000000003"/>
    <x v="81"/>
    <x v="7"/>
    <n v="3495.0059999999999"/>
    <n v="5825.01"/>
    <x v="1"/>
    <n v="7224.7869539697231"/>
    <n v="6051.7379999999994"/>
    <n v="167760.288"/>
    <n v="62910.108000000015"/>
    <n v="-459.72839999999906"/>
    <n v="-7.5966342230942438E-2"/>
    <n v="0.37500000000000011"/>
  </r>
  <r>
    <n v="440"/>
    <n v="95"/>
    <x v="355"/>
    <n v="49"/>
    <n v="5"/>
    <n v="6620.2365"/>
    <x v="51"/>
    <x v="7"/>
    <n v="4181.2020000000002"/>
    <n v="6968.67"/>
    <x v="2"/>
    <n v="7554.4673745461923"/>
    <n v="2797.7239999999997"/>
    <n v="324391.58850000001"/>
    <n v="119512.69049999998"/>
    <n v="3822.5125000000003"/>
    <n v="1.3662936372565702"/>
    <n v="0.36842105263157887"/>
  </r>
  <r>
    <n v="441"/>
    <n v="102"/>
    <x v="356"/>
    <n v="1"/>
    <n v="4"/>
    <n v="3978.1823999999997"/>
    <x v="143"/>
    <x v="1"/>
    <n v="2486.3639999999996"/>
    <n v="4143.9399999999996"/>
    <x v="0"/>
    <n v="5266.1026492580058"/>
    <n v="2740.84"/>
    <n v="3978.1823999999997"/>
    <n v="1491.8184000000001"/>
    <n v="1237.3423999999995"/>
    <n v="0.45144641788648715"/>
    <n v="0.37500000000000006"/>
  </r>
  <r>
    <n v="442"/>
    <n v="114"/>
    <x v="357"/>
    <n v="31"/>
    <n v="8"/>
    <n v="7032.8572000000004"/>
    <x v="99"/>
    <x v="5"/>
    <n v="4586.6459999999997"/>
    <n v="7644.41"/>
    <x v="2"/>
    <n v="7725.1861282894961"/>
    <n v="6494.3074999999999"/>
    <n v="218018.57320000001"/>
    <n v="75832.547200000015"/>
    <n v="538.54970000000048"/>
    <n v="8.2926424410916869E-2"/>
    <n v="0.34782608695652178"/>
  </r>
  <r>
    <n v="443"/>
    <n v="38"/>
    <x v="83"/>
    <n v="47"/>
    <n v="6"/>
    <n v="6199.7605999999996"/>
    <x v="126"/>
    <x v="3"/>
    <n v="3957.2939999999999"/>
    <n v="6595.49"/>
    <x v="4"/>
    <n v="8444.663039444411"/>
    <n v="517.86"/>
    <n v="291388.74819999997"/>
    <n v="105395.93019999999"/>
    <n v="5681.9005999999999"/>
    <n v="10.971885451666473"/>
    <n v="0.36170212765957444"/>
  </r>
  <r>
    <n v="444"/>
    <n v="140"/>
    <x v="25"/>
    <n v="47"/>
    <n v="7"/>
    <n v="831.19679999999994"/>
    <x v="92"/>
    <x v="1"/>
    <n v="536.25599999999997"/>
    <n v="893.76"/>
    <x v="3"/>
    <n v="1009.218235919499"/>
    <n v="4472.5149999999994"/>
    <n v="39066.249599999996"/>
    <n v="13862.217599999998"/>
    <n v="-3641.3181999999997"/>
    <n v="-0.81415449696647191"/>
    <n v="0.35483870967741937"/>
  </r>
  <r>
    <n v="445"/>
    <n v="48"/>
    <x v="245"/>
    <n v="40"/>
    <n v="2"/>
    <n v="3614.5045999999998"/>
    <x v="3"/>
    <x v="0"/>
    <n v="2212.962"/>
    <n v="3688.27"/>
    <x v="0"/>
    <n v="4490.7893206968474"/>
    <n v="1050.3625000000002"/>
    <n v="144580.18399999998"/>
    <n v="56061.703999999991"/>
    <n v="2564.1420999999996"/>
    <n v="2.4411973009318202"/>
    <n v="0.38775510204081631"/>
  </r>
  <r>
    <n v="446"/>
    <n v="147"/>
    <x v="200"/>
    <n v="3"/>
    <n v="3"/>
    <n v="4446.7903999999999"/>
    <x v="37"/>
    <x v="4"/>
    <n v="2750.5919999999996"/>
    <n v="4584.32"/>
    <x v="1"/>
    <n v="5075.5667734944773"/>
    <n v="769.14"/>
    <n v="13340.3712"/>
    <n v="5088.5952000000007"/>
    <n v="3677.6504"/>
    <n v="4.7815097381491016"/>
    <n v="0.38144329896907225"/>
  </r>
  <r>
    <n v="447"/>
    <n v="66"/>
    <x v="358"/>
    <n v="10"/>
    <n v="9"/>
    <n v="5300.7591000000002"/>
    <x v="81"/>
    <x v="7"/>
    <n v="3495.0059999999999"/>
    <n v="5825.01"/>
    <x v="1"/>
    <n v="7002.6240042537756"/>
    <n v="6051.7379999999994"/>
    <n v="53007.591"/>
    <n v="18057.531000000003"/>
    <n v="-750.97889999999916"/>
    <n v="-0.12409309523974753"/>
    <n v="0.34065934065934073"/>
  </r>
  <r>
    <n v="448"/>
    <n v="146"/>
    <x v="359"/>
    <n v="30"/>
    <n v="3"/>
    <n v="4590.9032999999999"/>
    <x v="144"/>
    <x v="2"/>
    <n v="2839.7339999999999"/>
    <n v="4732.8900000000003"/>
    <x v="2"/>
    <n v="4856.9704554361842"/>
    <n v="619.60249999999996"/>
    <n v="137727.09899999999"/>
    <n v="52535.078999999998"/>
    <n v="3971.3008"/>
    <n v="6.4094331446370862"/>
    <n v="0.3814432989690722"/>
  </r>
  <r>
    <n v="449"/>
    <n v="87"/>
    <x v="360"/>
    <n v="48"/>
    <n v="2"/>
    <n v="4012.2375999999999"/>
    <x v="15"/>
    <x v="5"/>
    <n v="2456.4719999999998"/>
    <n v="4094.12"/>
    <x v="2"/>
    <n v="4447.1713078968569"/>
    <n v="493.79250000000002"/>
    <n v="192587.40479999999"/>
    <n v="74676.748800000001"/>
    <n v="3518.4450999999999"/>
    <n v="7.1253514381040617"/>
    <n v="0.38775510204081637"/>
  </r>
  <r>
    <n v="450"/>
    <n v="70"/>
    <x v="361"/>
    <n v="10"/>
    <n v="5"/>
    <n v="3828.2624999999998"/>
    <x v="98"/>
    <x v="7"/>
    <n v="2417.85"/>
    <n v="4029.75"/>
    <x v="1"/>
    <n v="4662.5918896367057"/>
    <n v="2158.7083333333335"/>
    <n v="38282.625"/>
    <n v="14104.125"/>
    <n v="1669.5541666666663"/>
    <n v="0.77340423478546183"/>
    <n v="0.36842105263157893"/>
  </r>
  <r>
    <n v="451"/>
    <n v="122"/>
    <x v="276"/>
    <n v="29"/>
    <n v="6"/>
    <n v="4838.8755999999994"/>
    <x v="89"/>
    <x v="6"/>
    <n v="3088.6439999999998"/>
    <n v="5147.74"/>
    <x v="3"/>
    <n v="6314.341663228427"/>
    <n v="4724.1475"/>
    <n v="140327.39239999998"/>
    <n v="50756.71639999999"/>
    <n v="114.72809999999936"/>
    <n v="2.4285461027624425E-2"/>
    <n v="0.36170212765957444"/>
  </r>
  <r>
    <n v="452"/>
    <n v="29"/>
    <x v="362"/>
    <n v="31"/>
    <n v="7"/>
    <n v="6949.8899999999994"/>
    <x v="56"/>
    <x v="5"/>
    <n v="4483.8"/>
    <n v="7473"/>
    <x v="2"/>
    <n v="7603.7982315635445"/>
    <n v="1925.7060000000001"/>
    <n v="215446.58999999997"/>
    <n v="76448.789999999979"/>
    <n v="5024.1839999999993"/>
    <n v="2.6090088518185013"/>
    <n v="0.35483870967741932"/>
  </r>
  <r>
    <n v="453"/>
    <n v="44"/>
    <x v="363"/>
    <n v="12"/>
    <n v="2"/>
    <n v="346.52800000000002"/>
    <x v="115"/>
    <x v="7"/>
    <n v="212.16"/>
    <n v="353.6"/>
    <x v="0"/>
    <n v="385.08945289706537"/>
    <n v="4064.8233333333333"/>
    <n v="4158.3360000000002"/>
    <n v="1612.4160000000002"/>
    <n v="-3718.2953333333335"/>
    <n v="-0.91474955451118423"/>
    <n v="0.38775510204081637"/>
  </r>
  <r>
    <n v="454"/>
    <n v="63"/>
    <x v="86"/>
    <n v="42"/>
    <n v="8"/>
    <n v="6441.6284000000005"/>
    <x v="41"/>
    <x v="7"/>
    <n v="4201.0619999999999"/>
    <n v="7001.77"/>
    <x v="0"/>
    <n v="7203.3905148205349"/>
    <n v="4859.22"/>
    <n v="270548.39280000003"/>
    <n v="94103.788800000024"/>
    <n v="1582.4084000000003"/>
    <n v="0.32565070114133549"/>
    <n v="0.34782608695652178"/>
  </r>
  <r>
    <n v="455"/>
    <n v="33"/>
    <x v="364"/>
    <n v="18"/>
    <n v="8"/>
    <n v="4648.7507999999998"/>
    <x v="84"/>
    <x v="0"/>
    <n v="3031.7939999999999"/>
    <n v="5052.99"/>
    <x v="3"/>
    <n v="6425.2532781091895"/>
    <n v="2776.7875000000004"/>
    <n v="83677.5144"/>
    <n v="29105.222399999999"/>
    <n v="1871.9632999999994"/>
    <n v="0.67414712144879618"/>
    <n v="0.34782608695652173"/>
  </r>
  <r>
    <n v="456"/>
    <n v="92"/>
    <x v="365"/>
    <n v="22"/>
    <n v="8"/>
    <n v="3291.7784000000001"/>
    <x v="88"/>
    <x v="1"/>
    <n v="2146.8119999999999"/>
    <n v="3578.02"/>
    <x v="4"/>
    <n v="4032.623227504997"/>
    <n v="5387.83"/>
    <n v="72419.124800000005"/>
    <n v="25189.260800000004"/>
    <n v="-2096.0515999999998"/>
    <n v="-0.38903447213442144"/>
    <n v="0.34782608695652178"/>
  </r>
  <r>
    <n v="457"/>
    <n v="35"/>
    <x v="366"/>
    <n v="2"/>
    <n v="3"/>
    <n v="131.1343"/>
    <x v="104"/>
    <x v="3"/>
    <n v="81.11399999999999"/>
    <n v="135.19"/>
    <x v="3"/>
    <n v="155.82344376330127"/>
    <n v="2089.5899999999997"/>
    <n v="262.26859999999999"/>
    <n v="100.04060000000001"/>
    <n v="-1958.4556999999998"/>
    <n v="-0.93724400480477033"/>
    <n v="0.3814432989690722"/>
  </r>
  <r>
    <n v="458"/>
    <n v="138"/>
    <x v="367"/>
    <n v="8"/>
    <n v="5"/>
    <n v="2936.9154999999996"/>
    <x v="13"/>
    <x v="4"/>
    <n v="1854.8939999999998"/>
    <n v="3091.49"/>
    <x v="4"/>
    <n v="3770.8951071987785"/>
    <n v="4980.4933333333329"/>
    <n v="23495.323999999997"/>
    <n v="8656.1719999999987"/>
    <n v="-2043.5778333333333"/>
    <n v="-0.41031634751042068"/>
    <n v="0.36842105263157893"/>
  </r>
  <r>
    <n v="459"/>
    <n v="87"/>
    <x v="87"/>
    <n v="35"/>
    <n v="10"/>
    <n v="3684.7080000000001"/>
    <x v="15"/>
    <x v="5"/>
    <n v="2456.4719999999998"/>
    <n v="4094.12"/>
    <x v="2"/>
    <n v="4257.5734259668307"/>
    <n v="493.79250000000002"/>
    <n v="128964.78"/>
    <n v="42988.260000000009"/>
    <n v="3190.9155000000001"/>
    <n v="6.4620574431567919"/>
    <n v="0.33333333333333343"/>
  </r>
  <r>
    <n v="460"/>
    <n v="56"/>
    <x v="150"/>
    <n v="2"/>
    <n v="9"/>
    <n v="7263.4380000000001"/>
    <x v="17"/>
    <x v="5"/>
    <n v="4789.08"/>
    <n v="7981.8"/>
    <x v="4"/>
    <n v="8643.1619614365591"/>
    <n v="3458.9274999999998"/>
    <n v="14526.876"/>
    <n v="4948.7160000000003"/>
    <n v="3804.5105000000003"/>
    <n v="1.0999104491204283"/>
    <n v="0.34065934065934067"/>
  </r>
  <r>
    <n v="461"/>
    <n v="79"/>
    <x v="368"/>
    <n v="26"/>
    <n v="7"/>
    <n v="2053.3748999999998"/>
    <x v="134"/>
    <x v="2"/>
    <n v="1324.7579999999998"/>
    <n v="2207.9299999999998"/>
    <x v="1"/>
    <n v="2340.8034346612731"/>
    <n v="197.005"/>
    <n v="53387.747399999993"/>
    <n v="18944.039400000001"/>
    <n v="1856.3698999999997"/>
    <n v="9.4229583005507465"/>
    <n v="0.35483870967741943"/>
  </r>
  <r>
    <n v="462"/>
    <n v="72"/>
    <x v="369"/>
    <n v="47"/>
    <n v="4"/>
    <n v="5569.3439999999991"/>
    <x v="65"/>
    <x v="5"/>
    <n v="3480.8399999999997"/>
    <n v="5801.4"/>
    <x v="3"/>
    <n v="6133.302331191383"/>
    <n v="5210.5919999999996"/>
    <n v="261759.16799999995"/>
    <n v="98159.68799999998"/>
    <n v="358.7519999999995"/>
    <n v="6.885052600549027E-2"/>
    <n v="0.375"/>
  </r>
  <r>
    <n v="463"/>
    <n v="117"/>
    <x v="370"/>
    <n v="38"/>
    <n v="10"/>
    <n v="1914.462"/>
    <x v="1"/>
    <x v="0"/>
    <n v="1276.3079999999998"/>
    <n v="2127.1799999999998"/>
    <x v="1"/>
    <n v="2377.5567389555063"/>
    <n v="892.9766666666668"/>
    <n v="72749.555999999997"/>
    <n v="24249.85200000001"/>
    <n v="1021.4853333333332"/>
    <n v="1.1439104418555166"/>
    <n v="0.33333333333333348"/>
  </r>
  <r>
    <n v="464"/>
    <n v="132"/>
    <x v="371"/>
    <n v="32"/>
    <n v="7"/>
    <n v="5104.1468999999997"/>
    <x v="145"/>
    <x v="4"/>
    <n v="3292.998"/>
    <n v="5488.33"/>
    <x v="4"/>
    <n v="6337.3036879516949"/>
    <n v="3374.6533333333332"/>
    <n v="163332.70079999999"/>
    <n v="57956.76479999999"/>
    <n v="1729.4935666666665"/>
    <n v="0.5124951797517967"/>
    <n v="0.35483870967741932"/>
  </r>
  <r>
    <n v="465"/>
    <n v="113"/>
    <x v="79"/>
    <n v="45"/>
    <n v="7"/>
    <n v="4491.1187999999993"/>
    <x v="87"/>
    <x v="7"/>
    <n v="2897.4959999999996"/>
    <n v="4829.16"/>
    <x v="1"/>
    <n v="5784.8062346523384"/>
    <n v="4302.05"/>
    <n v="202100.34599999996"/>
    <n v="71713.025999999983"/>
    <n v="189.0687999999991"/>
    <n v="4.3948536162991853E-2"/>
    <n v="0.35483870967741932"/>
  </r>
  <r>
    <n v="466"/>
    <n v="114"/>
    <x v="372"/>
    <n v="44"/>
    <n v="3"/>
    <n v="7415.0776999999998"/>
    <x v="99"/>
    <x v="5"/>
    <n v="4586.6459999999997"/>
    <n v="7644.41"/>
    <x v="2"/>
    <n v="8691.0331720041158"/>
    <n v="6494.3074999999999"/>
    <n v="326263.41879999998"/>
    <n v="124450.9948"/>
    <n v="920.77019999999993"/>
    <n v="0.14178112138977095"/>
    <n v="0.3814432989690722"/>
  </r>
  <r>
    <n v="467"/>
    <n v="149"/>
    <x v="321"/>
    <n v="20"/>
    <n v="3"/>
    <n v="5943.9465999999993"/>
    <x v="14"/>
    <x v="5"/>
    <n v="3676.6679999999997"/>
    <n v="6127.78"/>
    <x v="0"/>
    <n v="6880.6178341434252"/>
    <n v="3159.4639999999999"/>
    <n v="118878.93199999999"/>
    <n v="45345.571999999993"/>
    <n v="2784.4825999999994"/>
    <n v="0.88131486859796448"/>
    <n v="0.38144329896907214"/>
  </r>
  <r>
    <n v="468"/>
    <n v="149"/>
    <x v="114"/>
    <n v="25"/>
    <n v="3"/>
    <n v="5943.9465999999993"/>
    <x v="14"/>
    <x v="5"/>
    <n v="3676.6679999999997"/>
    <n v="6127.78"/>
    <x v="0"/>
    <n v="7002.1111642536598"/>
    <n v="3159.4639999999999"/>
    <n v="148598.66499999998"/>
    <n v="56681.964999999989"/>
    <n v="2784.4825999999994"/>
    <n v="0.88131486859796448"/>
    <n v="0.38144329896907214"/>
  </r>
  <r>
    <n v="469"/>
    <n v="135"/>
    <x v="373"/>
    <n v="39"/>
    <n v="5"/>
    <n v="7390.7244999999994"/>
    <x v="140"/>
    <x v="0"/>
    <n v="4667.826"/>
    <n v="7779.71"/>
    <x v="4"/>
    <n v="9943.8838049098485"/>
    <n v="4172.7833333333338"/>
    <n v="288238.25549999997"/>
    <n v="106193.04149999998"/>
    <n v="3217.9411666666656"/>
    <n v="0.77117379686620013"/>
    <n v="0.36842105263157893"/>
  </r>
  <r>
    <n v="470"/>
    <n v="105"/>
    <x v="374"/>
    <n v="38"/>
    <n v="5"/>
    <n v="3935.9259999999999"/>
    <x v="85"/>
    <x v="1"/>
    <n v="2485.848"/>
    <n v="4143.08"/>
    <x v="3"/>
    <n v="5157.4278338130434"/>
    <n v="4778.8849999999993"/>
    <n v="149565.18799999999"/>
    <n v="55102.964"/>
    <n v="-842.95899999999938"/>
    <n v="-0.17639240115633656"/>
    <n v="0.36842105263157898"/>
  </r>
  <r>
    <n v="471"/>
    <n v="18"/>
    <x v="375"/>
    <n v="30"/>
    <n v="3"/>
    <n v="8182.8715000000002"/>
    <x v="46"/>
    <x v="7"/>
    <n v="5061.5700000000006"/>
    <n v="8435.9500000000007"/>
    <x v="3"/>
    <n v="8834.153377752873"/>
    <n v="1552.9240000000002"/>
    <n v="245486.14500000002"/>
    <n v="93639.044999999984"/>
    <n v="6629.9475000000002"/>
    <n v="4.2693315963949292"/>
    <n v="0.38144329896907209"/>
  </r>
  <r>
    <n v="472"/>
    <n v="68"/>
    <x v="376"/>
    <n v="7"/>
    <n v="6"/>
    <n v="5680.8805999999995"/>
    <x v="53"/>
    <x v="6"/>
    <n v="3626.0939999999996"/>
    <n v="6043.49"/>
    <x v="2"/>
    <n v="6586.4088971854817"/>
    <n v="796.21333333333325"/>
    <n v="39766.164199999999"/>
    <n v="14383.5062"/>
    <n v="4884.6672666666664"/>
    <n v="6.1348724797374237"/>
    <n v="0.36170212765957449"/>
  </r>
  <r>
    <n v="473"/>
    <n v="26"/>
    <x v="377"/>
    <n v="40"/>
    <n v="5"/>
    <n v="5355.0739999999996"/>
    <x v="100"/>
    <x v="7"/>
    <n v="3382.152"/>
    <n v="5636.92"/>
    <x v="0"/>
    <n v="6452.8591079836606"/>
    <n v="3474.7766666666666"/>
    <n v="214202.96"/>
    <n v="78916.879999999976"/>
    <n v="1880.297333333333"/>
    <n v="0.54112753529483415"/>
    <n v="0.36842105263157887"/>
  </r>
  <r>
    <n v="474"/>
    <n v="3"/>
    <x v="173"/>
    <n v="8"/>
    <n v="9"/>
    <n v="4701.7698"/>
    <x v="129"/>
    <x v="2"/>
    <n v="3100.0679999999998"/>
    <n v="5166.78"/>
    <x v="1"/>
    <n v="5934.9401194497905"/>
    <n v="7049.42"/>
    <n v="37614.1584"/>
    <n v="12813.614400000002"/>
    <n v="-2347.6502"/>
    <n v="-0.33302742636982902"/>
    <n v="0.34065934065934073"/>
  </r>
  <r>
    <n v="475"/>
    <n v="51"/>
    <x v="378"/>
    <n v="5"/>
    <n v="8"/>
    <n v="968.64039999999989"/>
    <x v="18"/>
    <x v="5"/>
    <n v="631.72199999999987"/>
    <n v="1052.8699999999999"/>
    <x v="2"/>
    <n v="1094.0531697977397"/>
    <n v="5383.6833333333334"/>
    <n v="4843.2019999999993"/>
    <n v="1684.5920000000001"/>
    <n v="-4415.0429333333332"/>
    <n v="-0.82007849644450359"/>
    <n v="0.34782608695652178"/>
  </r>
  <r>
    <n v="476"/>
    <n v="90"/>
    <x v="379"/>
    <n v="20"/>
    <n v="10"/>
    <n v="1239.039"/>
    <x v="0"/>
    <x v="0"/>
    <n v="826.02599999999995"/>
    <n v="1376.71"/>
    <x v="0"/>
    <n v="1478.3704094266832"/>
    <n v="2414.7550000000001"/>
    <n v="24780.78"/>
    <n v="8260.26"/>
    <n v="-1175.7160000000001"/>
    <n v="-0.48688831786247466"/>
    <n v="0.33333333333333337"/>
  </r>
  <r>
    <n v="477"/>
    <n v="130"/>
    <x v="348"/>
    <n v="12"/>
    <n v="8"/>
    <n v="2930.6507999999999"/>
    <x v="111"/>
    <x v="4"/>
    <n v="1911.2939999999999"/>
    <n v="3185.49"/>
    <x v="4"/>
    <n v="3702.3890831204699"/>
    <n v="3865.1374999999998"/>
    <n v="35167.809600000001"/>
    <n v="12232.2816"/>
    <n v="-934.48669999999993"/>
    <n v="-0.24177320987933806"/>
    <n v="0.34782608695652173"/>
  </r>
  <r>
    <n v="478"/>
    <n v="80"/>
    <x v="262"/>
    <n v="41"/>
    <n v="9"/>
    <n v="909.15370000000007"/>
    <x v="130"/>
    <x v="0"/>
    <n v="599.44200000000001"/>
    <n v="999.07"/>
    <x v="4"/>
    <n v="1085.026524282013"/>
    <n v="4319.1966666666667"/>
    <n v="37275.301700000004"/>
    <n v="12698.179700000002"/>
    <n v="-3410.0429666666669"/>
    <n v="-0.78950861232682934"/>
    <n v="0.34065934065934067"/>
  </r>
  <r>
    <n v="479"/>
    <n v="4"/>
    <x v="380"/>
    <n v="48"/>
    <n v="9"/>
    <n v="6447.6958000000004"/>
    <x v="62"/>
    <x v="4"/>
    <n v="4251.2280000000001"/>
    <n v="7085.38"/>
    <x v="0"/>
    <n v="7737.3406721666561"/>
    <n v="3570.2466666666674"/>
    <n v="309489.39840000001"/>
    <n v="105430.45440000002"/>
    <n v="2877.4491333333331"/>
    <n v="0.80595247387201985"/>
    <n v="0.34065934065934073"/>
  </r>
  <r>
    <n v="480"/>
    <n v="130"/>
    <x v="333"/>
    <n v="10"/>
    <n v="9"/>
    <n v="2898.7959000000001"/>
    <x v="111"/>
    <x v="4"/>
    <n v="1911.2939999999999"/>
    <n v="3185.49"/>
    <x v="4"/>
    <n v="3374.1363092717143"/>
    <n v="3865.1374999999998"/>
    <n v="28987.959000000003"/>
    <n v="9875.0190000000021"/>
    <n v="-966.34159999999974"/>
    <n v="-0.2500148054241278"/>
    <n v="0.34065934065934073"/>
  </r>
  <r>
    <n v="481"/>
    <n v="101"/>
    <x v="381"/>
    <n v="30"/>
    <n v="9"/>
    <n v="4295.4638999999997"/>
    <x v="5"/>
    <x v="3"/>
    <n v="2832.174"/>
    <n v="4720.29"/>
    <x v="2"/>
    <n v="6112.3139908549974"/>
    <n v="6068.0179999999991"/>
    <n v="128863.91699999999"/>
    <n v="43898.696999999993"/>
    <n v="-1772.5540999999994"/>
    <n v="-0.2921141796217479"/>
    <n v="0.34065934065934061"/>
  </r>
  <r>
    <n v="482"/>
    <n v="80"/>
    <x v="296"/>
    <n v="39"/>
    <n v="2"/>
    <n v="979.08860000000004"/>
    <x v="130"/>
    <x v="0"/>
    <n v="599.44200000000001"/>
    <n v="999.07"/>
    <x v="4"/>
    <n v="1215.2409763714682"/>
    <n v="4319.1966666666667"/>
    <n v="38184.455399999999"/>
    <n v="14806.217400000001"/>
    <n v="-3340.1080666666667"/>
    <n v="-0.77331696712120079"/>
    <n v="0.38775510204081637"/>
  </r>
  <r>
    <n v="483"/>
    <n v="93"/>
    <x v="382"/>
    <n v="2"/>
    <n v="2"/>
    <n v="7509.3185999999996"/>
    <x v="66"/>
    <x v="2"/>
    <n v="4597.5419999999995"/>
    <n v="7662.57"/>
    <x v="3"/>
    <n v="9098.7807874278205"/>
    <n v="991.00333333333344"/>
    <n v="15018.637199999999"/>
    <n v="5823.5532000000003"/>
    <n v="6518.3152666666665"/>
    <n v="6.5774907585241884"/>
    <n v="0.38775510204081637"/>
  </r>
  <r>
    <n v="484"/>
    <n v="61"/>
    <x v="18"/>
    <n v="44"/>
    <n v="2"/>
    <n v="2393.3951999999999"/>
    <x v="146"/>
    <x v="7"/>
    <n v="1465.3439999999998"/>
    <n v="2442.2399999999998"/>
    <x v="4"/>
    <n v="2619.212424292502"/>
    <n v="411.75600000000003"/>
    <n v="105309.3888"/>
    <n v="40834.252800000002"/>
    <n v="1981.6391999999998"/>
    <n v="4.8126540961151747"/>
    <n v="0.38775510204081637"/>
  </r>
  <r>
    <n v="485"/>
    <n v="100"/>
    <x v="310"/>
    <n v="27"/>
    <n v="6"/>
    <n v="3838.8283999999999"/>
    <x v="21"/>
    <x v="3"/>
    <n v="2450.3159999999998"/>
    <n v="4083.86"/>
    <x v="3"/>
    <n v="5061.1252754516972"/>
    <n v="3659.5875000000001"/>
    <n v="103648.3668"/>
    <n v="37489.834800000004"/>
    <n v="179.24089999999978"/>
    <n v="4.8978443608739992E-2"/>
    <n v="0.36170212765957449"/>
  </r>
  <r>
    <n v="486"/>
    <n v="45"/>
    <x v="87"/>
    <n v="25"/>
    <n v="2"/>
    <n v="5219.8622000000005"/>
    <x v="69"/>
    <x v="1"/>
    <n v="3195.8340000000003"/>
    <n v="5326.39"/>
    <x v="1"/>
    <n v="6405.3903145499989"/>
    <n v="4436.1279999999997"/>
    <n v="130496.55500000001"/>
    <n v="50600.705000000002"/>
    <n v="783.73420000000078"/>
    <n v="0.17667078136609243"/>
    <n v="0.38775510204081631"/>
  </r>
  <r>
    <n v="487"/>
    <n v="81"/>
    <x v="383"/>
    <n v="36"/>
    <n v="9"/>
    <n v="7064.7030999999997"/>
    <x v="147"/>
    <x v="0"/>
    <n v="4658.0459999999994"/>
    <n v="7763.41"/>
    <x v="2"/>
    <n v="8525.3858914932152"/>
    <n v="290.31399999999996"/>
    <n v="254329.31159999999"/>
    <n v="86639.655600000013"/>
    <n v="6774.3890999999994"/>
    <n v="23.334696569920844"/>
    <n v="0.34065934065934073"/>
  </r>
  <r>
    <n v="488"/>
    <n v="88"/>
    <x v="219"/>
    <n v="9"/>
    <n v="8"/>
    <n v="5737.4236000000001"/>
    <x v="116"/>
    <x v="5"/>
    <n v="3741.7979999999998"/>
    <n v="6236.33"/>
    <x v="4"/>
    <n v="7644.9755739301645"/>
    <n v="4981.5050000000001"/>
    <n v="51636.812400000003"/>
    <n v="17960.630400000002"/>
    <n v="755.91859999999997"/>
    <n v="0.15174502484690872"/>
    <n v="0.34782608695652178"/>
  </r>
  <r>
    <n v="489"/>
    <n v="52"/>
    <x v="167"/>
    <n v="1"/>
    <n v="5"/>
    <n v="4236.2210000000005"/>
    <x v="75"/>
    <x v="2"/>
    <n v="2675.5080000000003"/>
    <n v="4459.18"/>
    <x v="3"/>
    <n v="5360.1101739392079"/>
    <n v="6258.09"/>
    <n v="4236.2210000000005"/>
    <n v="1560.7130000000002"/>
    <n v="-2021.8689999999997"/>
    <n v="-0.32308084415532529"/>
    <n v="0.36842105263157893"/>
  </r>
  <r>
    <n v="490"/>
    <n v="84"/>
    <x v="279"/>
    <n v="5"/>
    <n v="9"/>
    <n v="7061.7456000000002"/>
    <x v="80"/>
    <x v="6"/>
    <n v="4656.0959999999995"/>
    <n v="7760.16"/>
    <x v="1"/>
    <n v="8923.6813466639433"/>
    <n v="2588.9250000000002"/>
    <n v="35308.728000000003"/>
    <n v="12028.248000000003"/>
    <n v="4472.8206"/>
    <n v="1.7276748457371303"/>
    <n v="0.34065934065934073"/>
  </r>
  <r>
    <n v="491"/>
    <n v="41"/>
    <x v="347"/>
    <n v="35"/>
    <n v="7"/>
    <n v="2865.7670999999996"/>
    <x v="72"/>
    <x v="7"/>
    <n v="1848.8819999999998"/>
    <n v="3081.47"/>
    <x v="1"/>
    <n v="3974.5888845928789"/>
    <n v="1589.1249999999998"/>
    <n v="100301.84849999998"/>
    <n v="35590.97849999999"/>
    <n v="1276.6420999999998"/>
    <n v="0.80336166129159126"/>
    <n v="0.35483870967741932"/>
  </r>
  <r>
    <n v="492"/>
    <n v="127"/>
    <x v="384"/>
    <n v="39"/>
    <n v="8"/>
    <n v="5051.3152000000009"/>
    <x v="101"/>
    <x v="4"/>
    <n v="3294.3360000000002"/>
    <n v="5490.56"/>
    <x v="1"/>
    <n v="6114.131030578993"/>
    <n v="5984.333333333333"/>
    <n v="197001.29280000002"/>
    <n v="68522.188800000033"/>
    <n v="-933.01813333333212"/>
    <n v="-0.1559101208711634"/>
    <n v="0.34782608695652184"/>
  </r>
  <r>
    <n v="493"/>
    <n v="6"/>
    <x v="385"/>
    <n v="43"/>
    <n v="9"/>
    <n v="3753.9138000000003"/>
    <x v="34"/>
    <x v="0"/>
    <n v="2475.1080000000002"/>
    <n v="4125.18"/>
    <x v="4"/>
    <n v="4576.4219459111428"/>
    <n v="6862.0275000000001"/>
    <n v="161418.29340000002"/>
    <n v="54988.649400000002"/>
    <n v="-3108.1136999999999"/>
    <n v="-0.45294392947273965"/>
    <n v="0.34065934065934061"/>
  </r>
  <r>
    <n v="494"/>
    <n v="144"/>
    <x v="321"/>
    <n v="20"/>
    <n v="8"/>
    <n v="1451.9624000000001"/>
    <x v="77"/>
    <x v="0"/>
    <n v="946.93200000000002"/>
    <n v="1578.22"/>
    <x v="2"/>
    <n v="1729.7128177032366"/>
    <n v="6414.0239999999994"/>
    <n v="29039.248000000003"/>
    <n v="10100.608000000002"/>
    <n v="-4962.0615999999991"/>
    <n v="-0.77362691502245695"/>
    <n v="0.34782608695652178"/>
  </r>
  <r>
    <n v="495"/>
    <n v="120"/>
    <x v="386"/>
    <n v="24"/>
    <n v="3"/>
    <n v="1917.3019999999999"/>
    <x v="125"/>
    <x v="0"/>
    <n v="1185.9599999999998"/>
    <n v="1976.6"/>
    <x v="2"/>
    <n v="2308.2136406451268"/>
    <n v="1688.8574999999998"/>
    <n v="46015.248"/>
    <n v="17552.208000000002"/>
    <n v="228.44450000000006"/>
    <n v="0.13526570477378944"/>
    <n v="0.3814432989690722"/>
  </r>
  <r>
    <n v="496"/>
    <n v="103"/>
    <x v="260"/>
    <n v="8"/>
    <n v="5"/>
    <n v="6093.3474999999999"/>
    <x v="12"/>
    <x v="1"/>
    <n v="3848.43"/>
    <n v="6414.05"/>
    <x v="0"/>
    <n v="7833.8076619348749"/>
    <n v="6457.8324999999995"/>
    <n v="48746.78"/>
    <n v="17959.34"/>
    <n v="-364.48499999999967"/>
    <n v="-5.6440763986987851E-2"/>
    <n v="0.36842105263157898"/>
  </r>
  <r>
    <n v="497"/>
    <n v="36"/>
    <x v="387"/>
    <n v="30"/>
    <n v="3"/>
    <n v="142.97800000000001"/>
    <x v="57"/>
    <x v="0"/>
    <n v="88.44"/>
    <n v="147.4"/>
    <x v="3"/>
    <n v="185.95347593154185"/>
    <n v="2726.4116666666664"/>
    <n v="4289.34"/>
    <n v="1636.1400000000003"/>
    <n v="-2583.4336666666663"/>
    <n v="-0.94755817628421235"/>
    <n v="0.38144329896907225"/>
  </r>
  <r>
    <n v="498"/>
    <n v="52"/>
    <x v="269"/>
    <n v="25"/>
    <n v="2"/>
    <n v="4369.9964"/>
    <x v="75"/>
    <x v="2"/>
    <n v="2675.5080000000003"/>
    <n v="4459.18"/>
    <x v="3"/>
    <n v="5464.5672119918936"/>
    <n v="6258.09"/>
    <n v="109249.91"/>
    <n v="42362.209999999992"/>
    <n v="-1888.0936000000002"/>
    <n v="-0.30170444976023036"/>
    <n v="0.38775510204081626"/>
  </r>
  <r>
    <n v="499"/>
    <n v="123"/>
    <x v="388"/>
    <n v="13"/>
    <n v="9"/>
    <n v="4211.1342000000004"/>
    <x v="148"/>
    <x v="3"/>
    <n v="2776.5719999999997"/>
    <n v="4627.62"/>
    <x v="2"/>
    <n v="5834.4260159272308"/>
    <n v="809.94800000000009"/>
    <n v="54744.744600000005"/>
    <n v="18649.308600000011"/>
    <n v="3401.1862000000001"/>
    <n v="4.1992648910794266"/>
    <n v="0.34065934065934084"/>
  </r>
  <r>
    <n v="500"/>
    <n v="58"/>
    <x v="389"/>
    <n v="12"/>
    <n v="3"/>
    <n v="1104.4225999999999"/>
    <x v="103"/>
    <x v="7"/>
    <n v="683.14799999999991"/>
    <n v="1138.58"/>
    <x v="2"/>
    <n v="1147.9158857044185"/>
    <n v="1439.8525"/>
    <n v="13253.071199999998"/>
    <n v="5055.2951999999996"/>
    <n v="-335.42990000000009"/>
    <n v="-0.23296129291021136"/>
    <n v="0.3814432989690722"/>
  </r>
  <r>
    <n v="501"/>
    <n v="115"/>
    <x v="390"/>
    <n v="28"/>
    <n v="8"/>
    <n v="4315.9776000000002"/>
    <x v="71"/>
    <x v="2"/>
    <n v="2814.7679999999996"/>
    <n v="4691.28"/>
    <x v="2"/>
    <n v="5845.4511130096871"/>
    <n v="4456.5325000000003"/>
    <n v="120847.37280000001"/>
    <n v="42033.868800000018"/>
    <n v="-140.55490000000009"/>
    <n v="-3.1539072137362421E-2"/>
    <n v="0.34782608695652184"/>
  </r>
  <r>
    <n v="502"/>
    <n v="60"/>
    <x v="247"/>
    <n v="13"/>
    <n v="7"/>
    <n v="2578.5272999999997"/>
    <x v="36"/>
    <x v="2"/>
    <n v="1663.566"/>
    <n v="2772.61"/>
    <x v="2"/>
    <n v="3477.8411199449833"/>
    <n v="3047.7533333333336"/>
    <n v="33520.854899999998"/>
    <n v="11894.496899999996"/>
    <n v="-469.22603333333382"/>
    <n v="-0.15395800841275445"/>
    <n v="0.35483870967741926"/>
  </r>
  <r>
    <n v="503"/>
    <n v="83"/>
    <x v="198"/>
    <n v="19"/>
    <n v="4"/>
    <n v="3663.7727999999997"/>
    <x v="28"/>
    <x v="6"/>
    <n v="2289.8579999999997"/>
    <n v="3816.43"/>
    <x v="2"/>
    <n v="4803.6932736395684"/>
    <n v="2990.2349999999997"/>
    <n v="69611.683199999999"/>
    <n v="26104.3812"/>
    <n v="673.53780000000006"/>
    <n v="0.22524577499761728"/>
    <n v="0.375"/>
  </r>
  <r>
    <n v="504"/>
    <n v="134"/>
    <x v="391"/>
    <n v="18"/>
    <n v="6"/>
    <n v="631.87739999999997"/>
    <x v="121"/>
    <x v="5"/>
    <n v="403.32600000000002"/>
    <n v="672.21"/>
    <x v="1"/>
    <n v="745.13998674209938"/>
    <n v="4666.126666666667"/>
    <n v="11373.7932"/>
    <n v="4113.9251999999988"/>
    <n v="-4034.2492666666672"/>
    <n v="-0.86458203020635249"/>
    <n v="0.36170212765957438"/>
  </r>
  <r>
    <n v="505"/>
    <n v="66"/>
    <x v="392"/>
    <n v="14"/>
    <n v="5"/>
    <n v="5533.7595000000001"/>
    <x v="81"/>
    <x v="7"/>
    <n v="3495.0059999999999"/>
    <n v="5825.01"/>
    <x v="1"/>
    <n v="7138.2653825343341"/>
    <n v="6051.7379999999994"/>
    <n v="77472.633000000002"/>
    <n v="28542.549000000003"/>
    <n v="-517.97849999999926"/>
    <n v="-8.5591692832703486E-2"/>
    <n v="0.36842105263157898"/>
  </r>
  <r>
    <n v="506"/>
    <n v="46"/>
    <x v="393"/>
    <n v="32"/>
    <n v="10"/>
    <n v="1456.7940000000001"/>
    <x v="60"/>
    <x v="1"/>
    <n v="971.19600000000003"/>
    <n v="1618.66"/>
    <x v="0"/>
    <n v="2091.2112947778714"/>
    <n v="4497.6779999999999"/>
    <n v="46617.408000000003"/>
    <n v="15539.136000000002"/>
    <n v="-3040.884"/>
    <n v="-0.6761008680479127"/>
    <n v="0.33333333333333337"/>
  </r>
  <r>
    <n v="507"/>
    <n v="124"/>
    <x v="99"/>
    <n v="25"/>
    <n v="2"/>
    <n v="4063.6091999999999"/>
    <x v="149"/>
    <x v="3"/>
    <n v="2487.924"/>
    <n v="4146.54"/>
    <x v="3"/>
    <n v="4556.084875576631"/>
    <n v="7575.8475000000008"/>
    <n v="101590.23"/>
    <n v="39392.129999999997"/>
    <n v="-3512.2383000000009"/>
    <n v="-0.46360995254986331"/>
    <n v="0.38775510204081631"/>
  </r>
  <r>
    <n v="508"/>
    <n v="88"/>
    <x v="394"/>
    <n v="49"/>
    <n v="6"/>
    <n v="5862.1502"/>
    <x v="116"/>
    <x v="5"/>
    <n v="3741.7979999999998"/>
    <n v="6236.33"/>
    <x v="4"/>
    <n v="6834.7797978029084"/>
    <n v="4981.5050000000001"/>
    <n v="287245.35979999998"/>
    <n v="103897.25780000001"/>
    <n v="880.64519999999993"/>
    <n v="0.17678296016966757"/>
    <n v="0.36170212765957455"/>
  </r>
  <r>
    <n v="509"/>
    <n v="30"/>
    <x v="395"/>
    <n v="12"/>
    <n v="9"/>
    <n v="1863.9894000000002"/>
    <x v="123"/>
    <x v="1"/>
    <n v="1229.0040000000001"/>
    <n v="2048.34"/>
    <x v="1"/>
    <n v="2164.3488504155825"/>
    <n v="4153.6075000000001"/>
    <n v="22367.872800000001"/>
    <n v="7619.8248000000003"/>
    <n v="-2289.6180999999997"/>
    <n v="-0.55123602795882842"/>
    <n v="0.34065934065934067"/>
  </r>
  <r>
    <n v="510"/>
    <n v="123"/>
    <x v="396"/>
    <n v="12"/>
    <n v="6"/>
    <n v="4349.9627999999993"/>
    <x v="148"/>
    <x v="3"/>
    <n v="2776.5719999999997"/>
    <n v="4627.62"/>
    <x v="2"/>
    <n v="5717.1077679330756"/>
    <n v="809.94800000000009"/>
    <n v="52199.553599999992"/>
    <n v="18880.689599999998"/>
    <n v="3540.014799999999"/>
    <n v="4.3706692281479782"/>
    <n v="0.36170212765957449"/>
  </r>
  <r>
    <n v="511"/>
    <n v="143"/>
    <x v="397"/>
    <n v="23"/>
    <n v="10"/>
    <n v="270.26100000000002"/>
    <x v="139"/>
    <x v="1"/>
    <n v="180.17400000000001"/>
    <n v="300.29000000000002"/>
    <x v="4"/>
    <n v="331.91505353148239"/>
    <n v="2883.9133333333339"/>
    <n v="6216.0030000000006"/>
    <n v="2072.0010000000002"/>
    <n v="-2613.6523333333339"/>
    <n v="-0.90628671226828361"/>
    <n v="0.33333333333333331"/>
  </r>
  <r>
    <n v="512"/>
    <n v="30"/>
    <x v="184"/>
    <n v="26"/>
    <n v="7"/>
    <n v="1904.9562000000001"/>
    <x v="123"/>
    <x v="1"/>
    <n v="1229.0040000000001"/>
    <n v="2048.34"/>
    <x v="1"/>
    <n v="2632.1009133792591"/>
    <n v="4153.6075000000001"/>
    <n v="49528.861199999999"/>
    <n v="17574.7572"/>
    <n v="-2248.6513"/>
    <n v="-0.54137308351836322"/>
    <n v="0.35483870967741937"/>
  </r>
  <r>
    <n v="513"/>
    <n v="33"/>
    <x v="398"/>
    <n v="33"/>
    <n v="10"/>
    <n v="4547.6909999999998"/>
    <x v="84"/>
    <x v="0"/>
    <n v="3031.7939999999999"/>
    <n v="5052.99"/>
    <x v="3"/>
    <n v="5599.2434297960035"/>
    <n v="2776.7875000000004"/>
    <n v="150073.80299999999"/>
    <n v="50024.600999999995"/>
    <n v="1770.9034999999994"/>
    <n v="0.63775261880860501"/>
    <n v="0.33333333333333331"/>
  </r>
  <r>
    <n v="514"/>
    <n v="87"/>
    <x v="191"/>
    <n v="31"/>
    <n v="6"/>
    <n v="3848.4727999999996"/>
    <x v="15"/>
    <x v="5"/>
    <n v="2456.4719999999998"/>
    <n v="4094.12"/>
    <x v="2"/>
    <n v="5138.1022675673148"/>
    <n v="493.79250000000002"/>
    <n v="119302.65679999998"/>
    <n v="43152.024799999992"/>
    <n v="3354.6802999999995"/>
    <n v="6.7937044406304254"/>
    <n v="0.36170212765957444"/>
  </r>
  <r>
    <n v="515"/>
    <n v="138"/>
    <x v="74"/>
    <n v="21"/>
    <n v="7"/>
    <n v="2875.0856999999996"/>
    <x v="13"/>
    <x v="4"/>
    <n v="1854.8939999999998"/>
    <n v="3091.49"/>
    <x v="4"/>
    <n v="3371.6682137692355"/>
    <n v="4980.4933333333329"/>
    <n v="60376.799699999989"/>
    <n v="21424.025699999998"/>
    <n v="-2105.4076333333333"/>
    <n v="-0.42273074019441181"/>
    <n v="0.35483870967741937"/>
  </r>
  <r>
    <n v="516"/>
    <n v="74"/>
    <x v="399"/>
    <n v="46"/>
    <n v="6"/>
    <n v="1790.8973999999998"/>
    <x v="78"/>
    <x v="3"/>
    <n v="1143.126"/>
    <n v="1905.21"/>
    <x v="4"/>
    <n v="2314.2025124638121"/>
    <n v="2585.9039999999995"/>
    <n v="82381.280399999989"/>
    <n v="29797.484399999994"/>
    <n v="-795.00659999999971"/>
    <n v="-0.30743855920405394"/>
    <n v="0.36170212765957444"/>
  </r>
  <r>
    <n v="517"/>
    <n v="131"/>
    <x v="400"/>
    <n v="15"/>
    <n v="6"/>
    <n v="5821.0252"/>
    <x v="109"/>
    <x v="6"/>
    <n v="3715.5479999999998"/>
    <n v="6192.58"/>
    <x v="3"/>
    <n v="6329.2353895057431"/>
    <n v="1795.3133333333335"/>
    <n v="87315.377999999997"/>
    <n v="31582.158000000003"/>
    <n v="4025.7118666666665"/>
    <n v="2.2423449945599092"/>
    <n v="0.36170212765957449"/>
  </r>
  <r>
    <n v="518"/>
    <n v="54"/>
    <x v="401"/>
    <n v="41"/>
    <n v="8"/>
    <n v="855.18600000000004"/>
    <x v="50"/>
    <x v="2"/>
    <n v="557.7299999999999"/>
    <n v="929.55"/>
    <x v="3"/>
    <n v="1111.5025236952497"/>
    <n v="2958.2974999999997"/>
    <n v="35062.626000000004"/>
    <n v="12195.696000000005"/>
    <n v="-2103.1114999999995"/>
    <n v="-0.71091954071556351"/>
    <n v="0.34782608695652184"/>
  </r>
  <r>
    <n v="519"/>
    <n v="5"/>
    <x v="392"/>
    <n v="26"/>
    <n v="4"/>
    <n v="797.04"/>
    <x v="113"/>
    <x v="6"/>
    <n v="498.15"/>
    <n v="830.25"/>
    <x v="4"/>
    <n v="845.09098355473998"/>
    <n v="7010.5333333333328"/>
    <n v="20723.04"/>
    <n v="7771.1399999999994"/>
    <n v="-6213.4933333333329"/>
    <n v="-0.88630822191369174"/>
    <n v="0.37499999999999994"/>
  </r>
  <r>
    <n v="520"/>
    <n v="19"/>
    <x v="402"/>
    <n v="4"/>
    <n v="9"/>
    <n v="3103.8553000000002"/>
    <x v="95"/>
    <x v="0"/>
    <n v="2046.4979999999998"/>
    <n v="3410.83"/>
    <x v="2"/>
    <n v="4356.9202021717256"/>
    <n v="1213.8383333333334"/>
    <n v="12415.421200000001"/>
    <n v="4229.4292000000014"/>
    <n v="1890.0169666666668"/>
    <n v="1.557058229885089"/>
    <n v="0.34065934065934073"/>
  </r>
  <r>
    <n v="521"/>
    <n v="142"/>
    <x v="337"/>
    <n v="25"/>
    <n v="8"/>
    <n v="2743.7528000000002"/>
    <x v="141"/>
    <x v="3"/>
    <n v="1789.404"/>
    <n v="2982.34"/>
    <x v="0"/>
    <n v="3262.0405225933687"/>
    <n v="2210.1966666666667"/>
    <n v="68593.820000000007"/>
    <n v="23858.720000000005"/>
    <n v="533.55613333333349"/>
    <n v="0.24140663198900858"/>
    <n v="0.34782608695652178"/>
  </r>
  <r>
    <n v="522"/>
    <n v="75"/>
    <x v="403"/>
    <n v="16"/>
    <n v="7"/>
    <n v="3509.2991999999999"/>
    <x v="128"/>
    <x v="3"/>
    <n v="2264.0639999999999"/>
    <n v="3773.44"/>
    <x v="0"/>
    <n v="4732.6283510297771"/>
    <n v="3293.6366666666668"/>
    <n v="56148.787199999999"/>
    <n v="19923.763200000001"/>
    <n v="215.66253333333316"/>
    <n v="6.5478543980260873E-2"/>
    <n v="0.35483870967741937"/>
  </r>
  <r>
    <n v="523"/>
    <n v="36"/>
    <x v="404"/>
    <n v="50"/>
    <n v="10"/>
    <n v="132.66"/>
    <x v="57"/>
    <x v="0"/>
    <n v="88.44"/>
    <n v="147.4"/>
    <x v="3"/>
    <n v="154.61215702586108"/>
    <n v="2726.4116666666664"/>
    <n v="6633"/>
    <n v="2211"/>
    <n v="-2593.7516666666666"/>
    <n v="-0.95134263778947548"/>
    <n v="0.33333333333333331"/>
  </r>
  <r>
    <n v="524"/>
    <n v="87"/>
    <x v="405"/>
    <n v="18"/>
    <n v="4"/>
    <n v="3930.3552"/>
    <x v="15"/>
    <x v="5"/>
    <n v="2456.4719999999998"/>
    <n v="4094.12"/>
    <x v="2"/>
    <n v="4801.6170168544477"/>
    <n v="493.79250000000002"/>
    <n v="70746.393599999996"/>
    <n v="26529.897600000004"/>
    <n v="3436.5626999999999"/>
    <n v="6.959527939367244"/>
    <n v="0.37500000000000006"/>
  </r>
  <r>
    <n v="525"/>
    <n v="82"/>
    <x v="160"/>
    <n v="5"/>
    <n v="4"/>
    <n v="1220.3712"/>
    <x v="7"/>
    <x v="4"/>
    <n v="762.73199999999997"/>
    <n v="1271.22"/>
    <x v="2"/>
    <n v="1453.9011665726555"/>
    <n v="2617.7080000000001"/>
    <n v="6101.8559999999998"/>
    <n v="2288.1960000000004"/>
    <n v="-1397.3368"/>
    <n v="-0.53380163104517386"/>
    <n v="0.37500000000000006"/>
  </r>
  <r>
    <n v="526"/>
    <n v="77"/>
    <x v="81"/>
    <n v="41"/>
    <n v="2"/>
    <n v="1965.8604"/>
    <x v="48"/>
    <x v="7"/>
    <n v="1203.588"/>
    <n v="2005.98"/>
    <x v="1"/>
    <n v="2329.6392484422881"/>
    <n v="4139.2699999999995"/>
    <n v="80600.276400000002"/>
    <n v="31253.168400000002"/>
    <n v="-2173.4095999999995"/>
    <n v="-0.52507074919007457"/>
    <n v="0.38775510204081637"/>
  </r>
  <r>
    <n v="527"/>
    <n v="80"/>
    <x v="406"/>
    <n v="34"/>
    <n v="4"/>
    <n v="959.10720000000003"/>
    <x v="130"/>
    <x v="0"/>
    <n v="599.44200000000001"/>
    <n v="999.07"/>
    <x v="4"/>
    <n v="1055.9021807200243"/>
    <n v="4319.1966666666667"/>
    <n v="32609.644800000002"/>
    <n v="12228.616800000002"/>
    <n v="-3360.0894666666668"/>
    <n v="-0.77794315146566606"/>
    <n v="0.37500000000000006"/>
  </r>
  <r>
    <n v="528"/>
    <n v="41"/>
    <x v="407"/>
    <n v="13"/>
    <n v="5"/>
    <n v="2927.3964999999998"/>
    <x v="72"/>
    <x v="7"/>
    <n v="1848.8819999999998"/>
    <n v="3081.47"/>
    <x v="1"/>
    <n v="3194.9765577181579"/>
    <n v="1589.1249999999998"/>
    <n v="38056.154499999997"/>
    <n v="14020.6885"/>
    <n v="1338.2715000000001"/>
    <n v="0.84214363250216329"/>
    <n v="0.36842105263157898"/>
  </r>
  <r>
    <n v="529"/>
    <n v="130"/>
    <x v="408"/>
    <n v="4"/>
    <n v="7"/>
    <n v="2962.5056999999997"/>
    <x v="111"/>
    <x v="4"/>
    <n v="1911.2939999999999"/>
    <n v="3185.49"/>
    <x v="4"/>
    <n v="3591.1613390169268"/>
    <n v="3865.1374999999998"/>
    <n v="11850.022799999999"/>
    <n v="4204.8467999999993"/>
    <n v="-902.63180000000011"/>
    <n v="-0.2335316143345483"/>
    <n v="0.35483870967741932"/>
  </r>
  <r>
    <n v="530"/>
    <n v="39"/>
    <x v="409"/>
    <n v="37"/>
    <n v="2"/>
    <n v="3143.4283999999998"/>
    <x v="49"/>
    <x v="6"/>
    <n v="1924.5479999999998"/>
    <n v="3207.58"/>
    <x v="1"/>
    <n v="3373.6782399538465"/>
    <n v="9555.6079999999984"/>
    <n v="116306.85079999999"/>
    <n v="45098.574800000002"/>
    <n v="-6412.1795999999986"/>
    <n v="-0.671038368254537"/>
    <n v="0.38775510204081637"/>
  </r>
  <r>
    <n v="531"/>
    <n v="100"/>
    <x v="222"/>
    <n v="15"/>
    <n v="9"/>
    <n v="3716.3126000000002"/>
    <x v="21"/>
    <x v="3"/>
    <n v="2450.3159999999998"/>
    <n v="4083.86"/>
    <x v="3"/>
    <n v="4831.7140729670446"/>
    <n v="3659.5875000000001"/>
    <n v="55744.689000000006"/>
    <n v="18989.949000000008"/>
    <n v="56.725100000000111"/>
    <n v="1.5500408174418594E-2"/>
    <n v="0.34065934065934078"/>
  </r>
  <r>
    <n v="532"/>
    <n v="17"/>
    <x v="410"/>
    <n v="17"/>
    <n v="9"/>
    <n v="2711.0447000000004"/>
    <x v="135"/>
    <x v="4"/>
    <n v="1787.502"/>
    <n v="2979.17"/>
    <x v="2"/>
    <n v="3289.3637165586019"/>
    <n v="1105.6675"/>
    <n v="46087.759900000005"/>
    <n v="15700.225900000007"/>
    <n v="1605.3772000000004"/>
    <n v="1.4519529605419355"/>
    <n v="0.34065934065934078"/>
  </r>
  <r>
    <n v="533"/>
    <n v="2"/>
    <x v="411"/>
    <n v="50"/>
    <n v="9"/>
    <n v="4026.5497999999998"/>
    <x v="64"/>
    <x v="0"/>
    <n v="2654.8679999999999"/>
    <n v="4424.78"/>
    <x v="0"/>
    <n v="5483.1460859908975"/>
    <n v="1807.3"/>
    <n v="201327.49"/>
    <n v="68584.09"/>
    <n v="2219.2497999999996"/>
    <n v="1.2279365904941071"/>
    <n v="0.34065934065934067"/>
  </r>
  <r>
    <n v="534"/>
    <n v="36"/>
    <x v="412"/>
    <n v="42"/>
    <n v="5"/>
    <n v="140.03"/>
    <x v="57"/>
    <x v="0"/>
    <n v="88.44"/>
    <n v="147.4"/>
    <x v="3"/>
    <n v="166.54056527299011"/>
    <n v="2726.4116666666664"/>
    <n v="5881.26"/>
    <n v="2166.7800000000002"/>
    <n v="-2586.3816666666662"/>
    <n v="-0.9486394510000018"/>
    <n v="0.36842105263157898"/>
  </r>
  <r>
    <n v="535"/>
    <n v="88"/>
    <x v="413"/>
    <n v="36"/>
    <n v="8"/>
    <n v="5737.4236000000001"/>
    <x v="116"/>
    <x v="5"/>
    <n v="3741.7979999999998"/>
    <n v="6236.33"/>
    <x v="4"/>
    <n v="8107.0245585838493"/>
    <n v="4981.5050000000001"/>
    <n v="206547.24960000001"/>
    <n v="71842.521600000007"/>
    <n v="755.91859999999997"/>
    <n v="0.15174502484690872"/>
    <n v="0.34782608695652178"/>
  </r>
  <r>
    <n v="536"/>
    <n v="65"/>
    <x v="414"/>
    <n v="30"/>
    <n v="6"/>
    <n v="4240.6783999999998"/>
    <x v="90"/>
    <x v="2"/>
    <n v="2706.8159999999998"/>
    <n v="4511.3599999999997"/>
    <x v="1"/>
    <n v="5822.1565859556267"/>
    <n v="1786.8475000000001"/>
    <n v="127220.352"/>
    <n v="46015.872000000003"/>
    <n v="2453.8308999999999"/>
    <n v="1.3732738244310159"/>
    <n v="0.36170212765957449"/>
  </r>
  <r>
    <n v="537"/>
    <n v="92"/>
    <x v="308"/>
    <n v="25"/>
    <n v="4"/>
    <n v="3434.8991999999998"/>
    <x v="88"/>
    <x v="1"/>
    <n v="2146.8119999999999"/>
    <n v="3578.02"/>
    <x v="4"/>
    <n v="4267.5033549857499"/>
    <n v="5387.83"/>
    <n v="85872.48"/>
    <n v="32202.18"/>
    <n v="-1952.9308000000001"/>
    <n v="-0.36247075353157027"/>
    <n v="0.375"/>
  </r>
  <r>
    <n v="538"/>
    <n v="26"/>
    <x v="415"/>
    <n v="37"/>
    <n v="6"/>
    <n v="5298.7047999999995"/>
    <x v="100"/>
    <x v="7"/>
    <n v="3382.152"/>
    <n v="5636.92"/>
    <x v="0"/>
    <n v="6209.629452565573"/>
    <n v="3474.7766666666666"/>
    <n v="196052.07759999999"/>
    <n v="70912.453599999979"/>
    <n v="1823.9281333333329"/>
    <n v="0.5249051401864675"/>
    <n v="0.36170212765957438"/>
  </r>
  <r>
    <n v="539"/>
    <n v="118"/>
    <x v="416"/>
    <n v="41"/>
    <n v="2"/>
    <n v="3086.2649999999999"/>
    <x v="131"/>
    <x v="1"/>
    <n v="1889.55"/>
    <n v="3149.25"/>
    <x v="4"/>
    <n v="3700.3995500681235"/>
    <n v="224.52399999999997"/>
    <n v="126536.86499999999"/>
    <n v="49065.314999999995"/>
    <n v="2861.741"/>
    <n v="12.745813365163636"/>
    <n v="0.38775510204081631"/>
  </r>
  <r>
    <n v="540"/>
    <n v="59"/>
    <x v="417"/>
    <n v="36"/>
    <n v="7"/>
    <n v="3859.9742999999999"/>
    <x v="43"/>
    <x v="5"/>
    <n v="2490.306"/>
    <n v="4150.51"/>
    <x v="3"/>
    <n v="4753.9770787904545"/>
    <n v="6105.9674999999997"/>
    <n v="138959.0748"/>
    <n v="49308.058799999992"/>
    <n v="-2245.9931999999999"/>
    <n v="-0.36783576067183454"/>
    <n v="0.35483870967741926"/>
  </r>
  <r>
    <n v="541"/>
    <n v="98"/>
    <x v="418"/>
    <n v="9"/>
    <n v="10"/>
    <n v="7026.9120000000003"/>
    <x v="124"/>
    <x v="1"/>
    <n v="4684.6080000000002"/>
    <n v="7807.68"/>
    <x v="3"/>
    <n v="9394.8444427656996"/>
    <n v="6533.69"/>
    <n v="63242.207999999999"/>
    <n v="21080.736000000001"/>
    <n v="493.22200000000066"/>
    <n v="7.5489042179840288E-2"/>
    <n v="0.33333333333333337"/>
  </r>
  <r>
    <n v="542"/>
    <n v="78"/>
    <x v="40"/>
    <n v="8"/>
    <n v="5"/>
    <n v="822.45299999999997"/>
    <x v="26"/>
    <x v="2"/>
    <n v="519.44399999999996"/>
    <n v="865.74"/>
    <x v="0"/>
    <n v="925.23995365532778"/>
    <n v="398.392"/>
    <n v="6579.6239999999998"/>
    <n v="2424.0720000000001"/>
    <n v="424.06099999999998"/>
    <n v="1.06443151468905"/>
    <n v="0.36842105263157898"/>
  </r>
  <r>
    <n v="543"/>
    <n v="42"/>
    <x v="228"/>
    <n v="31"/>
    <n v="5"/>
    <n v="406.22"/>
    <x v="132"/>
    <x v="1"/>
    <n v="256.56"/>
    <n v="427.6"/>
    <x v="2"/>
    <n v="443.54900614723215"/>
    <n v="513.45666666666671"/>
    <n v="12592.820000000002"/>
    <n v="4639.4600000000009"/>
    <n v="-107.23666666666668"/>
    <n v="-0.20885241857475803"/>
    <n v="0.36842105263157898"/>
  </r>
  <r>
    <n v="544"/>
    <n v="149"/>
    <x v="124"/>
    <n v="43"/>
    <n v="10"/>
    <n v="5515.0019999999995"/>
    <x v="14"/>
    <x v="5"/>
    <n v="3676.6679999999997"/>
    <n v="6127.78"/>
    <x v="0"/>
    <n v="6324.2103430783154"/>
    <n v="3159.4639999999999"/>
    <n v="237145.08599999998"/>
    <n v="79048.361999999994"/>
    <n v="2355.5379999999996"/>
    <n v="0.7455498780805857"/>
    <n v="0.33333333333333331"/>
  </r>
  <r>
    <n v="545"/>
    <n v="150"/>
    <x v="419"/>
    <n v="10"/>
    <n v="5"/>
    <n v="2175.2339999999999"/>
    <x v="29"/>
    <x v="1"/>
    <n v="1373.8319999999999"/>
    <n v="2289.7199999999998"/>
    <x v="3"/>
    <n v="2809.8304760530887"/>
    <n v="1810.3166666666666"/>
    <n v="21752.34"/>
    <n v="8014.02"/>
    <n v="364.91733333333332"/>
    <n v="0.20157651976173596"/>
    <n v="0.36842105263157898"/>
  </r>
  <r>
    <n v="546"/>
    <n v="91"/>
    <x v="420"/>
    <n v="45"/>
    <n v="7"/>
    <n v="2941.5899999999997"/>
    <x v="35"/>
    <x v="3"/>
    <n v="1897.8"/>
    <n v="3163"/>
    <x v="2"/>
    <n v="3970.3310068021278"/>
    <n v="4782.2433333333329"/>
    <n v="132371.54999999999"/>
    <n v="46970.549999999988"/>
    <n v="-1840.6533333333332"/>
    <n v="-0.38489328230196013"/>
    <n v="0.35483870967741932"/>
  </r>
  <r>
    <n v="547"/>
    <n v="31"/>
    <x v="52"/>
    <n v="45"/>
    <n v="9"/>
    <n v="931.14840000000004"/>
    <x v="52"/>
    <x v="5"/>
    <n v="613.94399999999996"/>
    <n v="1023.24"/>
    <x v="2"/>
    <n v="1029.5776524954524"/>
    <n v="1065.8219999999999"/>
    <n v="41901.678"/>
    <n v="14274.198000000004"/>
    <n v="-134.67359999999985"/>
    <n v="-0.12635655859984113"/>
    <n v="0.34065934065934078"/>
  </r>
  <r>
    <n v="548"/>
    <n v="24"/>
    <x v="421"/>
    <n v="45"/>
    <n v="9"/>
    <n v="3636.8332"/>
    <x v="32"/>
    <x v="7"/>
    <n v="2397.9119999999998"/>
    <n v="3996.52"/>
    <x v="0"/>
    <n v="4333.4809387888399"/>
    <n v="3028.7733333333331"/>
    <n v="163657.49400000001"/>
    <n v="55751.454000000012"/>
    <n v="608.05986666666695"/>
    <n v="0.20076110020338278"/>
    <n v="0.34065934065934073"/>
  </r>
  <r>
    <n v="549"/>
    <n v="102"/>
    <x v="422"/>
    <n v="50"/>
    <n v="8"/>
    <n v="3812.4247999999998"/>
    <x v="143"/>
    <x v="1"/>
    <n v="2486.3639999999996"/>
    <n v="4143.9399999999996"/>
    <x v="0"/>
    <n v="4864.6278860442335"/>
    <n v="2740.84"/>
    <n v="190621.24"/>
    <n v="66303.040000000008"/>
    <n v="1071.5847999999996"/>
    <n v="0.39096948380788354"/>
    <n v="0.34782608695652178"/>
  </r>
  <r>
    <n v="550"/>
    <n v="99"/>
    <x v="423"/>
    <n v="19"/>
    <n v="5"/>
    <n v="1941.7809999999999"/>
    <x v="106"/>
    <x v="3"/>
    <n v="1226.3879999999999"/>
    <n v="2043.98"/>
    <x v="2"/>
    <n v="2398.9539234799372"/>
    <n v="958.76666666666654"/>
    <n v="36893.839"/>
    <n v="13592.467000000001"/>
    <n v="983.01433333333341"/>
    <n v="1.0252904773493727"/>
    <n v="0.36842105263157898"/>
  </r>
  <r>
    <n v="551"/>
    <n v="86"/>
    <x v="424"/>
    <n v="29"/>
    <n v="9"/>
    <n v="2841.8481000000002"/>
    <x v="39"/>
    <x v="1"/>
    <n v="1873.7459999999999"/>
    <n v="3122.91"/>
    <x v="0"/>
    <n v="3143.4719278045072"/>
    <n v="2919.076"/>
    <n v="82413.594900000011"/>
    <n v="28074.960900000009"/>
    <n v="-77.227899999999863"/>
    <n v="-2.6456282741525009E-2"/>
    <n v="0.34065934065934073"/>
  </r>
  <r>
    <n v="552"/>
    <n v="47"/>
    <x v="425"/>
    <n v="23"/>
    <n v="5"/>
    <n v="3242.9009999999998"/>
    <x v="112"/>
    <x v="2"/>
    <n v="2048.1479999999997"/>
    <n v="3413.58"/>
    <x v="4"/>
    <n v="4139.7700356505411"/>
    <n v="2051.0440000000003"/>
    <n v="74586.722999999998"/>
    <n v="27479.319000000003"/>
    <n v="1191.8569999999995"/>
    <n v="0.58109772389085723"/>
    <n v="0.36842105263157898"/>
  </r>
  <r>
    <n v="553"/>
    <n v="70"/>
    <x v="426"/>
    <n v="22"/>
    <n v="7"/>
    <n v="3747.6674999999996"/>
    <x v="98"/>
    <x v="7"/>
    <n v="2417.85"/>
    <n v="4029.75"/>
    <x v="1"/>
    <n v="4836.3663355884801"/>
    <n v="2158.7083333333335"/>
    <n v="82448.684999999998"/>
    <n v="29255.984999999993"/>
    <n v="1588.9591666666661"/>
    <n v="0.73606940878997829"/>
    <n v="0.35483870967741926"/>
  </r>
  <r>
    <n v="554"/>
    <n v="59"/>
    <x v="427"/>
    <n v="31"/>
    <n v="9"/>
    <n v="3776.9641000000001"/>
    <x v="43"/>
    <x v="5"/>
    <n v="2490.306"/>
    <n v="4150.51"/>
    <x v="3"/>
    <n v="4461.0013059070907"/>
    <n v="6105.9674999999997"/>
    <n v="117085.88710000001"/>
    <n v="39886.401100000003"/>
    <n v="-2329.0033999999996"/>
    <n v="-0.38143069054985956"/>
    <n v="0.34065934065934067"/>
  </r>
  <r>
    <n v="555"/>
    <n v="99"/>
    <x v="428"/>
    <n v="28"/>
    <n v="3"/>
    <n v="1982.6605999999999"/>
    <x v="106"/>
    <x v="3"/>
    <n v="1226.3879999999999"/>
    <n v="2043.98"/>
    <x v="2"/>
    <n v="2599.61413502394"/>
    <n v="958.76666666666654"/>
    <n v="55514.496800000001"/>
    <n v="21175.632799999999"/>
    <n v="1023.8939333333334"/>
    <n v="1.0679281716093594"/>
    <n v="0.38144329896907214"/>
  </r>
  <r>
    <n v="556"/>
    <n v="117"/>
    <x v="429"/>
    <n v="30"/>
    <n v="8"/>
    <n v="1957.0056"/>
    <x v="1"/>
    <x v="0"/>
    <n v="1276.3079999999998"/>
    <n v="2127.1799999999998"/>
    <x v="1"/>
    <n v="2188.3159059584873"/>
    <n v="892.9766666666668"/>
    <n v="58710.167999999998"/>
    <n v="20420.928000000007"/>
    <n v="1064.028933333333"/>
    <n v="1.1915528961189723"/>
    <n v="0.3478260869565219"/>
  </r>
  <r>
    <n v="557"/>
    <n v="88"/>
    <x v="130"/>
    <n v="9"/>
    <n v="3"/>
    <n v="6049.2401"/>
    <x v="116"/>
    <x v="5"/>
    <n v="3741.7979999999998"/>
    <n v="6236.33"/>
    <x v="4"/>
    <n v="7896.1392629089778"/>
    <n v="4981.5050000000001"/>
    <n v="54443.160900000003"/>
    <n v="20766.978900000002"/>
    <n v="1067.7350999999999"/>
    <n v="0.2143398631538059"/>
    <n v="0.3814432989690722"/>
  </r>
  <r>
    <n v="558"/>
    <n v="62"/>
    <x v="430"/>
    <n v="31"/>
    <n v="5"/>
    <n v="3285.0430000000001"/>
    <x v="79"/>
    <x v="7"/>
    <n v="2074.7640000000001"/>
    <n v="3457.94"/>
    <x v="0"/>
    <n v="4137.1465391663296"/>
    <n v="5560.3266666666668"/>
    <n v="101836.333"/>
    <n v="37518.648999999998"/>
    <n v="-2275.2836666666667"/>
    <n v="-0.40919963934972647"/>
    <n v="0.36842105263157893"/>
  </r>
  <r>
    <n v="559"/>
    <n v="56"/>
    <x v="9"/>
    <n v="29"/>
    <n v="6"/>
    <n v="7502.8919999999998"/>
    <x v="17"/>
    <x v="5"/>
    <n v="4789.08"/>
    <n v="7981.8"/>
    <x v="4"/>
    <n v="9800.8466102398143"/>
    <n v="3458.9274999999998"/>
    <n v="217583.86799999999"/>
    <n v="78700.547999999995"/>
    <n v="4043.9645"/>
    <n v="1.1691382661243985"/>
    <n v="0.36170212765957449"/>
  </r>
  <r>
    <n v="560"/>
    <n v="26"/>
    <x v="228"/>
    <n v="32"/>
    <n v="6"/>
    <n v="5298.7047999999995"/>
    <x v="100"/>
    <x v="7"/>
    <n v="3382.152"/>
    <n v="5636.92"/>
    <x v="0"/>
    <n v="6325.4600098761275"/>
    <n v="3474.7766666666666"/>
    <n v="169558.55359999998"/>
    <n v="61329.689599999983"/>
    <n v="1823.9281333333329"/>
    <n v="0.5249051401864675"/>
    <n v="0.36170212765957438"/>
  </r>
  <r>
    <n v="561"/>
    <n v="85"/>
    <x v="431"/>
    <n v="36"/>
    <n v="8"/>
    <n v="3452.7876000000001"/>
    <x v="42"/>
    <x v="3"/>
    <n v="2251.8180000000002"/>
    <n v="3753.03"/>
    <x v="1"/>
    <n v="4295.4731420520584"/>
    <n v="3340.25"/>
    <n v="124300.3536"/>
    <n v="43234.905599999998"/>
    <n v="112.53760000000011"/>
    <n v="3.369137040640674E-2"/>
    <n v="0.34782608695652173"/>
  </r>
  <r>
    <n v="562"/>
    <n v="87"/>
    <x v="0"/>
    <n v="29"/>
    <n v="4"/>
    <n v="3930.3552"/>
    <x v="15"/>
    <x v="5"/>
    <n v="2456.4719999999998"/>
    <n v="4094.12"/>
    <x v="2"/>
    <n v="5024.7708991089848"/>
    <n v="493.79250000000002"/>
    <n v="113980.3008"/>
    <n v="42742.612800000003"/>
    <n v="3436.5626999999999"/>
    <n v="6.959527939367244"/>
    <n v="0.37500000000000006"/>
  </r>
  <r>
    <n v="563"/>
    <n v="58"/>
    <x v="256"/>
    <n v="46"/>
    <n v="7"/>
    <n v="1058.8793999999998"/>
    <x v="103"/>
    <x v="7"/>
    <n v="683.14799999999991"/>
    <n v="1138.58"/>
    <x v="2"/>
    <n v="1210.4016659758163"/>
    <n v="1439.8525"/>
    <n v="48708.452399999995"/>
    <n v="17283.644399999994"/>
    <n v="-380.97310000000016"/>
    <n v="-0.26459175505824395"/>
    <n v="0.35483870967741926"/>
  </r>
  <r>
    <n v="564"/>
    <n v="42"/>
    <x v="432"/>
    <n v="1"/>
    <n v="3"/>
    <n v="414.77199999999999"/>
    <x v="132"/>
    <x v="1"/>
    <n v="256.56"/>
    <n v="427.6"/>
    <x v="2"/>
    <n v="451.44925497845514"/>
    <n v="513.45666666666671"/>
    <n v="414.77199999999999"/>
    <n v="158.21199999999999"/>
    <n v="-98.684666666666715"/>
    <n v="-0.1921966800184372"/>
    <n v="0.38144329896907214"/>
  </r>
  <r>
    <n v="565"/>
    <n v="89"/>
    <x v="276"/>
    <n v="41"/>
    <n v="10"/>
    <n v="907.53300000000002"/>
    <x v="108"/>
    <x v="1"/>
    <n v="605.02199999999993"/>
    <n v="1008.37"/>
    <x v="0"/>
    <n v="1104.0543261799555"/>
    <n v="913.02"/>
    <n v="37208.853000000003"/>
    <n v="12402.951000000003"/>
    <n v="-5.4869999999999663"/>
    <n v="-6.0097259643819047E-3"/>
    <n v="0.33333333333333337"/>
  </r>
  <r>
    <n v="566"/>
    <n v="53"/>
    <x v="299"/>
    <n v="49"/>
    <n v="8"/>
    <n v="3187.2572"/>
    <x v="120"/>
    <x v="2"/>
    <n v="2078.6459999999997"/>
    <n v="3464.41"/>
    <x v="0"/>
    <n v="4365.8942436632442"/>
    <n v="954.33000000000015"/>
    <n v="156175.60279999999"/>
    <n v="54321.948800000013"/>
    <n v="2232.9272000000001"/>
    <n v="2.3397851896094641"/>
    <n v="0.34782608695652184"/>
  </r>
  <r>
    <n v="567"/>
    <n v="2"/>
    <x v="433"/>
    <n v="35"/>
    <n v="9"/>
    <n v="4026.5497999999998"/>
    <x v="64"/>
    <x v="0"/>
    <n v="2654.8679999999999"/>
    <n v="4424.78"/>
    <x v="0"/>
    <n v="5428.9979693383857"/>
    <n v="1807.3"/>
    <n v="140929.24299999999"/>
    <n v="48008.862999999998"/>
    <n v="2219.2497999999996"/>
    <n v="1.2279365904941071"/>
    <n v="0.34065934065934067"/>
  </r>
  <r>
    <n v="568"/>
    <n v="36"/>
    <x v="434"/>
    <n v="40"/>
    <n v="5"/>
    <n v="140.03"/>
    <x v="57"/>
    <x v="0"/>
    <n v="88.44"/>
    <n v="147.4"/>
    <x v="3"/>
    <n v="173.0638044826058"/>
    <n v="2726.4116666666664"/>
    <n v="5601.2"/>
    <n v="2063.6000000000004"/>
    <n v="-2586.3816666666662"/>
    <n v="-0.9486394510000018"/>
    <n v="0.36842105263157904"/>
  </r>
  <r>
    <n v="569"/>
    <n v="133"/>
    <x v="435"/>
    <n v="13"/>
    <n v="8"/>
    <n v="6076.5079999999998"/>
    <x v="40"/>
    <x v="1"/>
    <n v="3962.9399999999996"/>
    <n v="6604.9"/>
    <x v="0"/>
    <n v="7252.1719004369088"/>
    <n v="4666.1933333333336"/>
    <n v="78994.603999999992"/>
    <n v="27476.384000000002"/>
    <n v="1410.3146666666662"/>
    <n v="0.30224094158121739"/>
    <n v="0.34782608695652178"/>
  </r>
  <r>
    <n v="570"/>
    <n v="69"/>
    <x v="436"/>
    <n v="37"/>
    <n v="2"/>
    <n v="7309.5259999999998"/>
    <x v="102"/>
    <x v="1"/>
    <n v="4475.2199999999993"/>
    <n v="7458.7"/>
    <x v="3"/>
    <n v="9120.192515018025"/>
    <n v="809.57599999999991"/>
    <n v="270452.462"/>
    <n v="104869.32200000001"/>
    <n v="6499.95"/>
    <n v="8.028832376453849"/>
    <n v="0.38775510204081637"/>
  </r>
  <r>
    <n v="571"/>
    <n v="79"/>
    <x v="243"/>
    <n v="44"/>
    <n v="4"/>
    <n v="2119.6127999999999"/>
    <x v="134"/>
    <x v="2"/>
    <n v="1324.7579999999998"/>
    <n v="2207.9299999999998"/>
    <x v="1"/>
    <n v="2793.577907581996"/>
    <n v="197.005"/>
    <n v="93262.963199999998"/>
    <n v="34973.611199999999"/>
    <n v="1922.6077999999998"/>
    <n v="9.7591827618588347"/>
    <n v="0.375"/>
  </r>
  <r>
    <n v="572"/>
    <n v="116"/>
    <x v="235"/>
    <n v="1"/>
    <n v="7"/>
    <n v="2197.7294999999999"/>
    <x v="58"/>
    <x v="1"/>
    <n v="1417.89"/>
    <n v="2363.15"/>
    <x v="4"/>
    <n v="2515.7158855875973"/>
    <n v="4469.4999999999991"/>
    <n v="2197.7294999999999"/>
    <n v="779.83949999999982"/>
    <n v="-2271.7704999999992"/>
    <n v="-0.50828291755229882"/>
    <n v="0.35483870967741926"/>
  </r>
  <r>
    <n v="573"/>
    <n v="141"/>
    <x v="437"/>
    <n v="10"/>
    <n v="3"/>
    <n v="7629.2342999999992"/>
    <x v="86"/>
    <x v="1"/>
    <n v="4719.1139999999996"/>
    <n v="7865.19"/>
    <x v="4"/>
    <n v="9972.5913841888578"/>
    <n v="7586.8133333333344"/>
    <n v="76292.342999999993"/>
    <n v="29101.202999999994"/>
    <n v="42.420966666664754"/>
    <n v="5.5914077232247818E-3"/>
    <n v="0.38144329896907214"/>
  </r>
  <r>
    <n v="574"/>
    <n v="99"/>
    <x v="438"/>
    <n v="18"/>
    <n v="6"/>
    <n v="1921.3411999999998"/>
    <x v="106"/>
    <x v="3"/>
    <n v="1226.3879999999999"/>
    <n v="2043.98"/>
    <x v="2"/>
    <n v="2546.8294644164421"/>
    <n v="958.76666666666654"/>
    <n v="34584.141599999995"/>
    <n v="12509.157599999999"/>
    <n v="962.57453333333331"/>
    <n v="1.0039716302193791"/>
    <n v="0.36170212765957449"/>
  </r>
  <r>
    <n v="575"/>
    <n v="67"/>
    <x v="439"/>
    <n v="9"/>
    <n v="4"/>
    <n v="1104.6815999999999"/>
    <x v="76"/>
    <x v="6"/>
    <n v="690.42600000000004"/>
    <n v="1150.71"/>
    <x v="0"/>
    <n v="1485.0784000003778"/>
    <n v="7069.7"/>
    <n v="9942.134399999999"/>
    <n v="3728.3003999999987"/>
    <n v="-5965.0183999999999"/>
    <n v="-0.84374420413878948"/>
    <n v="0.37499999999999989"/>
  </r>
  <r>
    <n v="576"/>
    <n v="35"/>
    <x v="440"/>
    <n v="40"/>
    <n v="8"/>
    <n v="124.37480000000001"/>
    <x v="104"/>
    <x v="3"/>
    <n v="81.11399999999999"/>
    <n v="135.19"/>
    <x v="3"/>
    <n v="144.88120695496227"/>
    <n v="2089.5899999999997"/>
    <n v="4974.9920000000002"/>
    <n v="1730.4320000000007"/>
    <n v="-1965.2151999999996"/>
    <n v="-0.94047884991792641"/>
    <n v="0.34782608695652184"/>
  </r>
  <r>
    <n v="577"/>
    <n v="19"/>
    <x v="441"/>
    <n v="45"/>
    <n v="5"/>
    <n v="3240.2884999999997"/>
    <x v="95"/>
    <x v="0"/>
    <n v="2046.4979999999998"/>
    <n v="3410.83"/>
    <x v="2"/>
    <n v="3435.0496129177063"/>
    <n v="1213.8383333333334"/>
    <n v="145812.98249999998"/>
    <n v="53720.572499999995"/>
    <n v="2026.4501666666663"/>
    <n v="1.6694563938360816"/>
    <n v="0.36842105263157893"/>
  </r>
  <r>
    <n v="578"/>
    <n v="34"/>
    <x v="442"/>
    <n v="48"/>
    <n v="7"/>
    <n v="1212.1527000000001"/>
    <x v="23"/>
    <x v="1"/>
    <n v="782.03399999999999"/>
    <n v="1303.3900000000001"/>
    <x v="2"/>
    <n v="1336.4061253183895"/>
    <n v="4145.4440000000004"/>
    <n v="58183.329600000005"/>
    <n v="20645.697600000007"/>
    <n v="-2933.2913000000003"/>
    <n v="-0.70759399958122704"/>
    <n v="0.35483870967741943"/>
  </r>
  <r>
    <n v="579"/>
    <n v="44"/>
    <x v="175"/>
    <n v="41"/>
    <n v="5"/>
    <n v="335.92"/>
    <x v="115"/>
    <x v="7"/>
    <n v="212.16"/>
    <n v="353.6"/>
    <x v="0"/>
    <n v="420.5398757315312"/>
    <n v="4064.8233333333333"/>
    <n v="13772.720000000001"/>
    <n v="5074.1600000000008"/>
    <n v="-3728.9033333333332"/>
    <n v="-0.91735926202614793"/>
    <n v="0.36842105263157898"/>
  </r>
  <r>
    <n v="580"/>
    <n v="66"/>
    <x v="443"/>
    <n v="5"/>
    <n v="2"/>
    <n v="5708.5097999999998"/>
    <x v="81"/>
    <x v="7"/>
    <n v="3495.0059999999999"/>
    <n v="5825.01"/>
    <x v="1"/>
    <n v="6717.4311117664438"/>
    <n v="6051.7379999999994"/>
    <n v="28542.548999999999"/>
    <n v="11067.519"/>
    <n v="-343.22819999999956"/>
    <n v="-5.6715641027420487E-2"/>
    <n v="0.38775510204081637"/>
  </r>
  <r>
    <n v="581"/>
    <n v="44"/>
    <x v="407"/>
    <n v="22"/>
    <n v="10"/>
    <n v="318.24"/>
    <x v="115"/>
    <x v="7"/>
    <n v="212.16"/>
    <n v="353.6"/>
    <x v="0"/>
    <n v="442.09466844437941"/>
    <n v="4064.8233333333333"/>
    <n v="7001.2800000000007"/>
    <n v="2333.7600000000002"/>
    <n v="-3746.583333333333"/>
    <n v="-0.92170877455108746"/>
    <n v="0.33333333333333331"/>
  </r>
  <r>
    <n v="582"/>
    <n v="116"/>
    <x v="444"/>
    <n v="37"/>
    <n v="7"/>
    <n v="2197.7294999999999"/>
    <x v="58"/>
    <x v="1"/>
    <n v="1417.89"/>
    <n v="2363.15"/>
    <x v="4"/>
    <n v="2568.8907863390168"/>
    <n v="4469.4999999999991"/>
    <n v="81315.991500000004"/>
    <n v="28854.061499999993"/>
    <n v="-2271.7704999999992"/>
    <n v="-0.50828291755229882"/>
    <n v="0.35483870967741926"/>
  </r>
  <r>
    <n v="583"/>
    <n v="23"/>
    <x v="166"/>
    <n v="8"/>
    <n v="2"/>
    <n v="3884.1320000000001"/>
    <x v="118"/>
    <x v="5"/>
    <n v="2378.04"/>
    <n v="3963.4"/>
    <x v="4"/>
    <n v="4986.3578730001036"/>
    <n v="5343.3279999999995"/>
    <n v="31073.056"/>
    <n v="12048.736000000001"/>
    <n v="-1459.1959999999995"/>
    <n v="-0.27308748405488109"/>
    <n v="0.38775510204081637"/>
  </r>
  <r>
    <n v="584"/>
    <n v="84"/>
    <x v="445"/>
    <n v="3"/>
    <n v="2"/>
    <n v="7604.9567999999999"/>
    <x v="80"/>
    <x v="6"/>
    <n v="4656.0959999999995"/>
    <n v="7760.16"/>
    <x v="1"/>
    <n v="7954.6773740981571"/>
    <n v="2588.9250000000002"/>
    <n v="22814.8704"/>
    <n v="8846.5824000000011"/>
    <n v="5016.0317999999997"/>
    <n v="1.9374959877169093"/>
    <n v="0.38775510204081637"/>
  </r>
  <r>
    <n v="585"/>
    <n v="105"/>
    <x v="446"/>
    <n v="39"/>
    <n v="2"/>
    <n v="4060.2183999999997"/>
    <x v="85"/>
    <x v="1"/>
    <n v="2485.848"/>
    <n v="4143.08"/>
    <x v="3"/>
    <n v="5208.7747845172089"/>
    <n v="4778.8849999999993"/>
    <n v="158348.51759999999"/>
    <n v="61400.445599999992"/>
    <n v="-718.66659999999956"/>
    <n v="-0.15038374014022093"/>
    <n v="0.38775510204081631"/>
  </r>
  <r>
    <n v="586"/>
    <n v="99"/>
    <x v="447"/>
    <n v="21"/>
    <n v="4"/>
    <n v="1962.2208000000001"/>
    <x v="106"/>
    <x v="3"/>
    <n v="1226.3879999999999"/>
    <n v="2043.98"/>
    <x v="2"/>
    <n v="2351.0189844883425"/>
    <n v="958.76666666666654"/>
    <n v="41206.6368"/>
    <n v="15452.488800000003"/>
    <n v="1003.4541333333335"/>
    <n v="1.0466093244793662"/>
    <n v="0.37500000000000006"/>
  </r>
  <r>
    <n v="587"/>
    <n v="75"/>
    <x v="323"/>
    <n v="35"/>
    <n v="2"/>
    <n v="3697.9712"/>
    <x v="128"/>
    <x v="3"/>
    <n v="2264.0639999999999"/>
    <n v="3773.44"/>
    <x v="0"/>
    <n v="4207.7445132642833"/>
    <n v="3293.6366666666668"/>
    <n v="129428.992"/>
    <n v="50186.752"/>
    <n v="404.33453333333318"/>
    <n v="0.12276233666737169"/>
    <n v="0.38775510204081631"/>
  </r>
  <r>
    <n v="588"/>
    <n v="150"/>
    <x v="448"/>
    <n v="6"/>
    <n v="8"/>
    <n v="2106.5423999999998"/>
    <x v="29"/>
    <x v="1"/>
    <n v="1373.8319999999999"/>
    <n v="2289.7199999999998"/>
    <x v="3"/>
    <n v="2632.5928977104932"/>
    <n v="1810.3166666666666"/>
    <n v="12639.254399999998"/>
    <n v="4396.2623999999996"/>
    <n v="296.22573333333321"/>
    <n v="0.16363199808504952"/>
    <n v="0.34782608695652178"/>
  </r>
  <r>
    <n v="589"/>
    <n v="68"/>
    <x v="449"/>
    <n v="40"/>
    <n v="5"/>
    <n v="5741.3154999999997"/>
    <x v="53"/>
    <x v="6"/>
    <n v="3626.0939999999996"/>
    <n v="6043.49"/>
    <x v="2"/>
    <n v="6257.4907697410754"/>
    <n v="796.21333333333325"/>
    <n v="229652.62"/>
    <n v="84608.86"/>
    <n v="4945.1021666666666"/>
    <n v="6.2107753784580355"/>
    <n v="0.36842105263157898"/>
  </r>
  <r>
    <n v="590"/>
    <n v="135"/>
    <x v="450"/>
    <n v="6"/>
    <n v="3"/>
    <n v="7546.3186999999998"/>
    <x v="140"/>
    <x v="0"/>
    <n v="4667.826"/>
    <n v="7779.71"/>
    <x v="4"/>
    <n v="8715.634760524712"/>
    <n v="4172.7833333333338"/>
    <n v="45277.912199999999"/>
    <n v="17270.956200000001"/>
    <n v="3373.5353666666661"/>
    <n v="0.8084616662739097"/>
    <n v="0.3814432989690722"/>
  </r>
  <r>
    <n v="591"/>
    <n v="8"/>
    <x v="451"/>
    <n v="39"/>
    <n v="9"/>
    <n v="5135.9853999999996"/>
    <x v="114"/>
    <x v="1"/>
    <n v="3386.3639999999996"/>
    <n v="5643.94"/>
    <x v="2"/>
    <n v="6314.9231893732476"/>
    <n v="2853.6650000000004"/>
    <n v="200303.43059999999"/>
    <n v="68235.234599999996"/>
    <n v="2282.3203999999992"/>
    <n v="0.79978567911790588"/>
    <n v="0.34065934065934067"/>
  </r>
  <r>
    <n v="592"/>
    <n v="97"/>
    <x v="452"/>
    <n v="47"/>
    <n v="7"/>
    <n v="857.12519999999995"/>
    <x v="73"/>
    <x v="0"/>
    <n v="552.98399999999992"/>
    <n v="921.64"/>
    <x v="3"/>
    <n v="985.60419833827984"/>
    <n v="2464.87"/>
    <n v="40284.884399999995"/>
    <n v="14294.636400000001"/>
    <n v="-1607.7447999999999"/>
    <n v="-0.65226352708256419"/>
    <n v="0.35483870967741943"/>
  </r>
  <r>
    <n v="593"/>
    <n v="47"/>
    <x v="453"/>
    <n v="18"/>
    <n v="5"/>
    <n v="3242.9009999999998"/>
    <x v="112"/>
    <x v="2"/>
    <n v="2048.1479999999997"/>
    <n v="3413.58"/>
    <x v="4"/>
    <n v="4226.286377791389"/>
    <n v="2051.0440000000003"/>
    <n v="58372.217999999993"/>
    <n v="21505.554000000004"/>
    <n v="1191.8569999999995"/>
    <n v="0.58109772389085723"/>
    <n v="0.36842105263157904"/>
  </r>
  <r>
    <n v="594"/>
    <n v="144"/>
    <x v="454"/>
    <n v="36"/>
    <n v="6"/>
    <n v="1483.5267999999999"/>
    <x v="77"/>
    <x v="0"/>
    <n v="946.93200000000002"/>
    <n v="1578.22"/>
    <x v="2"/>
    <n v="1859.8826134671824"/>
    <n v="6414.0239999999994"/>
    <n v="53406.964799999994"/>
    <n v="19317.412799999995"/>
    <n v="-4930.4971999999998"/>
    <n v="-0.76870576100120613"/>
    <n v="0.36170212765957438"/>
  </r>
  <r>
    <n v="595"/>
    <n v="47"/>
    <x v="191"/>
    <n v="34"/>
    <n v="7"/>
    <n v="3174.6293999999998"/>
    <x v="112"/>
    <x v="2"/>
    <n v="2048.1479999999997"/>
    <n v="3413.58"/>
    <x v="4"/>
    <n v="3470.9997152164729"/>
    <n v="2051.0440000000003"/>
    <n v="107937.39959999999"/>
    <n v="38300.367600000005"/>
    <n v="1123.5853999999995"/>
    <n v="0.54781145601947068"/>
    <n v="0.35483870967741943"/>
  </r>
  <r>
    <n v="596"/>
    <n v="94"/>
    <x v="345"/>
    <n v="23"/>
    <n v="2"/>
    <n v="4559.7244000000001"/>
    <x v="8"/>
    <x v="4"/>
    <n v="2791.6679999999997"/>
    <n v="4652.78"/>
    <x v="1"/>
    <n v="4892.1824942036083"/>
    <n v="6485.5883333333331"/>
    <n v="104873.6612"/>
    <n v="40665.297200000008"/>
    <n v="-1925.8639333333331"/>
    <n v="-0.29694513964680147"/>
    <n v="0.38775510204081637"/>
  </r>
  <r>
    <n v="597"/>
    <n v="114"/>
    <x v="93"/>
    <n v="33"/>
    <n v="2"/>
    <n v="7491.5217999999995"/>
    <x v="99"/>
    <x v="5"/>
    <n v="4586.6459999999997"/>
    <n v="7644.41"/>
    <x v="2"/>
    <n v="7758.8446407718866"/>
    <n v="6494.3074999999999"/>
    <n v="247220.21939999997"/>
    <n v="95860.901399999988"/>
    <n v="997.21429999999964"/>
    <n v="0.15355206078554173"/>
    <n v="0.38775510204081631"/>
  </r>
  <r>
    <n v="598"/>
    <n v="139"/>
    <x v="455"/>
    <n v="16"/>
    <n v="8"/>
    <n v="2383.7936"/>
    <x v="25"/>
    <x v="3"/>
    <n v="1554.6479999999999"/>
    <n v="2591.08"/>
    <x v="4"/>
    <n v="3218.685462211085"/>
    <n v="2839.1733333333336"/>
    <n v="38140.6976"/>
    <n v="13266.329600000001"/>
    <n v="-455.37973333333366"/>
    <n v="-0.16039166330105487"/>
    <n v="0.34782608695652178"/>
  </r>
  <r>
    <n v="599"/>
    <n v="82"/>
    <x v="260"/>
    <n v="22"/>
    <n v="4"/>
    <n v="1220.3712"/>
    <x v="7"/>
    <x v="4"/>
    <n v="762.73199999999997"/>
    <n v="1271.22"/>
    <x v="2"/>
    <n v="1361.5528770938088"/>
    <n v="2617.7080000000001"/>
    <n v="26848.166400000002"/>
    <n v="10068.062400000003"/>
    <n v="-1397.3368"/>
    <n v="-0.53380163104517386"/>
    <n v="0.37500000000000006"/>
  </r>
  <r>
    <n v="600"/>
    <n v="26"/>
    <x v="444"/>
    <n v="15"/>
    <n v="9"/>
    <n v="5129.5972000000002"/>
    <x v="100"/>
    <x v="7"/>
    <n v="3382.152"/>
    <n v="5636.92"/>
    <x v="0"/>
    <n v="6684.5931832852011"/>
    <n v="3474.7766666666666"/>
    <n v="76943.957999999999"/>
    <n v="26211.678"/>
    <n v="1654.8205333333335"/>
    <n v="0.47623795486136766"/>
    <n v="0.34065934065934067"/>
  </r>
  <r>
    <n v="601"/>
    <n v="50"/>
    <x v="456"/>
    <n v="36"/>
    <n v="9"/>
    <n v="1234.597"/>
    <x v="10"/>
    <x v="1"/>
    <n v="814.02"/>
    <n v="1356.7"/>
    <x v="3"/>
    <n v="1526.6589991769015"/>
    <n v="4909.6483333333335"/>
    <n v="44445.491999999998"/>
    <n v="15140.772000000001"/>
    <n v="-3675.0513333333338"/>
    <n v="-0.74853657203553958"/>
    <n v="0.34065934065934067"/>
  </r>
  <r>
    <n v="602"/>
    <n v="49"/>
    <x v="315"/>
    <n v="33"/>
    <n v="7"/>
    <n v="3130.6961999999999"/>
    <x v="136"/>
    <x v="6"/>
    <n v="2019.8040000000001"/>
    <n v="3366.34"/>
    <x v="0"/>
    <n v="4270.994360212002"/>
    <n v="1635.5425"/>
    <n v="103312.9746"/>
    <n v="36659.442599999995"/>
    <n v="1495.1536999999998"/>
    <n v="0.91416377134803883"/>
    <n v="0.35483870967741932"/>
  </r>
  <r>
    <n v="603"/>
    <n v="131"/>
    <x v="457"/>
    <n v="7"/>
    <n v="2"/>
    <n v="6068.7284"/>
    <x v="109"/>
    <x v="6"/>
    <n v="3715.5479999999998"/>
    <n v="6192.58"/>
    <x v="3"/>
    <n v="7254.1668420536444"/>
    <n v="1795.3133333333335"/>
    <n v="42481.0988"/>
    <n v="16472.2628"/>
    <n v="4273.4150666666665"/>
    <n v="2.3803171219879906"/>
    <n v="0.38775510204081631"/>
  </r>
  <r>
    <n v="604"/>
    <n v="56"/>
    <x v="458"/>
    <n v="48"/>
    <n v="6"/>
    <n v="7502.8919999999998"/>
    <x v="17"/>
    <x v="5"/>
    <n v="4789.08"/>
    <n v="7981.8"/>
    <x v="4"/>
    <n v="10303.480192886496"/>
    <n v="3458.9274999999998"/>
    <n v="360138.81599999999"/>
    <n v="130262.976"/>
    <n v="4043.9645"/>
    <n v="1.1691382661243985"/>
    <n v="0.36170212765957449"/>
  </r>
  <r>
    <n v="605"/>
    <n v="76"/>
    <x v="325"/>
    <n v="13"/>
    <n v="3"/>
    <n v="2973.6028999999999"/>
    <x v="63"/>
    <x v="5"/>
    <n v="1839.3420000000001"/>
    <n v="3065.57"/>
    <x v="1"/>
    <n v="3364.8359915548062"/>
    <n v="831.92600000000004"/>
    <n v="38656.837699999996"/>
    <n v="14745.391699999996"/>
    <n v="2141.6768999999999"/>
    <n v="2.5743598589297605"/>
    <n v="0.38144329896907209"/>
  </r>
  <r>
    <n v="606"/>
    <n v="144"/>
    <x v="459"/>
    <n v="39"/>
    <n v="2"/>
    <n v="1546.6556"/>
    <x v="77"/>
    <x v="0"/>
    <n v="946.93200000000002"/>
    <n v="1578.22"/>
    <x v="2"/>
    <n v="1698.0931163040975"/>
    <n v="6414.0239999999994"/>
    <n v="60319.568400000004"/>
    <n v="23389.220400000002"/>
    <n v="-4867.3683999999994"/>
    <n v="-0.75886345295870417"/>
    <n v="0.38775510204081631"/>
  </r>
  <r>
    <n v="607"/>
    <n v="91"/>
    <x v="458"/>
    <n v="45"/>
    <n v="10"/>
    <n v="2846.7000000000003"/>
    <x v="35"/>
    <x v="3"/>
    <n v="1897.8"/>
    <n v="3163"/>
    <x v="2"/>
    <n v="3255.6718868091416"/>
    <n v="4782.2433333333329"/>
    <n v="128101.50000000001"/>
    <n v="42700.500000000015"/>
    <n v="-1935.5433333333326"/>
    <n v="-0.40473543448576771"/>
    <n v="0.33333333333333343"/>
  </r>
  <r>
    <n v="608"/>
    <n v="80"/>
    <x v="458"/>
    <n v="45"/>
    <n v="5"/>
    <n v="949.11649999999997"/>
    <x v="130"/>
    <x v="0"/>
    <n v="599.44200000000001"/>
    <n v="999.07"/>
    <x v="4"/>
    <n v="1197.2620321170702"/>
    <n v="4319.1966666666667"/>
    <n v="42710.2425"/>
    <n v="15735.352499999999"/>
    <n v="-3370.0801666666666"/>
    <n v="-0.78025624363789869"/>
    <n v="0.36842105263157893"/>
  </r>
  <r>
    <n v="609"/>
    <n v="96"/>
    <x v="47"/>
    <n v="41"/>
    <n v="8"/>
    <n v="4953.6848"/>
    <x v="105"/>
    <x v="4"/>
    <n v="3230.6639999999998"/>
    <n v="5384.44"/>
    <x v="3"/>
    <n v="6408.8245725294018"/>
    <n v="3578.9180000000001"/>
    <n v="203101.07680000001"/>
    <n v="70643.852800000008"/>
    <n v="1374.7667999999999"/>
    <n v="0.38412916976583422"/>
    <n v="0.34782608695652178"/>
  </r>
  <r>
    <n v="610"/>
    <n v="59"/>
    <x v="274"/>
    <n v="21"/>
    <n v="6"/>
    <n v="3901.4794000000002"/>
    <x v="43"/>
    <x v="5"/>
    <n v="2490.306"/>
    <n v="4150.51"/>
    <x v="3"/>
    <n v="4757.0230239354842"/>
    <n v="6105.9674999999997"/>
    <n v="81931.0674"/>
    <n v="29634.641400000004"/>
    <n v="-2204.4880999999996"/>
    <n v="-0.36103829573282198"/>
    <n v="0.36170212765957449"/>
  </r>
  <r>
    <n v="611"/>
    <n v="91"/>
    <x v="320"/>
    <n v="6"/>
    <n v="6"/>
    <n v="2973.22"/>
    <x v="35"/>
    <x v="3"/>
    <n v="1897.8"/>
    <n v="3163"/>
    <x v="2"/>
    <n v="3711.512918600371"/>
    <n v="4782.2433333333329"/>
    <n v="17839.32"/>
    <n v="6452.5199999999986"/>
    <n v="-1809.0233333333331"/>
    <n v="-0.37827923157402416"/>
    <n v="0.36170212765957438"/>
  </r>
  <r>
    <n v="612"/>
    <n v="144"/>
    <x v="328"/>
    <n v="22"/>
    <n v="6"/>
    <n v="1483.5267999999999"/>
    <x v="77"/>
    <x v="0"/>
    <n v="946.93200000000002"/>
    <n v="1578.22"/>
    <x v="2"/>
    <n v="1777.2724991313412"/>
    <n v="6414.0239999999994"/>
    <n v="32637.589599999996"/>
    <n v="11805.085599999997"/>
    <n v="-4930.4971999999998"/>
    <n v="-0.76870576100120613"/>
    <n v="0.36170212765957444"/>
  </r>
  <r>
    <n v="613"/>
    <n v="27"/>
    <x v="460"/>
    <n v="20"/>
    <n v="5"/>
    <n v="1541.7550000000001"/>
    <x v="2"/>
    <x v="1"/>
    <n v="973.74"/>
    <n v="1622.9"/>
    <x v="1"/>
    <n v="1993.1531829873211"/>
    <n v="4440.416666666667"/>
    <n v="30835.100000000002"/>
    <n v="11360.300000000003"/>
    <n v="-2898.6616666666669"/>
    <n v="-0.65279046636013882"/>
    <n v="0.36842105263157904"/>
  </r>
  <r>
    <n v="614"/>
    <n v="149"/>
    <x v="330"/>
    <n v="41"/>
    <n v="8"/>
    <n v="5637.5576000000001"/>
    <x v="14"/>
    <x v="5"/>
    <n v="3676.6679999999997"/>
    <n v="6127.78"/>
    <x v="0"/>
    <n v="7408.0398737201158"/>
    <n v="3159.4639999999999"/>
    <n v="231139.8616"/>
    <n v="80396.473600000012"/>
    <n v="2478.0936000000002"/>
    <n v="0.78433987537126559"/>
    <n v="0.34782608695652178"/>
  </r>
  <r>
    <n v="615"/>
    <n v="6"/>
    <x v="461"/>
    <n v="40"/>
    <n v="8"/>
    <n v="3795.1656000000003"/>
    <x v="34"/>
    <x v="0"/>
    <n v="2475.1080000000002"/>
    <n v="4125.18"/>
    <x v="4"/>
    <n v="5282.8577872678015"/>
    <n v="6862.0275000000001"/>
    <n v="151806.62400000001"/>
    <n v="52802.304000000004"/>
    <n v="-3066.8618999999999"/>
    <n v="-0.44693232430211038"/>
    <n v="0.34782608695652173"/>
  </r>
  <r>
    <n v="616"/>
    <n v="12"/>
    <x v="462"/>
    <n v="35"/>
    <n v="7"/>
    <n v="1502.1824999999999"/>
    <x v="122"/>
    <x v="4"/>
    <n v="969.15"/>
    <n v="1615.25"/>
    <x v="3"/>
    <n v="1643.5423973124266"/>
    <n v="4365.21"/>
    <n v="52576.387499999997"/>
    <n v="18656.137499999997"/>
    <n v="-2863.0275000000001"/>
    <n v="-0.65587394420886969"/>
    <n v="0.35483870967741932"/>
  </r>
  <r>
    <n v="617"/>
    <n v="132"/>
    <x v="72"/>
    <n v="46"/>
    <n v="3"/>
    <n v="5323.6800999999996"/>
    <x v="145"/>
    <x v="4"/>
    <n v="3292.998"/>
    <n v="5488.33"/>
    <x v="4"/>
    <n v="6773.7490516712969"/>
    <n v="3374.6533333333332"/>
    <n v="244889.28459999998"/>
    <n v="93411.376599999974"/>
    <n v="1949.0267666666664"/>
    <n v="0.57754873587015354"/>
    <n v="0.38144329896907209"/>
  </r>
  <r>
    <n v="618"/>
    <n v="91"/>
    <x v="293"/>
    <n v="2"/>
    <n v="6"/>
    <n v="2973.22"/>
    <x v="35"/>
    <x v="3"/>
    <n v="1897.8"/>
    <n v="3163"/>
    <x v="2"/>
    <n v="3442.8540788365126"/>
    <n v="4782.2433333333329"/>
    <n v="5946.44"/>
    <n v="2150.8399999999997"/>
    <n v="-1809.0233333333331"/>
    <n v="-0.37827923157402416"/>
    <n v="0.36170212765957444"/>
  </r>
  <r>
    <n v="619"/>
    <n v="71"/>
    <x v="463"/>
    <n v="46"/>
    <n v="6"/>
    <n v="4635.3843999999999"/>
    <x v="54"/>
    <x v="2"/>
    <n v="2958.7559999999999"/>
    <n v="4931.26"/>
    <x v="3"/>
    <n v="6397.7746062280685"/>
    <n v="2482.0633333333335"/>
    <n v="213227.68239999999"/>
    <n v="77124.906400000007"/>
    <n v="2153.3210666666664"/>
    <n v="0.86755282903068531"/>
    <n v="0.36170212765957449"/>
  </r>
  <r>
    <n v="620"/>
    <n v="87"/>
    <x v="208"/>
    <n v="38"/>
    <n v="7"/>
    <n v="3807.5315999999998"/>
    <x v="15"/>
    <x v="5"/>
    <n v="2456.4719999999998"/>
    <n v="4094.12"/>
    <x v="2"/>
    <n v="5013.7548191834949"/>
    <n v="493.79250000000002"/>
    <n v="144686.20079999999"/>
    <n v="51340.264800000004"/>
    <n v="3313.7390999999998"/>
    <n v="6.7107926912620171"/>
    <n v="0.35483870967741943"/>
  </r>
  <r>
    <n v="621"/>
    <n v="121"/>
    <x v="464"/>
    <n v="6"/>
    <n v="4"/>
    <n v="1452.6528000000001"/>
    <x v="4"/>
    <x v="2"/>
    <n v="907.90800000000002"/>
    <n v="1513.18"/>
    <x v="2"/>
    <n v="1873.0176570414062"/>
    <n v="2967.0200000000004"/>
    <n v="8715.9168000000009"/>
    <n v="3268.4688000000006"/>
    <n v="-1514.3672000000004"/>
    <n v="-0.51040006471139399"/>
    <n v="0.375"/>
  </r>
  <r>
    <n v="622"/>
    <n v="90"/>
    <x v="465"/>
    <n v="6"/>
    <n v="6"/>
    <n v="1294.1073999999999"/>
    <x v="0"/>
    <x v="0"/>
    <n v="826.02599999999995"/>
    <n v="1376.71"/>
    <x v="0"/>
    <n v="1567.5302441316578"/>
    <n v="2414.7550000000001"/>
    <n v="7764.6443999999992"/>
    <n v="2808.4883999999993"/>
    <n v="-1120.6476000000002"/>
    <n v="-0.46408335421191804"/>
    <n v="0.36170212765957444"/>
  </r>
  <r>
    <n v="623"/>
    <n v="13"/>
    <x v="466"/>
    <n v="28"/>
    <n v="7"/>
    <n v="1671.2657999999999"/>
    <x v="93"/>
    <x v="4"/>
    <n v="1078.2359999999999"/>
    <n v="1797.06"/>
    <x v="4"/>
    <n v="1932.0253154227346"/>
    <n v="1712.5580000000002"/>
    <n v="46795.4424"/>
    <n v="16604.8344"/>
    <n v="-41.292200000000321"/>
    <n v="-2.4111416956389398E-2"/>
    <n v="0.35483870967741937"/>
  </r>
  <r>
    <n v="624"/>
    <n v="11"/>
    <x v="408"/>
    <n v="39"/>
    <n v="5"/>
    <n v="3040.1899999999996"/>
    <x v="16"/>
    <x v="1"/>
    <n v="1920.12"/>
    <n v="3200.2"/>
    <x v="1"/>
    <n v="3824.3137119791368"/>
    <n v="7089.33"/>
    <n v="118567.40999999999"/>
    <n v="43682.729999999989"/>
    <n v="-4049.1400000000003"/>
    <n v="-0.57115975698690857"/>
    <n v="0.36842105263157887"/>
  </r>
  <r>
    <n v="625"/>
    <n v="19"/>
    <x v="70"/>
    <n v="2"/>
    <n v="6"/>
    <n v="3206.1801999999998"/>
    <x v="95"/>
    <x v="0"/>
    <n v="2046.4979999999998"/>
    <n v="3410.83"/>
    <x v="2"/>
    <n v="3770.0612288633374"/>
    <n v="1213.8383333333334"/>
    <n v="6412.3603999999996"/>
    <n v="2319.3643999999999"/>
    <n v="1992.3418666666664"/>
    <n v="1.6413568528483335"/>
    <n v="0.36170212765957449"/>
  </r>
  <r>
    <n v="626"/>
    <n v="113"/>
    <x v="262"/>
    <n v="14"/>
    <n v="7"/>
    <n v="4491.1187999999993"/>
    <x v="87"/>
    <x v="7"/>
    <n v="2897.4959999999996"/>
    <n v="4829.16"/>
    <x v="1"/>
    <n v="6159.7284491856171"/>
    <n v="4302.05"/>
    <n v="62875.663199999988"/>
    <n v="22310.719199999996"/>
    <n v="189.0687999999991"/>
    <n v="4.3948536162991853E-2"/>
    <n v="0.35483870967741937"/>
  </r>
  <r>
    <n v="627"/>
    <n v="64"/>
    <x v="467"/>
    <n v="21"/>
    <n v="2"/>
    <n v="3136"/>
    <x v="31"/>
    <x v="2"/>
    <n v="1920"/>
    <n v="3200"/>
    <x v="2"/>
    <n v="4053.3825610193721"/>
    <n v="3782.0099999999998"/>
    <n v="65856"/>
    <n v="25536"/>
    <n v="-646.00999999999976"/>
    <n v="-0.17081128817745056"/>
    <n v="0.38775510204081631"/>
  </r>
  <r>
    <n v="628"/>
    <n v="118"/>
    <x v="421"/>
    <n v="18"/>
    <n v="8"/>
    <n v="2897.31"/>
    <x v="131"/>
    <x v="1"/>
    <n v="1889.55"/>
    <n v="3149.25"/>
    <x v="4"/>
    <n v="3381.9647923399052"/>
    <n v="224.52399999999997"/>
    <n v="52151.58"/>
    <n v="18139.68"/>
    <n v="2672.7860000000001"/>
    <n v="11.904232955051578"/>
    <n v="0.34782608695652173"/>
  </r>
  <r>
    <n v="629"/>
    <n v="130"/>
    <x v="468"/>
    <n v="25"/>
    <n v="5"/>
    <n v="3026.2154999999998"/>
    <x v="111"/>
    <x v="4"/>
    <n v="1911.2939999999999"/>
    <n v="3185.49"/>
    <x v="4"/>
    <n v="3626.8009820024445"/>
    <n v="3865.1374999999998"/>
    <n v="75655.387499999997"/>
    <n v="27873.037499999999"/>
    <n v="-838.92200000000003"/>
    <n v="-0.21704842324496867"/>
    <n v="0.36842105263157893"/>
  </r>
  <r>
    <n v="630"/>
    <n v="90"/>
    <x v="469"/>
    <n v="27"/>
    <n v="5"/>
    <n v="1307.8744999999999"/>
    <x v="0"/>
    <x v="0"/>
    <n v="826.02599999999995"/>
    <n v="1376.71"/>
    <x v="0"/>
    <n v="1611.0734307723724"/>
    <n v="2414.7550000000001"/>
    <n v="35312.611499999999"/>
    <n v="13009.909499999998"/>
    <n v="-1106.8805000000002"/>
    <n v="-0.45838211329927886"/>
    <n v="0.36842105263157887"/>
  </r>
  <r>
    <n v="631"/>
    <n v="16"/>
    <x v="237"/>
    <n v="34"/>
    <n v="4"/>
    <n v="6481.7280000000001"/>
    <x v="142"/>
    <x v="2"/>
    <n v="4051.08"/>
    <n v="6751.8"/>
    <x v="0"/>
    <n v="7315.1159097316468"/>
    <n v="6827.7939999999999"/>
    <n v="220378.75200000001"/>
    <n v="82642.032000000007"/>
    <n v="-346.0659999999998"/>
    <n v="-5.0684891782030887E-2"/>
    <n v="0.375"/>
  </r>
  <r>
    <n v="632"/>
    <n v="112"/>
    <x v="470"/>
    <n v="7"/>
    <n v="5"/>
    <n v="2597.6895"/>
    <x v="19"/>
    <x v="6"/>
    <n v="1640.646"/>
    <n v="2734.41"/>
    <x v="1"/>
    <n v="3003.3483135275615"/>
    <n v="7409.5025000000005"/>
    <n v="18183.826499999999"/>
    <n v="6699.3045000000002"/>
    <n v="-4811.8130000000001"/>
    <n v="-0.64941107719445401"/>
    <n v="0.36842105263157898"/>
  </r>
  <r>
    <n v="633"/>
    <n v="51"/>
    <x v="231"/>
    <n v="41"/>
    <n v="10"/>
    <n v="947.58299999999997"/>
    <x v="18"/>
    <x v="5"/>
    <n v="631.72199999999987"/>
    <n v="1052.8699999999999"/>
    <x v="2"/>
    <n v="1323.3493665846249"/>
    <n v="5383.6833333333334"/>
    <n v="38850.902999999998"/>
    <n v="12950.301000000005"/>
    <n v="-4436.1003333333338"/>
    <n v="-0.82398983347831878"/>
    <n v="0.33333333333333348"/>
  </r>
  <r>
    <n v="634"/>
    <n v="92"/>
    <x v="471"/>
    <n v="12"/>
    <n v="8"/>
    <n v="3291.7784000000001"/>
    <x v="88"/>
    <x v="1"/>
    <n v="2146.8119999999999"/>
    <n v="3578.02"/>
    <x v="4"/>
    <n v="3870.9729565039338"/>
    <n v="5387.83"/>
    <n v="39501.340800000005"/>
    <n v="13739.596800000003"/>
    <n v="-2096.0515999999998"/>
    <n v="-0.38903447213442144"/>
    <n v="0.34782608695652178"/>
  </r>
  <r>
    <n v="635"/>
    <n v="119"/>
    <x v="472"/>
    <n v="19"/>
    <n v="6"/>
    <n v="1825.3953999999999"/>
    <x v="45"/>
    <x v="7"/>
    <n v="1165.146"/>
    <n v="1941.91"/>
    <x v="0"/>
    <n v="2232.8405198223036"/>
    <n v="4902.3539999999994"/>
    <n v="34682.512599999995"/>
    <n v="12544.738599999999"/>
    <n v="-3076.9585999999995"/>
    <n v="-0.62764920689121995"/>
    <n v="0.36170212765957449"/>
  </r>
  <r>
    <n v="636"/>
    <n v="121"/>
    <x v="453"/>
    <n v="22"/>
    <n v="3"/>
    <n v="1467.7846"/>
    <x v="4"/>
    <x v="2"/>
    <n v="907.90800000000002"/>
    <n v="1513.18"/>
    <x v="2"/>
    <n v="1543.8225335692443"/>
    <n v="2967.0200000000004"/>
    <n v="32291.261200000001"/>
    <n v="12317.285199999998"/>
    <n v="-1499.2354000000005"/>
    <n v="-0.50530006538547101"/>
    <n v="0.38144329896907209"/>
  </r>
  <r>
    <n v="637"/>
    <n v="59"/>
    <x v="363"/>
    <n v="47"/>
    <n v="6"/>
    <n v="3901.4794000000002"/>
    <x v="43"/>
    <x v="5"/>
    <n v="2490.306"/>
    <n v="4150.51"/>
    <x v="3"/>
    <n v="5300.3142209400685"/>
    <n v="6105.9674999999997"/>
    <n v="183369.5318"/>
    <n v="66325.149799999999"/>
    <n v="-2204.4880999999996"/>
    <n v="-0.36103829573282198"/>
    <n v="0.36170212765957449"/>
  </r>
  <r>
    <n v="638"/>
    <n v="99"/>
    <x v="473"/>
    <n v="18"/>
    <n v="6"/>
    <n v="1921.3411999999998"/>
    <x v="106"/>
    <x v="3"/>
    <n v="1226.3879999999999"/>
    <n v="2043.98"/>
    <x v="2"/>
    <n v="2433.1477252051"/>
    <n v="958.76666666666654"/>
    <n v="34584.141599999995"/>
    <n v="12509.157599999999"/>
    <n v="962.57453333333331"/>
    <n v="1.0039716302193791"/>
    <n v="0.36170212765957449"/>
  </r>
  <r>
    <n v="639"/>
    <n v="133"/>
    <x v="474"/>
    <n v="7"/>
    <n v="8"/>
    <n v="6076.5079999999998"/>
    <x v="40"/>
    <x v="1"/>
    <n v="3962.9399999999996"/>
    <n v="6604.9"/>
    <x v="0"/>
    <n v="7706.679884396096"/>
    <n v="4666.1933333333336"/>
    <n v="42535.555999999997"/>
    <n v="14794.976000000002"/>
    <n v="1410.3146666666662"/>
    <n v="0.30224094158121739"/>
    <n v="0.34782608695652184"/>
  </r>
  <r>
    <n v="640"/>
    <n v="82"/>
    <x v="475"/>
    <n v="19"/>
    <n v="7"/>
    <n v="1182.2346"/>
    <x v="7"/>
    <x v="4"/>
    <n v="762.73199999999997"/>
    <n v="1271.22"/>
    <x v="2"/>
    <n v="1357.086506536039"/>
    <n v="2617.7080000000001"/>
    <n v="22462.457399999999"/>
    <n v="7970.5494000000008"/>
    <n v="-1435.4734000000001"/>
    <n v="-0.54837033007501224"/>
    <n v="0.35483870967741943"/>
  </r>
  <r>
    <n v="641"/>
    <n v="119"/>
    <x v="377"/>
    <n v="45"/>
    <n v="8"/>
    <n v="1786.5572000000002"/>
    <x v="45"/>
    <x v="7"/>
    <n v="1165.146"/>
    <n v="1941.91"/>
    <x v="0"/>
    <n v="2413.2372981937247"/>
    <n v="4902.3539999999994"/>
    <n v="80395.074000000008"/>
    <n v="27963.504000000012"/>
    <n v="-3115.7967999999992"/>
    <n v="-0.6355715641914067"/>
    <n v="0.34782608695652184"/>
  </r>
  <r>
    <n v="642"/>
    <n v="106"/>
    <x v="326"/>
    <n v="7"/>
    <n v="2"/>
    <n v="1405.3494000000001"/>
    <x v="74"/>
    <x v="1"/>
    <n v="860.41800000000001"/>
    <n v="1434.03"/>
    <x v="2"/>
    <n v="1711.5451298653054"/>
    <n v="695.38400000000001"/>
    <n v="9837.4458000000013"/>
    <n v="3814.5198000000005"/>
    <n v="709.96540000000005"/>
    <n v="1.0209688459901292"/>
    <n v="0.38775510204081631"/>
  </r>
  <r>
    <n v="643"/>
    <n v="112"/>
    <x v="476"/>
    <n v="28"/>
    <n v="10"/>
    <n v="2460.9690000000001"/>
    <x v="19"/>
    <x v="6"/>
    <n v="1640.646"/>
    <n v="2734.41"/>
    <x v="1"/>
    <n v="2818.6214494777755"/>
    <n v="7409.5025000000005"/>
    <n v="68907.131999999998"/>
    <n v="22969.044000000002"/>
    <n v="-4948.5335000000005"/>
    <n v="-0.66786312576316698"/>
    <n v="0.33333333333333337"/>
  </r>
  <r>
    <n v="644"/>
    <n v="107"/>
    <x v="431"/>
    <n v="15"/>
    <n v="4"/>
    <n v="1505.184"/>
    <x v="137"/>
    <x v="6"/>
    <n v="940.74"/>
    <n v="1567.9"/>
    <x v="2"/>
    <n v="1740.6449386823438"/>
    <n v="979.96"/>
    <n v="22577.759999999998"/>
    <n v="8466.66"/>
    <n v="525.22399999999993"/>
    <n v="0.53596473325441851"/>
    <n v="0.375"/>
  </r>
  <r>
    <n v="645"/>
    <n v="139"/>
    <x v="334"/>
    <n v="41"/>
    <n v="6"/>
    <n v="2435.6151999999997"/>
    <x v="25"/>
    <x v="3"/>
    <n v="1554.6479999999999"/>
    <n v="2591.08"/>
    <x v="4"/>
    <n v="3010.4511868513782"/>
    <n v="2839.1733333333336"/>
    <n v="99860.223199999993"/>
    <n v="36119.655199999994"/>
    <n v="-403.5581333333339"/>
    <n v="-0.14213930815542572"/>
    <n v="0.36170212765957444"/>
  </r>
  <r>
    <n v="646"/>
    <n v="8"/>
    <x v="118"/>
    <n v="13"/>
    <n v="3"/>
    <n v="5474.6217999999999"/>
    <x v="114"/>
    <x v="1"/>
    <n v="3386.3639999999996"/>
    <n v="5643.94"/>
    <x v="2"/>
    <n v="6211.4023021400917"/>
    <n v="2853.6650000000004"/>
    <n v="71170.083400000003"/>
    <n v="27147.351400000003"/>
    <n v="2620.9567999999995"/>
    <n v="0.91845286675205362"/>
    <n v="0.3814432989690722"/>
  </r>
  <r>
    <n v="647"/>
    <n v="120"/>
    <x v="258"/>
    <n v="45"/>
    <n v="3"/>
    <n v="1917.3019999999999"/>
    <x v="125"/>
    <x v="0"/>
    <n v="1185.9599999999998"/>
    <n v="1976.6"/>
    <x v="2"/>
    <n v="2514.3362294478097"/>
    <n v="1688.8574999999998"/>
    <n v="86278.59"/>
    <n v="32910.390000000007"/>
    <n v="228.44450000000006"/>
    <n v="0.13526570477378944"/>
    <n v="0.38144329896907225"/>
  </r>
  <r>
    <n v="648"/>
    <n v="30"/>
    <x v="477"/>
    <n v="35"/>
    <n v="9"/>
    <n v="1863.9894000000002"/>
    <x v="123"/>
    <x v="1"/>
    <n v="1229.0040000000001"/>
    <n v="2048.34"/>
    <x v="1"/>
    <n v="2223.213503622173"/>
    <n v="4153.6075000000001"/>
    <n v="65239.629000000008"/>
    <n v="22224.489000000001"/>
    <n v="-2289.6180999999997"/>
    <n v="-0.55123602795882842"/>
    <n v="0.34065934065934061"/>
  </r>
  <r>
    <n v="649"/>
    <n v="1"/>
    <x v="478"/>
    <n v="6"/>
    <n v="5"/>
    <n v="1815.4024999999999"/>
    <x v="97"/>
    <x v="7"/>
    <n v="1146.57"/>
    <n v="1910.95"/>
    <x v="1"/>
    <n v="2171.0292172629274"/>
    <n v="4785.0083333333332"/>
    <n v="10892.414999999999"/>
    <n v="4012.9949999999999"/>
    <n v="-2969.6058333333331"/>
    <n v="-0.6206061988746101"/>
    <n v="0.36842105263157898"/>
  </r>
  <r>
    <n v="650"/>
    <n v="138"/>
    <x v="200"/>
    <n v="21"/>
    <n v="10"/>
    <n v="2782.3409999999999"/>
    <x v="13"/>
    <x v="4"/>
    <n v="1854.8939999999998"/>
    <n v="3091.49"/>
    <x v="4"/>
    <n v="3208.1140502710464"/>
    <n v="4980.4933333333329"/>
    <n v="58429.161"/>
    <n v="19476.387000000002"/>
    <n v="-2198.152333333333"/>
    <n v="-0.44135232922039846"/>
    <n v="0.33333333333333337"/>
  </r>
  <r>
    <n v="651"/>
    <n v="82"/>
    <x v="240"/>
    <n v="25"/>
    <n v="4"/>
    <n v="1220.3712"/>
    <x v="7"/>
    <x v="4"/>
    <n v="762.73199999999997"/>
    <n v="1271.22"/>
    <x v="2"/>
    <n v="1467.748284816425"/>
    <n v="2617.7080000000001"/>
    <n v="30509.280000000002"/>
    <n v="11440.980000000001"/>
    <n v="-1397.3368"/>
    <n v="-0.53380163104517386"/>
    <n v="0.375"/>
  </r>
  <r>
    <n v="652"/>
    <n v="74"/>
    <x v="125"/>
    <n v="17"/>
    <n v="5"/>
    <n v="1809.9494999999999"/>
    <x v="78"/>
    <x v="3"/>
    <n v="1143.126"/>
    <n v="1905.21"/>
    <x v="4"/>
    <n v="2201.2180491824752"/>
    <n v="2585.9039999999995"/>
    <n v="30769.141499999998"/>
    <n v="11335.9995"/>
    <n v="-775.9544999999996"/>
    <n v="-0.30007088430196932"/>
    <n v="0.36842105263157898"/>
  </r>
  <r>
    <n v="653"/>
    <n v="96"/>
    <x v="479"/>
    <n v="47"/>
    <n v="7"/>
    <n v="5007.529199999999"/>
    <x v="105"/>
    <x v="4"/>
    <n v="3230.6639999999998"/>
    <n v="5384.44"/>
    <x v="3"/>
    <n v="6915.1997724632656"/>
    <n v="3578.9180000000001"/>
    <n v="235353.87239999996"/>
    <n v="83512.664399999965"/>
    <n v="1428.6111999999989"/>
    <n v="0.39917405204589734"/>
    <n v="0.35483870967741926"/>
  </r>
  <r>
    <n v="654"/>
    <n v="113"/>
    <x v="480"/>
    <n v="28"/>
    <n v="2"/>
    <n v="4732.5767999999998"/>
    <x v="87"/>
    <x v="7"/>
    <n v="2897.4959999999996"/>
    <n v="4829.16"/>
    <x v="1"/>
    <n v="5913.6936899309476"/>
    <n v="4302.05"/>
    <n v="132512.15039999998"/>
    <n v="51382.262400000007"/>
    <n v="430.52679999999964"/>
    <n v="0.10007480154809907"/>
    <n v="0.38775510204081642"/>
  </r>
  <r>
    <n v="655"/>
    <n v="28"/>
    <x v="327"/>
    <n v="18"/>
    <n v="10"/>
    <n v="5144.9579999999996"/>
    <x v="70"/>
    <x v="0"/>
    <n v="3429.9719999999998"/>
    <n v="5716.62"/>
    <x v="4"/>
    <n v="6647.4592122556096"/>
    <n v="3542.9559999999997"/>
    <n v="92609.243999999992"/>
    <n v="30869.748"/>
    <n v="1602.002"/>
    <n v="0.45216536699863052"/>
    <n v="0.33333333333333337"/>
  </r>
  <r>
    <n v="656"/>
    <n v="86"/>
    <x v="101"/>
    <n v="47"/>
    <n v="6"/>
    <n v="2935.5353999999998"/>
    <x v="39"/>
    <x v="1"/>
    <n v="1873.7459999999999"/>
    <n v="3122.91"/>
    <x v="0"/>
    <n v="3818.0477942257185"/>
    <n v="2919.076"/>
    <n v="137970.16379999998"/>
    <n v="49904.101799999997"/>
    <n v="16.459399999999732"/>
    <n v="5.6385650801828151E-3"/>
    <n v="0.36170212765957449"/>
  </r>
  <r>
    <n v="657"/>
    <n v="123"/>
    <x v="481"/>
    <n v="46"/>
    <n v="3"/>
    <n v="4488.7914000000001"/>
    <x v="148"/>
    <x v="3"/>
    <n v="2776.5719999999997"/>
    <n v="4627.62"/>
    <x v="2"/>
    <n v="5651.7617244794847"/>
    <n v="809.94800000000009"/>
    <n v="206484.4044"/>
    <n v="78762.092400000023"/>
    <n v="3678.8433999999997"/>
    <n v="4.5420735652165316"/>
    <n v="0.38144329896907225"/>
  </r>
  <r>
    <n v="658"/>
    <n v="93"/>
    <x v="482"/>
    <n v="23"/>
    <n v="10"/>
    <n v="6896.3130000000001"/>
    <x v="66"/>
    <x v="2"/>
    <n v="4597.5419999999995"/>
    <n v="7662.57"/>
    <x v="3"/>
    <n v="7671.7486069883607"/>
    <n v="991.00333333333344"/>
    <n v="158615.19899999999"/>
    <n v="52871.733000000015"/>
    <n v="5905.309666666667"/>
    <n v="5.9589200843589492"/>
    <n v="0.33333333333333343"/>
  </r>
  <r>
    <n v="659"/>
    <n v="60"/>
    <x v="483"/>
    <n v="23"/>
    <n v="9"/>
    <n v="2523.0751"/>
    <x v="36"/>
    <x v="2"/>
    <n v="1663.566"/>
    <n v="2772.61"/>
    <x v="2"/>
    <n v="3597.6885017543391"/>
    <n v="3047.7533333333336"/>
    <n v="58030.727299999999"/>
    <n v="19768.709299999999"/>
    <n v="-524.67823333333354"/>
    <n v="-0.17215245984473815"/>
    <n v="0.34065934065934067"/>
  </r>
  <r>
    <n v="660"/>
    <n v="127"/>
    <x v="130"/>
    <n v="28"/>
    <n v="3"/>
    <n v="5325.8432000000003"/>
    <x v="101"/>
    <x v="4"/>
    <n v="3294.3360000000002"/>
    <n v="5490.56"/>
    <x v="1"/>
    <n v="5700.0530220706469"/>
    <n v="5984.333333333333"/>
    <n v="149123.6096"/>
    <n v="56882.2016"/>
    <n v="-658.49013333333278"/>
    <n v="-0.11003567091850935"/>
    <n v="0.3814432989690722"/>
  </r>
  <r>
    <n v="661"/>
    <n v="20"/>
    <x v="484"/>
    <n v="35"/>
    <n v="5"/>
    <n v="2879.6209999999996"/>
    <x v="61"/>
    <x v="7"/>
    <n v="1818.7079999999999"/>
    <n v="3031.18"/>
    <x v="0"/>
    <n v="3928.0462393428684"/>
    <n v="4553.9966666666669"/>
    <n v="100786.73499999999"/>
    <n v="37131.954999999994"/>
    <n v="-1674.3756666666673"/>
    <n v="-0.36767169350877887"/>
    <n v="0.36842105263157893"/>
  </r>
  <r>
    <n v="662"/>
    <n v="125"/>
    <x v="485"/>
    <n v="47"/>
    <n v="4"/>
    <n v="4177.0271999999995"/>
    <x v="22"/>
    <x v="0"/>
    <n v="2610.6419999999998"/>
    <n v="4351.07"/>
    <x v="4"/>
    <n v="4845.3549941536903"/>
    <n v="5094.8040000000001"/>
    <n v="196320.27839999998"/>
    <n v="73620.104399999982"/>
    <n v="-917.77680000000055"/>
    <n v="-0.18013976592622613"/>
    <n v="0.37499999999999994"/>
  </r>
  <r>
    <n v="663"/>
    <n v="97"/>
    <x v="486"/>
    <n v="24"/>
    <n v="7"/>
    <n v="857.12519999999995"/>
    <x v="73"/>
    <x v="0"/>
    <n v="552.98399999999992"/>
    <n v="921.64"/>
    <x v="3"/>
    <n v="1033.0326833044026"/>
    <n v="2464.87"/>
    <n v="20571.004799999999"/>
    <n v="7299.3888000000006"/>
    <n v="-1607.7447999999999"/>
    <n v="-0.65226352708256419"/>
    <n v="0.35483870967741943"/>
  </r>
  <r>
    <n v="664"/>
    <n v="91"/>
    <x v="187"/>
    <n v="24"/>
    <n v="5"/>
    <n v="3004.85"/>
    <x v="35"/>
    <x v="3"/>
    <n v="1897.8"/>
    <n v="3163"/>
    <x v="2"/>
    <n v="3999.9381175113199"/>
    <n v="4782.2433333333329"/>
    <n v="72116.399999999994"/>
    <n v="26569.199999999997"/>
    <n v="-1777.393333333333"/>
    <n v="-0.37166518084608824"/>
    <n v="0.36842105263157893"/>
  </r>
  <r>
    <n v="665"/>
    <n v="109"/>
    <x v="487"/>
    <n v="20"/>
    <n v="9"/>
    <n v="2015.1858999999999"/>
    <x v="94"/>
    <x v="2"/>
    <n v="1328.6939999999997"/>
    <n v="2214.4899999999998"/>
    <x v="2"/>
    <n v="2656.5295211528928"/>
    <n v="6555.1760000000013"/>
    <n v="40303.718000000001"/>
    <n v="13729.838000000003"/>
    <n v="-4539.9901000000009"/>
    <n v="-0.69258096197569674"/>
    <n v="0.34065934065934073"/>
  </r>
  <r>
    <n v="666"/>
    <n v="33"/>
    <x v="67"/>
    <n v="17"/>
    <n v="8"/>
    <n v="4648.7507999999998"/>
    <x v="84"/>
    <x v="0"/>
    <n v="3031.7939999999999"/>
    <n v="5052.99"/>
    <x v="3"/>
    <n v="6263.4214181534689"/>
    <n v="2776.7875000000004"/>
    <n v="79028.763599999991"/>
    <n v="27488.265599999999"/>
    <n v="1871.9632999999994"/>
    <n v="0.67414712144879618"/>
    <n v="0.34782608695652178"/>
  </r>
  <r>
    <n v="667"/>
    <n v="44"/>
    <x v="488"/>
    <n v="13"/>
    <n v="4"/>
    <n v="339.45600000000002"/>
    <x v="115"/>
    <x v="7"/>
    <n v="212.16"/>
    <n v="353.6"/>
    <x v="0"/>
    <n v="360.51657368540765"/>
    <n v="4064.8233333333333"/>
    <n v="4412.9279999999999"/>
    <n v="1654.8480000000002"/>
    <n v="-3725.3673333333331"/>
    <n v="-0.91648935952115995"/>
    <n v="0.37500000000000006"/>
  </r>
  <r>
    <n v="668"/>
    <n v="34"/>
    <x v="356"/>
    <n v="6"/>
    <n v="5"/>
    <n v="1238.2205000000001"/>
    <x v="23"/>
    <x v="1"/>
    <n v="782.03399999999999"/>
    <n v="1303.3900000000001"/>
    <x v="2"/>
    <n v="1438.4685351253179"/>
    <n v="4145.4440000000004"/>
    <n v="7429.3230000000003"/>
    <n v="2737.1190000000006"/>
    <n v="-2907.2235000000001"/>
    <n v="-0.70130569849695223"/>
    <n v="0.36842105263157904"/>
  </r>
  <r>
    <n v="669"/>
    <n v="87"/>
    <x v="111"/>
    <n v="34"/>
    <n v="9"/>
    <n v="3725.6491999999998"/>
    <x v="15"/>
    <x v="5"/>
    <n v="2456.4719999999998"/>
    <n v="4094.12"/>
    <x v="2"/>
    <n v="4489.0652032488024"/>
    <n v="493.79250000000002"/>
    <n v="126672.07279999999"/>
    <n v="43152.024799999999"/>
    <n v="3231.8566999999998"/>
    <n v="6.5449691925251994"/>
    <n v="0.34065934065934067"/>
  </r>
  <r>
    <n v="670"/>
    <n v="126"/>
    <x v="489"/>
    <n v="10"/>
    <n v="7"/>
    <n v="942.3039"/>
    <x v="59"/>
    <x v="4"/>
    <n v="607.93799999999999"/>
    <n v="1013.23"/>
    <x v="4"/>
    <n v="1255.3524076074291"/>
    <n v="7593.0025000000005"/>
    <n v="9423.0390000000007"/>
    <n v="3343.6590000000001"/>
    <n v="-6650.6986000000006"/>
    <n v="-0.87589838143738263"/>
    <n v="0.35483870967741932"/>
  </r>
  <r>
    <n v="671"/>
    <n v="129"/>
    <x v="490"/>
    <n v="46"/>
    <n v="2"/>
    <n v="1236.0347999999999"/>
    <x v="68"/>
    <x v="5"/>
    <n v="756.75599999999997"/>
    <n v="1261.26"/>
    <x v="0"/>
    <n v="1626.4911585354973"/>
    <n v="4881.2166666666662"/>
    <n v="56857.600799999993"/>
    <n v="22046.824799999999"/>
    <n v="-3645.1818666666663"/>
    <n v="-0.74677731303329431"/>
    <n v="0.38775510204081637"/>
  </r>
  <r>
    <n v="672"/>
    <n v="35"/>
    <x v="491"/>
    <n v="2"/>
    <n v="2"/>
    <n v="132.4862"/>
    <x v="104"/>
    <x v="3"/>
    <n v="81.11399999999999"/>
    <n v="135.19"/>
    <x v="3"/>
    <n v="172.43031745406066"/>
    <n v="2089.5899999999997"/>
    <n v="264.97239999999999"/>
    <n v="102.74440000000001"/>
    <n v="-1957.1037999999996"/>
    <n v="-0.93659703578213904"/>
    <n v="0.38775510204081637"/>
  </r>
  <r>
    <n v="673"/>
    <n v="149"/>
    <x v="492"/>
    <n v="12"/>
    <n v="6"/>
    <n v="5760.1131999999998"/>
    <x v="14"/>
    <x v="5"/>
    <n v="3676.6679999999997"/>
    <n v="6127.78"/>
    <x v="0"/>
    <n v="6757.6501382416673"/>
    <n v="3159.4639999999999"/>
    <n v="69121.358399999997"/>
    <n v="25001.342400000001"/>
    <n v="2600.6491999999998"/>
    <n v="0.82312987266194515"/>
    <n v="0.36170212765957449"/>
  </r>
  <r>
    <n v="674"/>
    <n v="99"/>
    <x v="493"/>
    <n v="37"/>
    <n v="2"/>
    <n v="2003.1004"/>
    <x v="106"/>
    <x v="3"/>
    <n v="1226.3879999999999"/>
    <n v="2043.98"/>
    <x v="2"/>
    <n v="2458.3457415161542"/>
    <n v="958.76666666666654"/>
    <n v="74114.714800000002"/>
    <n v="28738.358800000005"/>
    <n v="1044.3337333333334"/>
    <n v="1.0892470187393528"/>
    <n v="0.38775510204081637"/>
  </r>
  <r>
    <n v="675"/>
    <n v="115"/>
    <x v="494"/>
    <n v="35"/>
    <n v="10"/>
    <n v="4222.152"/>
    <x v="71"/>
    <x v="2"/>
    <n v="2814.7679999999996"/>
    <n v="4691.28"/>
    <x v="2"/>
    <n v="4978.5109200665911"/>
    <n v="4456.5325000000003"/>
    <n v="147775.32"/>
    <n v="49258.440000000017"/>
    <n v="-234.38050000000021"/>
    <n v="-5.2592570569158913E-2"/>
    <n v="0.33333333333333343"/>
  </r>
  <r>
    <n v="676"/>
    <n v="71"/>
    <x v="79"/>
    <n v="50"/>
    <n v="8"/>
    <n v="4536.7592000000004"/>
    <x v="54"/>
    <x v="2"/>
    <n v="2958.7559999999999"/>
    <n v="4931.26"/>
    <x v="3"/>
    <n v="6182.6080122047952"/>
    <n v="2482.0633333333335"/>
    <n v="226837.96000000002"/>
    <n v="78900.160000000033"/>
    <n v="2054.6958666666669"/>
    <n v="0.82781766245556454"/>
    <n v="0.34782608695652184"/>
  </r>
  <r>
    <n v="677"/>
    <n v="2"/>
    <x v="38"/>
    <n v="11"/>
    <n v="7"/>
    <n v="4115.0453999999991"/>
    <x v="64"/>
    <x v="0"/>
    <n v="2654.8679999999999"/>
    <n v="4424.78"/>
    <x v="0"/>
    <n v="5323.3138254636333"/>
    <n v="1807.3"/>
    <n v="45265.499399999986"/>
    <n v="16061.951399999991"/>
    <n v="2307.7453999999989"/>
    <n v="1.2769022298456254"/>
    <n v="0.35483870967741926"/>
  </r>
  <r>
    <n v="678"/>
    <n v="126"/>
    <x v="495"/>
    <n v="7"/>
    <n v="9"/>
    <n v="922.03930000000003"/>
    <x v="59"/>
    <x v="4"/>
    <n v="607.93799999999999"/>
    <n v="1013.23"/>
    <x v="4"/>
    <n v="1119.9693055310322"/>
    <n v="7593.0025000000005"/>
    <n v="6454.2750999999998"/>
    <n v="2198.7091"/>
    <n v="-6670.9632000000001"/>
    <n v="-0.87856723344948195"/>
    <n v="0.34065934065934067"/>
  </r>
  <r>
    <n v="679"/>
    <n v="46"/>
    <x v="496"/>
    <n v="6"/>
    <n v="9"/>
    <n v="1472.9806000000001"/>
    <x v="60"/>
    <x v="1"/>
    <n v="971.19600000000003"/>
    <n v="1618.66"/>
    <x v="0"/>
    <n v="1944.8385466913862"/>
    <n v="4497.6779999999999"/>
    <n v="8837.883600000001"/>
    <n v="3010.7076000000006"/>
    <n v="-3024.6974"/>
    <n v="-0.67250198880400069"/>
    <n v="0.34065934065934067"/>
  </r>
  <r>
    <n v="680"/>
    <n v="65"/>
    <x v="497"/>
    <n v="37"/>
    <n v="6"/>
    <n v="4240.6783999999998"/>
    <x v="90"/>
    <x v="2"/>
    <n v="2706.8159999999998"/>
    <n v="4511.3599999999997"/>
    <x v="1"/>
    <n v="5147.8687873548251"/>
    <n v="1786.8475000000001"/>
    <n v="156905.10079999999"/>
    <n v="56752.908799999997"/>
    <n v="2453.8308999999999"/>
    <n v="1.3732738244310159"/>
    <n v="0.36170212765957449"/>
  </r>
  <r>
    <n v="681"/>
    <n v="50"/>
    <x v="141"/>
    <n v="15"/>
    <n v="10"/>
    <n v="1221.03"/>
    <x v="10"/>
    <x v="1"/>
    <n v="814.02"/>
    <n v="1356.7"/>
    <x v="3"/>
    <n v="1437.0596368244217"/>
    <n v="4909.6483333333335"/>
    <n v="18315.45"/>
    <n v="6105.15"/>
    <n v="-3688.6183333333338"/>
    <n v="-0.75129990640877542"/>
    <n v="0.33333333333333331"/>
  </r>
  <r>
    <n v="682"/>
    <n v="53"/>
    <x v="498"/>
    <n v="3"/>
    <n v="9"/>
    <n v="3152.6131"/>
    <x v="120"/>
    <x v="2"/>
    <n v="2078.6459999999997"/>
    <n v="3464.41"/>
    <x v="0"/>
    <n v="3780.8038952617899"/>
    <n v="954.33000000000015"/>
    <n v="9457.8392999999996"/>
    <n v="3221.9013000000009"/>
    <n v="2198.2830999999996"/>
    <n v="2.3034831766789257"/>
    <n v="0.34065934065934078"/>
  </r>
  <r>
    <n v="683"/>
    <n v="57"/>
    <x v="499"/>
    <n v="21"/>
    <n v="2"/>
    <n v="6675.5150000000003"/>
    <x v="55"/>
    <x v="6"/>
    <n v="4087.0499999999997"/>
    <n v="6811.75"/>
    <x v="2"/>
    <n v="6824.8302075175325"/>
    <n v="1836.9825000000001"/>
    <n v="140185.815"/>
    <n v="54357.765000000014"/>
    <n v="4838.5325000000003"/>
    <n v="2.633956774220767"/>
    <n v="0.38775510204081642"/>
  </r>
  <r>
    <n v="684"/>
    <n v="10"/>
    <x v="386"/>
    <n v="41"/>
    <n v="8"/>
    <n v="2573.5068000000001"/>
    <x v="33"/>
    <x v="3"/>
    <n v="1678.374"/>
    <n v="2797.29"/>
    <x v="0"/>
    <n v="3220.096444919694"/>
    <n v="6310.5433333333322"/>
    <n v="105513.7788"/>
    <n v="36700.444800000005"/>
    <n v="-3737.036533333332"/>
    <n v="-0.59218934661199263"/>
    <n v="0.34782608695652178"/>
  </r>
  <r>
    <n v="685"/>
    <n v="40"/>
    <x v="500"/>
    <n v="41"/>
    <n v="8"/>
    <n v="452.88839999999999"/>
    <x v="9"/>
    <x v="3"/>
    <n v="295.36199999999997"/>
    <n v="492.27"/>
    <x v="1"/>
    <n v="602.10489444365487"/>
    <n v="603.70600000000002"/>
    <n v="18568.4244"/>
    <n v="6458.5824000000011"/>
    <n v="-150.81760000000003"/>
    <n v="-0.24981961418306264"/>
    <n v="0.34782608695652178"/>
  </r>
  <r>
    <n v="686"/>
    <n v="29"/>
    <x v="157"/>
    <n v="35"/>
    <n v="6"/>
    <n v="7024.62"/>
    <x v="56"/>
    <x v="5"/>
    <n v="4483.8"/>
    <n v="7473"/>
    <x v="2"/>
    <n v="8154.8936656696114"/>
    <n v="1925.7060000000001"/>
    <n v="245861.69999999998"/>
    <n v="88928.699999999983"/>
    <n v="5098.9139999999998"/>
    <n v="2.647815398612249"/>
    <n v="0.36170212765957444"/>
  </r>
  <r>
    <n v="687"/>
    <n v="3"/>
    <x v="501"/>
    <n v="46"/>
    <n v="3"/>
    <n v="5011.7765999999992"/>
    <x v="129"/>
    <x v="2"/>
    <n v="3100.0679999999998"/>
    <n v="5166.78"/>
    <x v="1"/>
    <n v="6612.2148466601338"/>
    <n v="7049.42"/>
    <n v="230541.72359999997"/>
    <n v="87938.595599999971"/>
    <n v="-2037.6434000000008"/>
    <n v="-0.28905121272388379"/>
    <n v="0.38144329896907209"/>
  </r>
  <r>
    <n v="688"/>
    <n v="130"/>
    <x v="109"/>
    <n v="46"/>
    <n v="10"/>
    <n v="2866.9409999999998"/>
    <x v="111"/>
    <x v="4"/>
    <n v="1911.2939999999999"/>
    <n v="3185.49"/>
    <x v="4"/>
    <n v="3516.5447825019814"/>
    <n v="3865.1374999999998"/>
    <n v="131879.28599999999"/>
    <n v="43959.761999999995"/>
    <n v="-998.19650000000001"/>
    <n v="-0.25825640096891767"/>
    <n v="0.33333333333333331"/>
  </r>
  <r>
    <n v="689"/>
    <n v="60"/>
    <x v="295"/>
    <n v="25"/>
    <n v="9"/>
    <n v="2523.0751"/>
    <x v="36"/>
    <x v="2"/>
    <n v="1663.566"/>
    <n v="2772.61"/>
    <x v="2"/>
    <n v="3011.2150331078224"/>
    <n v="3047.7533333333336"/>
    <n v="63076.877500000002"/>
    <n v="21487.727500000001"/>
    <n v="-524.67823333333354"/>
    <n v="-0.17215245984473815"/>
    <n v="0.34065934065934067"/>
  </r>
  <r>
    <n v="690"/>
    <n v="87"/>
    <x v="502"/>
    <n v="39"/>
    <n v="2"/>
    <n v="4012.2375999999999"/>
    <x v="15"/>
    <x v="5"/>
    <n v="2456.4719999999998"/>
    <n v="4094.12"/>
    <x v="2"/>
    <n v="4237.0601720213226"/>
    <n v="493.79250000000002"/>
    <n v="156477.26639999999"/>
    <n v="60674.858400000005"/>
    <n v="3518.4450999999999"/>
    <n v="7.1253514381040617"/>
    <n v="0.38775510204081637"/>
  </r>
  <r>
    <n v="691"/>
    <n v="90"/>
    <x v="503"/>
    <n v="22"/>
    <n v="8"/>
    <n v="1266.5732"/>
    <x v="0"/>
    <x v="0"/>
    <n v="826.02599999999995"/>
    <n v="1376.71"/>
    <x v="0"/>
    <n v="1482.8111626273208"/>
    <n v="2414.7550000000001"/>
    <n v="27864.610400000001"/>
    <n v="9692.0384000000013"/>
    <n v="-1148.1818000000001"/>
    <n v="-0.47548583603719635"/>
    <n v="0.34782608695652178"/>
  </r>
  <r>
    <n v="692"/>
    <n v="94"/>
    <x v="504"/>
    <n v="36"/>
    <n v="5"/>
    <n v="4420.1409999999996"/>
    <x v="8"/>
    <x v="4"/>
    <n v="2791.6679999999997"/>
    <n v="4652.78"/>
    <x v="1"/>
    <n v="6017.7169644649812"/>
    <n v="6485.5883333333331"/>
    <n v="159125.076"/>
    <n v="58625.027999999998"/>
    <n v="-2065.4473333333335"/>
    <n v="-0.31846722720863413"/>
    <n v="0.36842105263157893"/>
  </r>
  <r>
    <n v="693"/>
    <n v="61"/>
    <x v="505"/>
    <n v="16"/>
    <n v="3"/>
    <n v="2368.9727999999996"/>
    <x v="146"/>
    <x v="7"/>
    <n v="1465.3439999999998"/>
    <n v="2442.2399999999998"/>
    <x v="4"/>
    <n v="2620.6785654536166"/>
    <n v="411.75600000000003"/>
    <n v="37903.564799999993"/>
    <n v="14458.060799999996"/>
    <n v="1957.2167999999995"/>
    <n v="4.7533412992160393"/>
    <n v="0.38144329896907214"/>
  </r>
  <r>
    <n v="694"/>
    <n v="68"/>
    <x v="506"/>
    <n v="35"/>
    <n v="9"/>
    <n v="5499.5758999999998"/>
    <x v="53"/>
    <x v="6"/>
    <n v="3626.0939999999996"/>
    <n v="6043.49"/>
    <x v="2"/>
    <n v="6898.8315276734647"/>
    <n v="796.21333333333325"/>
    <n v="192485.15649999998"/>
    <n v="65571.866500000004"/>
    <n v="4703.3625666666667"/>
    <n v="5.9071637835755917"/>
    <n v="0.34065934065934073"/>
  </r>
  <r>
    <n v="695"/>
    <n v="119"/>
    <x v="155"/>
    <n v="25"/>
    <n v="6"/>
    <n v="1825.3953999999999"/>
    <x v="45"/>
    <x v="7"/>
    <n v="1165.146"/>
    <n v="1941.91"/>
    <x v="0"/>
    <n v="2265.3527525144291"/>
    <n v="4902.3539999999994"/>
    <n v="45634.884999999995"/>
    <n v="16506.234999999997"/>
    <n v="-3076.9585999999995"/>
    <n v="-0.62764920689121995"/>
    <n v="0.36170212765957444"/>
  </r>
  <r>
    <n v="696"/>
    <n v="90"/>
    <x v="507"/>
    <n v="45"/>
    <n v="9"/>
    <n v="1252.8061"/>
    <x v="0"/>
    <x v="0"/>
    <n v="826.02599999999995"/>
    <n v="1376.71"/>
    <x v="0"/>
    <n v="1666.0465261177262"/>
    <n v="2414.7550000000001"/>
    <n v="56376.2745"/>
    <n v="19205.104500000001"/>
    <n v="-1161.9489000000001"/>
    <n v="-0.48118707694983553"/>
    <n v="0.34065934065934067"/>
  </r>
  <r>
    <n v="697"/>
    <n v="70"/>
    <x v="508"/>
    <n v="2"/>
    <n v="5"/>
    <n v="3828.2624999999998"/>
    <x v="98"/>
    <x v="7"/>
    <n v="2417.85"/>
    <n v="4029.75"/>
    <x v="1"/>
    <n v="4593.9630065236415"/>
    <n v="2158.7083333333335"/>
    <n v="7656.5249999999996"/>
    <n v="2820.8249999999998"/>
    <n v="1669.5541666666663"/>
    <n v="0.77340423478546183"/>
    <n v="0.36842105263157893"/>
  </r>
  <r>
    <n v="698"/>
    <n v="25"/>
    <x v="161"/>
    <n v="4"/>
    <n v="7"/>
    <n v="528.39809999999989"/>
    <x v="38"/>
    <x v="4"/>
    <n v="340.90199999999999"/>
    <n v="568.16999999999996"/>
    <x v="1"/>
    <n v="569.46845569446941"/>
    <n v="2024.2300000000002"/>
    <n v="2113.5923999999995"/>
    <n v="749.9843999999996"/>
    <n v="-1495.8319000000004"/>
    <n v="-0.7389634083083445"/>
    <n v="0.35483870967741926"/>
  </r>
  <r>
    <n v="699"/>
    <n v="71"/>
    <x v="509"/>
    <n v="6"/>
    <n v="8"/>
    <n v="4536.7592000000004"/>
    <x v="54"/>
    <x v="2"/>
    <n v="2958.7559999999999"/>
    <n v="4931.26"/>
    <x v="3"/>
    <n v="5081.3577080878167"/>
    <n v="2482.0633333333335"/>
    <n v="27220.555200000003"/>
    <n v="9468.0192000000025"/>
    <n v="2054.6958666666669"/>
    <n v="0.82781766245556454"/>
    <n v="0.34782608695652178"/>
  </r>
  <r>
    <n v="700"/>
    <n v="60"/>
    <x v="151"/>
    <n v="31"/>
    <n v="7"/>
    <n v="2578.5272999999997"/>
    <x v="36"/>
    <x v="2"/>
    <n v="1663.566"/>
    <n v="2772.61"/>
    <x v="2"/>
    <n v="2897.1926951446126"/>
    <n v="3047.7533333333336"/>
    <n v="79934.34629999999"/>
    <n v="28363.800299999992"/>
    <n v="-469.22603333333382"/>
    <n v="-0.15395800841275445"/>
    <n v="0.35483870967741932"/>
  </r>
  <r>
    <n v="701"/>
    <n v="110"/>
    <x v="175"/>
    <n v="45"/>
    <n v="6"/>
    <n v="1460.9574"/>
    <x v="91"/>
    <x v="2"/>
    <n v="932.52599999999995"/>
    <n v="1554.21"/>
    <x v="3"/>
    <n v="1587.1679832560239"/>
    <n v="764.66499999999996"/>
    <n v="65743.082999999999"/>
    <n v="23779.413000000004"/>
    <n v="696.29240000000004"/>
    <n v="0.91058489665409048"/>
    <n v="0.36170212765957455"/>
  </r>
  <r>
    <n v="702"/>
    <n v="25"/>
    <x v="510"/>
    <n v="11"/>
    <n v="4"/>
    <n v="545.44319999999993"/>
    <x v="38"/>
    <x v="4"/>
    <n v="340.90199999999999"/>
    <n v="568.16999999999996"/>
    <x v="1"/>
    <n v="648.13426192446252"/>
    <n v="2024.2300000000002"/>
    <n v="5999.8751999999995"/>
    <n v="2249.9531999999995"/>
    <n v="-1478.7868000000003"/>
    <n v="-0.73054287309248467"/>
    <n v="0.37499999999999994"/>
  </r>
  <r>
    <n v="703"/>
    <n v="41"/>
    <x v="268"/>
    <n v="47"/>
    <n v="9"/>
    <n v="2804.1376999999998"/>
    <x v="72"/>
    <x v="7"/>
    <n v="1848.8819999999998"/>
    <n v="3081.47"/>
    <x v="1"/>
    <n v="3124.0274873762842"/>
    <n v="1589.1249999999998"/>
    <n v="131794.47189999997"/>
    <n v="44897.017899999999"/>
    <n v="1215.0127"/>
    <n v="0.76457969008101956"/>
    <n v="0.34065934065934073"/>
  </r>
  <r>
    <n v="704"/>
    <n v="149"/>
    <x v="511"/>
    <n v="43"/>
    <n v="6"/>
    <n v="5760.1131999999998"/>
    <x v="14"/>
    <x v="5"/>
    <n v="3676.6679999999997"/>
    <n v="6127.78"/>
    <x v="0"/>
    <n v="7404.4279553081215"/>
    <n v="3159.4639999999999"/>
    <n v="247684.8676"/>
    <n v="89588.14360000001"/>
    <n v="2600.6491999999998"/>
    <n v="0.82312987266194515"/>
    <n v="0.36170212765957449"/>
  </r>
  <r>
    <n v="705"/>
    <n v="56"/>
    <x v="512"/>
    <n v="27"/>
    <n v="7"/>
    <n v="7423.0739999999996"/>
    <x v="17"/>
    <x v="5"/>
    <n v="4789.08"/>
    <n v="7981.8"/>
    <x v="4"/>
    <n v="10370.746557352233"/>
    <n v="3458.9274999999998"/>
    <n v="200422.99799999999"/>
    <n v="71117.837999999989"/>
    <n v="3964.1464999999998"/>
    <n v="1.146062327123075"/>
    <n v="0.35483870967741932"/>
  </r>
  <r>
    <n v="706"/>
    <n v="22"/>
    <x v="513"/>
    <n v="38"/>
    <n v="8"/>
    <n v="1503.74"/>
    <x v="6"/>
    <x v="3"/>
    <n v="980.69999999999993"/>
    <n v="1634.5"/>
    <x v="1"/>
    <n v="1846.4561093255379"/>
    <n v="3187.4450000000002"/>
    <n v="57142.12"/>
    <n v="19875.520000000004"/>
    <n v="-1683.7050000000002"/>
    <n v="-0.52823029103247277"/>
    <n v="0.34782608695652178"/>
  </r>
  <r>
    <n v="707"/>
    <n v="7"/>
    <x v="496"/>
    <n v="44"/>
    <n v="7"/>
    <n v="7779.2639999999992"/>
    <x v="24"/>
    <x v="3"/>
    <n v="5018.8799999999992"/>
    <n v="8364.7999999999993"/>
    <x v="1"/>
    <n v="8526.5294010857797"/>
    <n v="1679.8333333333333"/>
    <n v="342287.61599999998"/>
    <n v="121456.89600000001"/>
    <n v="6099.4306666666662"/>
    <n v="3.630973707709098"/>
    <n v="0.35483870967741937"/>
  </r>
  <r>
    <n v="708"/>
    <n v="110"/>
    <x v="284"/>
    <n v="28"/>
    <n v="9"/>
    <n v="1414.3311000000001"/>
    <x v="91"/>
    <x v="2"/>
    <n v="932.52599999999995"/>
    <n v="1554.21"/>
    <x v="3"/>
    <n v="1980.4734810980497"/>
    <n v="764.66499999999996"/>
    <n v="39601.270800000006"/>
    <n v="13490.542800000005"/>
    <n v="649.66610000000014"/>
    <n v="0.84960878293108766"/>
    <n v="0.34065934065934073"/>
  </r>
  <r>
    <n v="709"/>
    <n v="16"/>
    <x v="514"/>
    <n v="24"/>
    <n v="10"/>
    <n v="6076.62"/>
    <x v="142"/>
    <x v="2"/>
    <n v="4051.08"/>
    <n v="6751.8"/>
    <x v="0"/>
    <n v="8749.059192021281"/>
    <n v="6827.7939999999999"/>
    <n v="145838.88"/>
    <n v="48612.959999999999"/>
    <n v="-751.17399999999998"/>
    <n v="-0.11001708604565398"/>
    <n v="0.33333333333333331"/>
  </r>
  <r>
    <n v="710"/>
    <n v="23"/>
    <x v="515"/>
    <n v="3"/>
    <n v="3"/>
    <n v="3844.498"/>
    <x v="118"/>
    <x v="5"/>
    <n v="2378.04"/>
    <n v="3963.4"/>
    <x v="4"/>
    <n v="5121.912519345271"/>
    <n v="5343.3279999999995"/>
    <n v="11533.494000000001"/>
    <n v="4399.3739999999998"/>
    <n v="-1498.8299999999995"/>
    <n v="-0.28050495870738229"/>
    <n v="0.38144329896907214"/>
  </r>
  <r>
    <n v="711"/>
    <n v="26"/>
    <x v="343"/>
    <n v="41"/>
    <n v="10"/>
    <n v="5073.2280000000001"/>
    <x v="100"/>
    <x v="7"/>
    <n v="3382.152"/>
    <n v="5636.92"/>
    <x v="0"/>
    <n v="5684.0561157751008"/>
    <n v="3474.7766666666666"/>
    <n v="208002.348"/>
    <n v="69334.115999999995"/>
    <n v="1598.4513333333334"/>
    <n v="0.46001555975300096"/>
    <n v="0.33333333333333331"/>
  </r>
  <r>
    <n v="712"/>
    <n v="59"/>
    <x v="421"/>
    <n v="15"/>
    <n v="8"/>
    <n v="3818.4692000000005"/>
    <x v="43"/>
    <x v="5"/>
    <n v="2490.306"/>
    <n v="4150.51"/>
    <x v="3"/>
    <n v="4415.6377097437235"/>
    <n v="6105.9674999999997"/>
    <n v="57277.038000000008"/>
    <n v="19922.448000000008"/>
    <n v="-2287.4982999999993"/>
    <n v="-0.374633225610847"/>
    <n v="0.34782608695652184"/>
  </r>
  <r>
    <n v="713"/>
    <n v="150"/>
    <x v="516"/>
    <n v="49"/>
    <n v="7"/>
    <n v="2129.4395999999997"/>
    <x v="29"/>
    <x v="1"/>
    <n v="1373.8319999999999"/>
    <n v="2289.7199999999998"/>
    <x v="3"/>
    <n v="2499.7113925790641"/>
    <n v="1810.3166666666666"/>
    <n v="104342.54039999998"/>
    <n v="37024.772399999994"/>
    <n v="319.12293333333309"/>
    <n v="0.17628017197727824"/>
    <n v="0.35483870967741937"/>
  </r>
  <r>
    <n v="714"/>
    <n v="95"/>
    <x v="339"/>
    <n v="9"/>
    <n v="8"/>
    <n v="6411.1764000000003"/>
    <x v="51"/>
    <x v="7"/>
    <n v="4181.2020000000002"/>
    <n v="6968.67"/>
    <x v="2"/>
    <n v="7085.7663270964213"/>
    <n v="2797.7239999999997"/>
    <n v="57700.587599999999"/>
    <n v="20069.7696"/>
    <n v="3613.4524000000006"/>
    <n v="1.2915685750274155"/>
    <n v="0.34782608695652173"/>
  </r>
  <r>
    <n v="715"/>
    <n v="69"/>
    <x v="517"/>
    <n v="21"/>
    <n v="3"/>
    <n v="7234.9389999999994"/>
    <x v="102"/>
    <x v="1"/>
    <n v="4475.2199999999993"/>
    <n v="7458.7"/>
    <x v="3"/>
    <n v="7565.4758992973429"/>
    <n v="809.57599999999991"/>
    <n v="151933.71899999998"/>
    <n v="57954.099000000002"/>
    <n v="6425.3629999999994"/>
    <n v="7.9367014338369719"/>
    <n v="0.3814432989690722"/>
  </r>
  <r>
    <n v="716"/>
    <n v="102"/>
    <x v="200"/>
    <n v="11"/>
    <n v="4"/>
    <n v="3978.1823999999997"/>
    <x v="143"/>
    <x v="1"/>
    <n v="2486.3639999999996"/>
    <n v="4143.9399999999996"/>
    <x v="0"/>
    <n v="5109.1793585928999"/>
    <n v="2740.84"/>
    <n v="43760.006399999998"/>
    <n v="16410.002400000001"/>
    <n v="1237.3423999999995"/>
    <n v="0.45144641788648715"/>
    <n v="0.37500000000000006"/>
  </r>
  <r>
    <n v="717"/>
    <n v="112"/>
    <x v="518"/>
    <n v="20"/>
    <n v="4"/>
    <n v="2625.0335999999998"/>
    <x v="19"/>
    <x v="6"/>
    <n v="1640.646"/>
    <n v="2734.41"/>
    <x v="1"/>
    <n v="3158.9754451682425"/>
    <n v="7409.5025000000005"/>
    <n v="52500.671999999991"/>
    <n v="19687.751999999997"/>
    <n v="-4784.4689000000008"/>
    <n v="-0.64572066748071144"/>
    <n v="0.375"/>
  </r>
  <r>
    <n v="718"/>
    <n v="73"/>
    <x v="519"/>
    <n v="16"/>
    <n v="4"/>
    <n v="4354.1664000000001"/>
    <x v="83"/>
    <x v="1"/>
    <n v="2721.3539999999998"/>
    <n v="4535.59"/>
    <x v="1"/>
    <n v="5696.4923671298629"/>
    <n v="5380.9516666666668"/>
    <n v="69666.662400000001"/>
    <n v="26124.998400000004"/>
    <n v="-1026.7852666666668"/>
    <n v="-0.19081852621484863"/>
    <n v="0.37500000000000006"/>
  </r>
  <r>
    <n v="719"/>
    <n v="89"/>
    <x v="22"/>
    <n v="10"/>
    <n v="5"/>
    <n v="957.95150000000001"/>
    <x v="108"/>
    <x v="1"/>
    <n v="605.02199999999993"/>
    <n v="1008.37"/>
    <x v="0"/>
    <n v="1116.398304523048"/>
    <n v="913.02"/>
    <n v="9579.5149999999994"/>
    <n v="3529.295000000001"/>
    <n v="44.931500000000028"/>
    <n v="4.9211955926485758E-2"/>
    <n v="0.36842105263157909"/>
  </r>
  <r>
    <n v="720"/>
    <n v="33"/>
    <x v="120"/>
    <n v="9"/>
    <n v="2"/>
    <n v="4951.9301999999998"/>
    <x v="84"/>
    <x v="0"/>
    <n v="3031.7939999999999"/>
    <n v="5052.99"/>
    <x v="3"/>
    <n v="5087.8832279223725"/>
    <n v="2776.7875000000004"/>
    <n v="44567.371800000001"/>
    <n v="17281.2258"/>
    <n v="2175.1426999999994"/>
    <n v="0.78333062936936992"/>
    <n v="0.38775510204081631"/>
  </r>
  <r>
    <n v="721"/>
    <n v="63"/>
    <x v="520"/>
    <n v="21"/>
    <n v="4"/>
    <n v="6721.6992"/>
    <x v="41"/>
    <x v="7"/>
    <n v="4201.0619999999999"/>
    <n v="7001.77"/>
    <x v="0"/>
    <n v="8688.0307629535637"/>
    <n v="4859.22"/>
    <n v="141155.6832"/>
    <n v="52933.381200000003"/>
    <n v="1862.4791999999998"/>
    <n v="0.38328768814748038"/>
    <n v="0.375"/>
  </r>
  <r>
    <n v="722"/>
    <n v="139"/>
    <x v="72"/>
    <n v="3"/>
    <n v="5"/>
    <n v="2461.5259999999998"/>
    <x v="25"/>
    <x v="3"/>
    <n v="1554.6479999999999"/>
    <n v="2591.08"/>
    <x v="4"/>
    <n v="3358.5674624961944"/>
    <n v="2839.1733333333336"/>
    <n v="7384.5779999999995"/>
    <n v="2720.634"/>
    <n v="-377.64733333333379"/>
    <n v="-0.13301313058261105"/>
    <n v="0.36842105263157898"/>
  </r>
  <r>
    <n v="723"/>
    <n v="49"/>
    <x v="521"/>
    <n v="19"/>
    <n v="9"/>
    <n v="3063.3694"/>
    <x v="136"/>
    <x v="6"/>
    <n v="2019.8040000000001"/>
    <n v="3366.34"/>
    <x v="0"/>
    <n v="4072.6816534949844"/>
    <n v="1635.5425"/>
    <n v="58204.018600000003"/>
    <n v="19827.742599999998"/>
    <n v="1427.8269"/>
    <n v="0.87299895906098435"/>
    <n v="0.34065934065934061"/>
  </r>
  <r>
    <n v="724"/>
    <n v="102"/>
    <x v="518"/>
    <n v="24"/>
    <n v="7"/>
    <n v="3853.8641999999995"/>
    <x v="143"/>
    <x v="1"/>
    <n v="2486.3639999999996"/>
    <n v="4143.9399999999996"/>
    <x v="0"/>
    <n v="4276.7750438335916"/>
    <n v="2740.84"/>
    <n v="92492.740799999985"/>
    <n v="32820.004799999995"/>
    <n v="1113.0241999999994"/>
    <n v="0.40608871732753438"/>
    <n v="0.35483870967741937"/>
  </r>
  <r>
    <n v="725"/>
    <n v="60"/>
    <x v="276"/>
    <n v="4"/>
    <n v="4"/>
    <n v="2661.7056000000002"/>
    <x v="36"/>
    <x v="2"/>
    <n v="1663.566"/>
    <n v="2772.61"/>
    <x v="2"/>
    <n v="3084.412633526978"/>
    <n v="3047.7533333333336"/>
    <n v="10646.822400000001"/>
    <n v="3992.5584000000008"/>
    <n v="-386.04773333333333"/>
    <n v="-0.12666633126477864"/>
    <n v="0.37500000000000006"/>
  </r>
  <r>
    <n v="726"/>
    <n v="49"/>
    <x v="522"/>
    <n v="15"/>
    <n v="5"/>
    <n v="3198.0230000000001"/>
    <x v="136"/>
    <x v="6"/>
    <n v="2019.8040000000001"/>
    <n v="3366.34"/>
    <x v="0"/>
    <n v="4254.4395411070736"/>
    <n v="1635.5425"/>
    <n v="47970.345000000001"/>
    <n v="17673.285"/>
    <n v="1562.4805000000001"/>
    <n v="0.95532858363509365"/>
    <n v="0.36842105263157893"/>
  </r>
  <r>
    <n v="727"/>
    <n v="62"/>
    <x v="386"/>
    <n v="48"/>
    <n v="8"/>
    <n v="3181.3048000000003"/>
    <x v="79"/>
    <x v="7"/>
    <n v="2074.7640000000001"/>
    <n v="3457.94"/>
    <x v="0"/>
    <n v="4422.7884207238621"/>
    <n v="5560.3266666666668"/>
    <n v="152702.63040000002"/>
    <n v="53113.95840000001"/>
    <n v="-2379.0218666666665"/>
    <n v="-0.42785649284394556"/>
    <n v="0.34782608695652173"/>
  </r>
  <r>
    <n v="728"/>
    <n v="44"/>
    <x v="104"/>
    <n v="42"/>
    <n v="5"/>
    <n v="335.92"/>
    <x v="115"/>
    <x v="7"/>
    <n v="212.16"/>
    <n v="353.6"/>
    <x v="0"/>
    <n v="420.99996740093752"/>
    <n v="4064.8233333333333"/>
    <n v="14108.640000000001"/>
    <n v="5197.920000000001"/>
    <n v="-3728.9033333333332"/>
    <n v="-0.91735926202614793"/>
    <n v="0.36842105263157898"/>
  </r>
  <r>
    <n v="729"/>
    <n v="25"/>
    <x v="165"/>
    <n v="47"/>
    <n v="6"/>
    <n v="534.07979999999998"/>
    <x v="38"/>
    <x v="4"/>
    <n v="340.90199999999999"/>
    <n v="568.16999999999996"/>
    <x v="1"/>
    <n v="648.23920323138623"/>
    <n v="2024.2300000000002"/>
    <n v="25101.750599999999"/>
    <n v="9079.3565999999992"/>
    <n v="-1490.1502000000003"/>
    <n v="-0.73615656323639111"/>
    <n v="0.36170212765957444"/>
  </r>
  <r>
    <n v="730"/>
    <n v="130"/>
    <x v="523"/>
    <n v="15"/>
    <n v="7"/>
    <n v="2962.5056999999997"/>
    <x v="111"/>
    <x v="4"/>
    <n v="1911.2939999999999"/>
    <n v="3185.49"/>
    <x v="4"/>
    <n v="3324.9763578046718"/>
    <n v="3865.1374999999998"/>
    <n v="44437.585499999994"/>
    <n v="15768.175499999998"/>
    <n v="-902.63180000000011"/>
    <n v="-0.2335316143345483"/>
    <n v="0.35483870967741937"/>
  </r>
  <r>
    <n v="731"/>
    <n v="81"/>
    <x v="493"/>
    <n v="12"/>
    <n v="4"/>
    <n v="7452.8735999999999"/>
    <x v="147"/>
    <x v="0"/>
    <n v="4658.0459999999994"/>
    <n v="7763.41"/>
    <x v="2"/>
    <n v="8149.8920551136371"/>
    <n v="290.31399999999996"/>
    <n v="89434.483200000002"/>
    <n v="33537.931200000006"/>
    <n v="7162.5595999999996"/>
    <n v="24.671767810026388"/>
    <n v="0.37500000000000006"/>
  </r>
  <r>
    <n v="732"/>
    <n v="72"/>
    <x v="382"/>
    <n v="22"/>
    <n v="9"/>
    <n v="5279.2739999999994"/>
    <x v="65"/>
    <x v="5"/>
    <n v="3480.8399999999997"/>
    <n v="5801.4"/>
    <x v="3"/>
    <n v="5819.4991414085307"/>
    <n v="5210.5919999999996"/>
    <n v="116144.02799999999"/>
    <n v="39565.547999999995"/>
    <n v="68.681999999999789"/>
    <n v="1.3181227776037693E-2"/>
    <n v="0.34065934065934067"/>
  </r>
  <r>
    <n v="733"/>
    <n v="73"/>
    <x v="524"/>
    <n v="25"/>
    <n v="10"/>
    <n v="4082.0310000000004"/>
    <x v="83"/>
    <x v="1"/>
    <n v="2721.3539999999998"/>
    <n v="4535.59"/>
    <x v="1"/>
    <n v="5813.6935725347375"/>
    <n v="5380.9516666666668"/>
    <n v="102050.77500000001"/>
    <n v="34016.925000000017"/>
    <n v="-1298.9206666666664"/>
    <n v="-0.24139236832642053"/>
    <n v="0.33333333333333348"/>
  </r>
  <r>
    <n v="734"/>
    <n v="58"/>
    <x v="285"/>
    <n v="27"/>
    <n v="6"/>
    <n v="1070.2651999999998"/>
    <x v="103"/>
    <x v="7"/>
    <n v="683.14799999999991"/>
    <n v="1138.58"/>
    <x v="2"/>
    <n v="1234.5456713227345"/>
    <n v="1439.8525"/>
    <n v="28897.160399999993"/>
    <n v="10452.164399999998"/>
    <n v="-369.58730000000014"/>
    <n v="-0.25668413952123581"/>
    <n v="0.36170212765957449"/>
  </r>
  <r>
    <n v="735"/>
    <n v="82"/>
    <x v="35"/>
    <n v="48"/>
    <n v="3"/>
    <n v="1233.0834"/>
    <x v="7"/>
    <x v="4"/>
    <n v="762.73199999999997"/>
    <n v="1271.22"/>
    <x v="2"/>
    <n v="1550.9713290444424"/>
    <n v="2617.7080000000001"/>
    <n v="59188.003199999999"/>
    <n v="22576.867200000001"/>
    <n v="-1384.6246000000001"/>
    <n v="-0.52894539803522778"/>
    <n v="0.3814432989690722"/>
  </r>
  <r>
    <n v="736"/>
    <n v="100"/>
    <x v="525"/>
    <n v="17"/>
    <n v="8"/>
    <n v="3757.1512000000002"/>
    <x v="21"/>
    <x v="3"/>
    <n v="2450.3159999999998"/>
    <n v="4083.86"/>
    <x v="3"/>
    <n v="4451.52552424433"/>
    <n v="3659.5875000000001"/>
    <n v="63871.570400000004"/>
    <n v="22216.198400000008"/>
    <n v="97.563700000000154"/>
    <n v="2.6659753319192438E-2"/>
    <n v="0.34782608695652184"/>
  </r>
  <r>
    <n v="737"/>
    <n v="140"/>
    <x v="526"/>
    <n v="13"/>
    <n v="5"/>
    <n v="849.072"/>
    <x v="92"/>
    <x v="1"/>
    <n v="536.25599999999997"/>
    <n v="893.76"/>
    <x v="3"/>
    <n v="1095.6274075550746"/>
    <n v="4472.5149999999994"/>
    <n v="11037.936"/>
    <n v="4066.6080000000002"/>
    <n v="-3623.4429999999993"/>
    <n v="-0.81015781948187982"/>
    <n v="0.36842105263157898"/>
  </r>
  <r>
    <n v="738"/>
    <n v="97"/>
    <x v="527"/>
    <n v="2"/>
    <n v="4"/>
    <n v="884.7743999999999"/>
    <x v="73"/>
    <x v="0"/>
    <n v="552.98399999999992"/>
    <n v="921.64"/>
    <x v="3"/>
    <n v="955.24505656986685"/>
    <n v="2464.87"/>
    <n v="1769.5487999999998"/>
    <n v="663.58079999999995"/>
    <n v="-1580.0956000000001"/>
    <n v="-0.64104622150458246"/>
    <n v="0.375"/>
  </r>
  <r>
    <n v="739"/>
    <n v="54"/>
    <x v="343"/>
    <n v="33"/>
    <n v="8"/>
    <n v="855.18600000000004"/>
    <x v="50"/>
    <x v="2"/>
    <n v="557.7299999999999"/>
    <n v="929.55"/>
    <x v="3"/>
    <n v="972.38422740692988"/>
    <n v="2958.2974999999997"/>
    <n v="28221.138000000003"/>
    <n v="9816.0480000000043"/>
    <n v="-2103.1114999999995"/>
    <n v="-0.71091954071556351"/>
    <n v="0.34782608695652184"/>
  </r>
  <r>
    <n v="740"/>
    <n v="78"/>
    <x v="528"/>
    <n v="19"/>
    <n v="2"/>
    <n v="848.42520000000002"/>
    <x v="26"/>
    <x v="2"/>
    <n v="519.44399999999996"/>
    <n v="865.74"/>
    <x v="0"/>
    <n v="1023.1517910893868"/>
    <n v="398.392"/>
    <n v="16120.078800000001"/>
    <n v="6250.6428000000014"/>
    <n v="450.03320000000002"/>
    <n v="1.1296240888371254"/>
    <n v="0.38775510204081637"/>
  </r>
  <r>
    <n v="741"/>
    <n v="135"/>
    <x v="86"/>
    <n v="30"/>
    <n v="7"/>
    <n v="7235.1302999999998"/>
    <x v="140"/>
    <x v="0"/>
    <n v="4667.826"/>
    <n v="7779.71"/>
    <x v="4"/>
    <n v="8819.99650146567"/>
    <n v="4172.7833333333338"/>
    <n v="217053.90899999999"/>
    <n v="77019.128999999986"/>
    <n v="3062.346966666666"/>
    <n v="0.73388592745849068"/>
    <n v="0.35483870967741932"/>
  </r>
  <r>
    <n v="742"/>
    <n v="18"/>
    <x v="529"/>
    <n v="17"/>
    <n v="9"/>
    <n v="7676.714500000001"/>
    <x v="46"/>
    <x v="7"/>
    <n v="5061.5700000000006"/>
    <n v="8435.9500000000007"/>
    <x v="3"/>
    <n v="10325.956352636169"/>
    <n v="1552.9240000000002"/>
    <n v="130504.14650000002"/>
    <n v="44457.456500000008"/>
    <n v="6123.790500000001"/>
    <n v="3.9433935595045218"/>
    <n v="0.34065934065934067"/>
  </r>
  <r>
    <n v="743"/>
    <n v="43"/>
    <x v="530"/>
    <n v="40"/>
    <n v="5"/>
    <n v="3063.7309999999998"/>
    <x v="119"/>
    <x v="3"/>
    <n v="1934.9879999999998"/>
    <n v="3224.98"/>
    <x v="2"/>
    <n v="3799.2786886835011"/>
    <n v="445.53000000000003"/>
    <n v="122549.23999999999"/>
    <n v="45149.72"/>
    <n v="2618.2009999999996"/>
    <n v="5.8765986577783753"/>
    <n v="0.36842105263157898"/>
  </r>
  <r>
    <n v="744"/>
    <n v="78"/>
    <x v="531"/>
    <n v="34"/>
    <n v="10"/>
    <n v="779.16600000000005"/>
    <x v="26"/>
    <x v="2"/>
    <n v="519.44399999999996"/>
    <n v="865.74"/>
    <x v="0"/>
    <n v="1110.1156632993047"/>
    <n v="398.392"/>
    <n v="26491.644"/>
    <n v="8830.5480000000025"/>
    <n v="380.77400000000006"/>
    <n v="0.95577722444225799"/>
    <n v="0.33333333333333343"/>
  </r>
  <r>
    <n v="745"/>
    <n v="41"/>
    <x v="403"/>
    <n v="20"/>
    <n v="7"/>
    <n v="2865.7670999999996"/>
    <x v="72"/>
    <x v="7"/>
    <n v="1848.8819999999998"/>
    <n v="3081.47"/>
    <x v="1"/>
    <n v="3934.3135933429899"/>
    <n v="1589.1249999999998"/>
    <n v="57315.34199999999"/>
    <n v="20337.701999999994"/>
    <n v="1276.6420999999998"/>
    <n v="0.80336166129159126"/>
    <n v="0.35483870967741932"/>
  </r>
  <r>
    <n v="746"/>
    <n v="59"/>
    <x v="532"/>
    <n v="5"/>
    <n v="7"/>
    <n v="3859.9742999999999"/>
    <x v="43"/>
    <x v="5"/>
    <n v="2490.306"/>
    <n v="4150.51"/>
    <x v="3"/>
    <n v="4786.6143871350905"/>
    <n v="6105.9674999999997"/>
    <n v="19299.871500000001"/>
    <n v="6848.3414999999986"/>
    <n v="-2245.9931999999999"/>
    <n v="-0.36783576067183454"/>
    <n v="0.35483870967741926"/>
  </r>
  <r>
    <n v="747"/>
    <n v="126"/>
    <x v="533"/>
    <n v="14"/>
    <n v="4"/>
    <n v="972.70079999999996"/>
    <x v="59"/>
    <x v="4"/>
    <n v="607.93799999999999"/>
    <n v="1013.23"/>
    <x v="4"/>
    <n v="1095.9504059533529"/>
    <n v="7593.0025000000005"/>
    <n v="13617.8112"/>
    <n v="5106.6791999999996"/>
    <n v="-6620.3017000000009"/>
    <n v="-0.87189510341923371"/>
    <n v="0.37499999999999994"/>
  </r>
  <r>
    <n v="748"/>
    <n v="35"/>
    <x v="534"/>
    <n v="16"/>
    <n v="7"/>
    <n v="125.72669999999999"/>
    <x v="104"/>
    <x v="3"/>
    <n v="81.11399999999999"/>
    <n v="135.19"/>
    <x v="3"/>
    <n v="153.5234315101296"/>
    <n v="2089.5899999999997"/>
    <n v="2011.6271999999999"/>
    <n v="713.80320000000006"/>
    <n v="-1963.8632999999998"/>
    <n v="-0.93983188089529524"/>
    <n v="0.35483870967741943"/>
  </r>
  <r>
    <n v="749"/>
    <n v="12"/>
    <x v="85"/>
    <n v="39"/>
    <n v="9"/>
    <n v="1469.8775000000001"/>
    <x v="122"/>
    <x v="4"/>
    <n v="969.15"/>
    <n v="1615.25"/>
    <x v="3"/>
    <n v="1923.4029370285027"/>
    <n v="4365.21"/>
    <n v="57325.222500000003"/>
    <n v="19528.372500000001"/>
    <n v="-2895.3325"/>
    <n v="-0.66327450454846382"/>
    <n v="0.34065934065934067"/>
  </r>
  <r>
    <n v="750"/>
    <n v="60"/>
    <x v="64"/>
    <n v="41"/>
    <n v="10"/>
    <n v="2495.3490000000002"/>
    <x v="36"/>
    <x v="2"/>
    <n v="1663.566"/>
    <n v="2772.61"/>
    <x v="2"/>
    <n v="3145.8174581806807"/>
    <n v="3047.7533333333336"/>
    <n v="102309.30900000001"/>
    <n v="34103.103000000003"/>
    <n v="-552.4043333333334"/>
    <n v="-0.18124968556072998"/>
    <n v="0.33333333333333331"/>
  </r>
  <r>
    <n v="751"/>
    <n v="97"/>
    <x v="390"/>
    <n v="15"/>
    <n v="9"/>
    <n v="838.69240000000002"/>
    <x v="73"/>
    <x v="0"/>
    <n v="552.98399999999992"/>
    <n v="921.64"/>
    <x v="3"/>
    <n v="1109.8276813382556"/>
    <n v="2464.87"/>
    <n v="12580.386"/>
    <n v="4285.6260000000011"/>
    <n v="-1626.1776"/>
    <n v="-0.65974173080121878"/>
    <n v="0.34065934065934073"/>
  </r>
  <r>
    <n v="752"/>
    <n v="49"/>
    <x v="286"/>
    <n v="23"/>
    <n v="7"/>
    <n v="3130.6961999999999"/>
    <x v="136"/>
    <x v="6"/>
    <n v="2019.8040000000001"/>
    <n v="3366.34"/>
    <x v="0"/>
    <n v="4203.7159204609034"/>
    <n v="1635.5425"/>
    <n v="72006.012600000002"/>
    <n v="25550.520599999996"/>
    <n v="1495.1536999999998"/>
    <n v="0.91416377134803883"/>
    <n v="0.35483870967741932"/>
  </r>
  <r>
    <n v="753"/>
    <n v="84"/>
    <x v="457"/>
    <n v="5"/>
    <n v="4"/>
    <n v="7449.7536"/>
    <x v="80"/>
    <x v="6"/>
    <n v="4656.0959999999995"/>
    <n v="7760.16"/>
    <x v="1"/>
    <n v="10018.231184798364"/>
    <n v="2588.9250000000002"/>
    <n v="37248.767999999996"/>
    <n v="13968.288000000002"/>
    <n v="4860.8285999999998"/>
    <n v="1.877547090008401"/>
    <n v="0.37500000000000011"/>
  </r>
  <r>
    <n v="754"/>
    <n v="12"/>
    <x v="535"/>
    <n v="48"/>
    <n v="4"/>
    <n v="1550.6399999999999"/>
    <x v="122"/>
    <x v="4"/>
    <n v="969.15"/>
    <n v="1615.25"/>
    <x v="3"/>
    <n v="1880.8604985715042"/>
    <n v="4365.21"/>
    <n v="74430.720000000001"/>
    <n v="27911.519999999997"/>
    <n v="-2814.57"/>
    <n v="-0.64477310369947838"/>
    <n v="0.37499999999999994"/>
  </r>
  <r>
    <n v="755"/>
    <n v="47"/>
    <x v="447"/>
    <n v="25"/>
    <n v="9"/>
    <n v="3106.3578000000002"/>
    <x v="112"/>
    <x v="2"/>
    <n v="2048.1479999999997"/>
    <n v="3413.58"/>
    <x v="4"/>
    <n v="3668.5562295698742"/>
    <n v="2051.0440000000003"/>
    <n v="77658.945000000007"/>
    <n v="26455.245000000014"/>
    <n v="1055.3137999999999"/>
    <n v="0.51452518814808446"/>
    <n v="0.34065934065934078"/>
  </r>
  <r>
    <n v="756"/>
    <n v="112"/>
    <x v="536"/>
    <n v="6"/>
    <n v="7"/>
    <n v="2543.0012999999999"/>
    <x v="19"/>
    <x v="6"/>
    <n v="1640.646"/>
    <n v="2734.41"/>
    <x v="1"/>
    <n v="3074.8147798440086"/>
    <n v="7409.5025000000005"/>
    <n v="15258.007799999999"/>
    <n v="5414.1317999999992"/>
    <n v="-4866.5012000000006"/>
    <n v="-0.65679189662193926"/>
    <n v="0.35483870967741932"/>
  </r>
  <r>
    <n v="757"/>
    <n v="87"/>
    <x v="436"/>
    <n v="33"/>
    <n v="10"/>
    <n v="3684.7080000000001"/>
    <x v="15"/>
    <x v="5"/>
    <n v="2456.4719999999998"/>
    <n v="4094.12"/>
    <x v="2"/>
    <n v="4650.0180806354456"/>
    <n v="493.79250000000002"/>
    <n v="121595.364"/>
    <n v="40531.788000000008"/>
    <n v="3190.9155000000001"/>
    <n v="6.4620574431567919"/>
    <n v="0.33333333333333337"/>
  </r>
  <r>
    <n v="758"/>
    <n v="61"/>
    <x v="445"/>
    <n v="9"/>
    <n v="8"/>
    <n v="2246.8607999999999"/>
    <x v="146"/>
    <x v="7"/>
    <n v="1465.3439999999998"/>
    <n v="2442.2399999999998"/>
    <x v="4"/>
    <n v="2648.3965535890679"/>
    <n v="411.75600000000003"/>
    <n v="20221.747199999998"/>
    <n v="7033.6512000000012"/>
    <n v="1835.1047999999998"/>
    <n v="4.4567773147203678"/>
    <n v="0.34782608695652184"/>
  </r>
  <r>
    <n v="759"/>
    <n v="18"/>
    <x v="29"/>
    <n v="43"/>
    <n v="2"/>
    <n v="8267.2309999999998"/>
    <x v="46"/>
    <x v="7"/>
    <n v="5061.5700000000006"/>
    <n v="8435.9500000000007"/>
    <x v="3"/>
    <n v="9463.9007704780233"/>
    <n v="1552.9240000000002"/>
    <n v="355490.93299999996"/>
    <n v="137843.42299999995"/>
    <n v="6714.3069999999998"/>
    <n v="4.3236546025433302"/>
    <n v="0.38775510204081626"/>
  </r>
  <r>
    <n v="760"/>
    <n v="139"/>
    <x v="537"/>
    <n v="50"/>
    <n v="2"/>
    <n v="2539.2583999999997"/>
    <x v="25"/>
    <x v="3"/>
    <n v="1554.6479999999999"/>
    <n v="2591.08"/>
    <x v="4"/>
    <n v="3038.2307582838093"/>
    <n v="2839.1733333333336"/>
    <n v="126962.91999999998"/>
    <n v="49230.51999999999"/>
    <n v="-299.91493333333392"/>
    <n v="-0.10563459786416723"/>
    <n v="0.38775510204081631"/>
  </r>
  <r>
    <n v="761"/>
    <n v="9"/>
    <x v="90"/>
    <n v="28"/>
    <n v="9"/>
    <n v="2606.1035000000002"/>
    <x v="20"/>
    <x v="0"/>
    <n v="1718.31"/>
    <n v="2863.85"/>
    <x v="4"/>
    <n v="2996.3606424966447"/>
    <n v="6325.1699999999992"/>
    <n v="72970.898000000001"/>
    <n v="24858.218000000008"/>
    <n v="-3719.066499999999"/>
    <n v="-0.58797890017185306"/>
    <n v="0.34065934065934078"/>
  </r>
  <r>
    <n v="762"/>
    <n v="115"/>
    <x v="538"/>
    <n v="44"/>
    <n v="5"/>
    <n v="4456.7159999999994"/>
    <x v="71"/>
    <x v="2"/>
    <n v="2814.7679999999996"/>
    <n v="4691.28"/>
    <x v="2"/>
    <n v="5872.3791505606641"/>
    <n v="4456.5325000000003"/>
    <n v="196095.50399999999"/>
    <n v="72245.712"/>
    <n v="0.18349999999918509"/>
    <n v="4.1175510332121463E-5"/>
    <n v="0.36842105263157898"/>
  </r>
  <r>
    <n v="763"/>
    <n v="78"/>
    <x v="539"/>
    <n v="1"/>
    <n v="2"/>
    <n v="848.42520000000002"/>
    <x v="26"/>
    <x v="2"/>
    <n v="519.44399999999996"/>
    <n v="865.74"/>
    <x v="0"/>
    <n v="1033.8093262473765"/>
    <n v="398.392"/>
    <n v="848.42520000000002"/>
    <n v="328.98120000000006"/>
    <n v="450.03320000000002"/>
    <n v="1.1296240888371254"/>
    <n v="0.38775510204081637"/>
  </r>
  <r>
    <n v="764"/>
    <n v="15"/>
    <x v="230"/>
    <n v="27"/>
    <n v="6"/>
    <n v="4550.9911999999995"/>
    <x v="27"/>
    <x v="4"/>
    <n v="2904.8879999999995"/>
    <n v="4841.4799999999996"/>
    <x v="0"/>
    <n v="5373.4467486932635"/>
    <n v="5242.3433333333332"/>
    <n v="122876.76239999999"/>
    <n v="44444.786399999997"/>
    <n v="-691.35213333333377"/>
    <n v="-0.13187845384665772"/>
    <n v="0.36170212765957449"/>
  </r>
  <r>
    <n v="765"/>
    <n v="22"/>
    <x v="540"/>
    <n v="3"/>
    <n v="5"/>
    <n v="1552.7749999999999"/>
    <x v="6"/>
    <x v="3"/>
    <n v="980.69999999999993"/>
    <n v="1634.5"/>
    <x v="1"/>
    <n v="1756.6336088701894"/>
    <n v="3187.4450000000002"/>
    <n v="4658.3249999999998"/>
    <n v="1716.2249999999999"/>
    <n v="-1634.6700000000003"/>
    <n v="-0.51284649617483602"/>
    <n v="0.36842105263157893"/>
  </r>
  <r>
    <n v="766"/>
    <n v="85"/>
    <x v="424"/>
    <n v="32"/>
    <n v="4"/>
    <n v="3602.9088000000002"/>
    <x v="42"/>
    <x v="3"/>
    <n v="2251.8180000000002"/>
    <n v="3753.03"/>
    <x v="1"/>
    <n v="4276.9670636542724"/>
    <n v="3340.25"/>
    <n v="115293.0816"/>
    <n v="43234.905599999998"/>
    <n v="262.65880000000016"/>
    <n v="7.8634473467554866E-2"/>
    <n v="0.37499999999999994"/>
  </r>
  <r>
    <n v="767"/>
    <n v="87"/>
    <x v="541"/>
    <n v="19"/>
    <n v="5"/>
    <n v="3889.4139999999998"/>
    <x v="15"/>
    <x v="5"/>
    <n v="2456.4719999999998"/>
    <n v="4094.12"/>
    <x v="2"/>
    <n v="4095.5000662558614"/>
    <n v="493.79250000000002"/>
    <n v="73898.865999999995"/>
    <n v="27225.898000000001"/>
    <n v="3395.6214999999997"/>
    <n v="6.8766161899988347"/>
    <n v="0.36842105263157898"/>
  </r>
  <r>
    <n v="768"/>
    <n v="52"/>
    <x v="500"/>
    <n v="32"/>
    <n v="3"/>
    <n v="4325.4045999999998"/>
    <x v="75"/>
    <x v="2"/>
    <n v="2675.5080000000003"/>
    <n v="4459.18"/>
    <x v="3"/>
    <n v="5017.4326501946898"/>
    <n v="6258.09"/>
    <n v="138412.9472"/>
    <n v="52796.691199999987"/>
    <n v="-1932.6854000000003"/>
    <n v="-0.30882991455859538"/>
    <n v="0.38144329896907209"/>
  </r>
  <r>
    <n v="769"/>
    <n v="22"/>
    <x v="142"/>
    <n v="25"/>
    <n v="3"/>
    <n v="1585.4649999999999"/>
    <x v="6"/>
    <x v="3"/>
    <n v="980.69999999999993"/>
    <n v="1634.5"/>
    <x v="1"/>
    <n v="1951.0693899497237"/>
    <n v="3187.4450000000002"/>
    <n v="39636.625"/>
    <n v="15119.125"/>
    <n v="-1601.9800000000002"/>
    <n v="-0.50259063293641149"/>
    <n v="0.38144329896907214"/>
  </r>
  <r>
    <n v="770"/>
    <n v="133"/>
    <x v="542"/>
    <n v="16"/>
    <n v="4"/>
    <n v="6340.7039999999997"/>
    <x v="40"/>
    <x v="1"/>
    <n v="3962.9399999999996"/>
    <n v="6604.9"/>
    <x v="0"/>
    <n v="7414.2505178236397"/>
    <n v="4666.1933333333336"/>
    <n v="101451.264"/>
    <n v="38044.224000000002"/>
    <n v="1674.5106666666661"/>
    <n v="0.3588601129543138"/>
    <n v="0.37500000000000006"/>
  </r>
  <r>
    <n v="771"/>
    <n v="42"/>
    <x v="543"/>
    <n v="34"/>
    <n v="8"/>
    <n v="393.39200000000005"/>
    <x v="132"/>
    <x v="1"/>
    <n v="256.56"/>
    <n v="427.6"/>
    <x v="2"/>
    <n v="449.37714302831074"/>
    <n v="513.45666666666671"/>
    <n v="13375.328000000001"/>
    <n v="4652.2880000000014"/>
    <n v="-120.06466666666665"/>
    <n v="-0.23383602640923928"/>
    <n v="0.34782608695652178"/>
  </r>
  <r>
    <n v="772"/>
    <n v="52"/>
    <x v="435"/>
    <n v="17"/>
    <n v="8"/>
    <n v="4102.4456"/>
    <x v="75"/>
    <x v="2"/>
    <n v="2675.5080000000003"/>
    <n v="4459.18"/>
    <x v="3"/>
    <n v="5457.0999691930028"/>
    <n v="6258.09"/>
    <n v="69741.575200000007"/>
    <n v="24257.939199999997"/>
    <n v="-2155.6444000000001"/>
    <n v="-0.34445723855042037"/>
    <n v="0.34782608695652167"/>
  </r>
  <r>
    <n v="773"/>
    <n v="139"/>
    <x v="544"/>
    <n v="36"/>
    <n v="8"/>
    <n v="2383.7936"/>
    <x v="25"/>
    <x v="3"/>
    <n v="1554.6479999999999"/>
    <n v="2591.08"/>
    <x v="4"/>
    <n v="2694.2355681718591"/>
    <n v="2839.1733333333336"/>
    <n v="85816.569600000003"/>
    <n v="29849.241600000001"/>
    <n v="-455.37973333333366"/>
    <n v="-0.16039166330105487"/>
    <n v="0.34782608695652173"/>
  </r>
  <r>
    <n v="774"/>
    <n v="117"/>
    <x v="30"/>
    <n v="35"/>
    <n v="2"/>
    <n v="2084.6363999999999"/>
    <x v="1"/>
    <x v="0"/>
    <n v="1276.3079999999998"/>
    <n v="2127.1799999999998"/>
    <x v="1"/>
    <n v="2485.2093675360579"/>
    <n v="892.9766666666668"/>
    <n v="72962.27399999999"/>
    <n v="28291.494000000002"/>
    <n v="1191.659733333333"/>
    <n v="1.3344802589093401"/>
    <n v="0.38775510204081642"/>
  </r>
  <r>
    <n v="775"/>
    <n v="7"/>
    <x v="185"/>
    <n v="16"/>
    <n v="3"/>
    <n v="8113.8559999999989"/>
    <x v="24"/>
    <x v="3"/>
    <n v="5018.8799999999992"/>
    <n v="8364.7999999999993"/>
    <x v="1"/>
    <n v="10734.815850337869"/>
    <n v="1679.8333333333333"/>
    <n v="129821.69599999998"/>
    <n v="49519.615999999995"/>
    <n v="6434.0226666666658"/>
    <n v="3.8301553725568009"/>
    <n v="0.3814432989690722"/>
  </r>
  <r>
    <n v="776"/>
    <n v="43"/>
    <x v="39"/>
    <n v="43"/>
    <n v="9"/>
    <n v="2934.7318"/>
    <x v="119"/>
    <x v="3"/>
    <n v="1934.9879999999998"/>
    <n v="3224.98"/>
    <x v="2"/>
    <n v="3394.9764119472179"/>
    <n v="445.53000000000003"/>
    <n v="126193.46739999999"/>
    <n v="42988.983400000012"/>
    <n v="2489.2017999999998"/>
    <n v="5.5870576616613912"/>
    <n v="0.34065934065934078"/>
  </r>
  <r>
    <n v="777"/>
    <n v="114"/>
    <x v="481"/>
    <n v="42"/>
    <n v="8"/>
    <n v="7032.8572000000004"/>
    <x v="99"/>
    <x v="5"/>
    <n v="4586.6459999999997"/>
    <n v="7644.41"/>
    <x v="2"/>
    <n v="9290.2911564089172"/>
    <n v="6494.3074999999999"/>
    <n v="295380.0024"/>
    <n v="102740.87040000003"/>
    <n v="538.54970000000048"/>
    <n v="8.2926424410916869E-2"/>
    <n v="0.34782608695652184"/>
  </r>
  <r>
    <n v="778"/>
    <n v="16"/>
    <x v="545"/>
    <n v="33"/>
    <n v="9"/>
    <n v="6144.1380000000008"/>
    <x v="142"/>
    <x v="2"/>
    <n v="4051.08"/>
    <n v="6751.8"/>
    <x v="0"/>
    <n v="8265.9790615726779"/>
    <n v="6827.7939999999999"/>
    <n v="202756.55400000003"/>
    <n v="69070.914000000033"/>
    <n v="-683.65599999999904"/>
    <n v="-0.10012838700171667"/>
    <n v="0.34065934065934078"/>
  </r>
  <r>
    <n v="779"/>
    <n v="115"/>
    <x v="546"/>
    <n v="21"/>
    <n v="6"/>
    <n v="4409.8031999999994"/>
    <x v="71"/>
    <x v="2"/>
    <n v="2814.7679999999996"/>
    <n v="4691.28"/>
    <x v="2"/>
    <n v="5288.6863569387597"/>
    <n v="4456.5325000000003"/>
    <n v="92605.867199999993"/>
    <n v="33495.739199999996"/>
    <n v="-46.729300000000876"/>
    <n v="-1.0485573705566126E-2"/>
    <n v="0.36170212765957444"/>
  </r>
  <r>
    <n v="780"/>
    <n v="120"/>
    <x v="174"/>
    <n v="37"/>
    <n v="7"/>
    <n v="1838.2379999999998"/>
    <x v="125"/>
    <x v="0"/>
    <n v="1185.9599999999998"/>
    <n v="1976.6"/>
    <x v="2"/>
    <n v="1981.6743109473059"/>
    <n v="1688.8574999999998"/>
    <n v="68014.805999999997"/>
    <n v="24134.286"/>
    <n v="149.38049999999998"/>
    <n v="8.8450624164560954E-2"/>
    <n v="0.35483870967741937"/>
  </r>
  <r>
    <n v="781"/>
    <n v="91"/>
    <x v="338"/>
    <n v="22"/>
    <n v="2"/>
    <n v="3099.74"/>
    <x v="35"/>
    <x v="3"/>
    <n v="1897.8"/>
    <n v="3163"/>
    <x v="2"/>
    <n v="3299.7157844319358"/>
    <n v="4782.2433333333329"/>
    <n v="68194.28"/>
    <n v="26442.679999999997"/>
    <n v="-1682.5033333333331"/>
    <n v="-0.35182302866228055"/>
    <n v="0.38775510204081626"/>
  </r>
  <r>
    <n v="782"/>
    <n v="16"/>
    <x v="474"/>
    <n v="19"/>
    <n v="8"/>
    <n v="6211.6560000000009"/>
    <x v="142"/>
    <x v="2"/>
    <n v="4051.08"/>
    <n v="6751.8"/>
    <x v="0"/>
    <n v="8363.2202297279819"/>
    <n v="6827.7939999999999"/>
    <n v="118021.46400000002"/>
    <n v="41050.944000000018"/>
    <n v="-616.13799999999901"/>
    <n v="-9.023968795777948E-2"/>
    <n v="0.34782608695652184"/>
  </r>
  <r>
    <n v="783"/>
    <n v="135"/>
    <x v="123"/>
    <n v="48"/>
    <n v="6"/>
    <n v="7312.9273999999996"/>
    <x v="140"/>
    <x v="0"/>
    <n v="4667.826"/>
    <n v="7779.71"/>
    <x v="4"/>
    <n v="9587.6407846672337"/>
    <n v="4172.7833333333338"/>
    <n v="351020.51519999997"/>
    <n v="126964.86719999998"/>
    <n v="3140.1440666666658"/>
    <n v="0.75252986216234541"/>
    <n v="0.36170212765957444"/>
  </r>
  <r>
    <n v="784"/>
    <n v="28"/>
    <x v="547"/>
    <n v="2"/>
    <n v="3"/>
    <n v="5545.1214"/>
    <x v="70"/>
    <x v="0"/>
    <n v="3429.9719999999998"/>
    <n v="5716.62"/>
    <x v="4"/>
    <n v="6803.658921132147"/>
    <n v="3542.9559999999997"/>
    <n v="11090.2428"/>
    <n v="4230.2988000000005"/>
    <n v="2002.1654000000003"/>
    <n v="0.56511156220963521"/>
    <n v="0.3814432989690722"/>
  </r>
  <r>
    <n v="785"/>
    <n v="120"/>
    <x v="548"/>
    <n v="47"/>
    <n v="8"/>
    <n v="1818.472"/>
    <x v="125"/>
    <x v="0"/>
    <n v="1185.9599999999998"/>
    <n v="1976.6"/>
    <x v="2"/>
    <n v="2078.4424061491691"/>
    <n v="1688.8574999999998"/>
    <n v="85468.183999999994"/>
    <n v="29728.064000000009"/>
    <n v="129.61450000000013"/>
    <n v="7.6746854012253937E-2"/>
    <n v="0.3478260869565219"/>
  </r>
  <r>
    <n v="786"/>
    <n v="92"/>
    <x v="213"/>
    <n v="13"/>
    <n v="4"/>
    <n v="3434.8991999999998"/>
    <x v="88"/>
    <x v="1"/>
    <n v="2146.8119999999999"/>
    <n v="3578.02"/>
    <x v="4"/>
    <n v="3943.7143659506992"/>
    <n v="5387.83"/>
    <n v="44653.689599999998"/>
    <n v="16745.133600000001"/>
    <n v="-1952.9308000000001"/>
    <n v="-0.36247075353157027"/>
    <n v="0.37500000000000006"/>
  </r>
  <r>
    <n v="787"/>
    <n v="76"/>
    <x v="549"/>
    <n v="26"/>
    <n v="6"/>
    <n v="2881.6358"/>
    <x v="63"/>
    <x v="5"/>
    <n v="1839.3420000000001"/>
    <n v="3065.57"/>
    <x v="1"/>
    <n v="3897.9855575670085"/>
    <n v="831.92600000000004"/>
    <n v="74922.530800000008"/>
    <n v="27099.638799999997"/>
    <n v="2049.7098000000001"/>
    <n v="2.4638126467979125"/>
    <n v="0.36170212765957438"/>
  </r>
  <r>
    <n v="788"/>
    <n v="64"/>
    <x v="550"/>
    <n v="1"/>
    <n v="2"/>
    <n v="3136"/>
    <x v="31"/>
    <x v="2"/>
    <n v="1920"/>
    <n v="3200"/>
    <x v="2"/>
    <n v="3315.4019930024228"/>
    <n v="3782.0099999999998"/>
    <n v="3136"/>
    <n v="1216"/>
    <n v="-646.00999999999976"/>
    <n v="-0.17081128817745056"/>
    <n v="0.38775510204081631"/>
  </r>
  <r>
    <n v="789"/>
    <n v="12"/>
    <x v="164"/>
    <n v="7"/>
    <n v="4"/>
    <n v="1550.6399999999999"/>
    <x v="122"/>
    <x v="4"/>
    <n v="969.15"/>
    <n v="1615.25"/>
    <x v="3"/>
    <n v="2014.8360334642682"/>
    <n v="4365.21"/>
    <n v="10854.48"/>
    <n v="4070.4299999999994"/>
    <n v="-2814.57"/>
    <n v="-0.64477310369947838"/>
    <n v="0.37499999999999994"/>
  </r>
  <r>
    <n v="790"/>
    <n v="78"/>
    <x v="551"/>
    <n v="46"/>
    <n v="8"/>
    <n v="796.48080000000004"/>
    <x v="26"/>
    <x v="2"/>
    <n v="519.44399999999996"/>
    <n v="865.74"/>
    <x v="0"/>
    <n v="952.99675524738143"/>
    <n v="398.392"/>
    <n v="36638.116800000003"/>
    <n v="12743.692800000004"/>
    <n v="398.08880000000005"/>
    <n v="0.99923894054097484"/>
    <n v="0.34782608695652184"/>
  </r>
  <r>
    <n v="791"/>
    <n v="38"/>
    <x v="552"/>
    <n v="4"/>
    <n v="10"/>
    <n v="5935.9409999999998"/>
    <x v="126"/>
    <x v="3"/>
    <n v="3957.2939999999999"/>
    <n v="6595.49"/>
    <x v="4"/>
    <n v="6712.1489409621145"/>
    <n v="517.86"/>
    <n v="23743.763999999999"/>
    <n v="7914.5879999999997"/>
    <n v="5418.0810000000001"/>
    <n v="10.462443517553007"/>
    <n v="0.33333333333333331"/>
  </r>
  <r>
    <n v="792"/>
    <n v="24"/>
    <x v="553"/>
    <n v="25"/>
    <n v="3"/>
    <n v="3876.6243999999997"/>
    <x v="32"/>
    <x v="7"/>
    <n v="2397.9119999999998"/>
    <n v="3996.52"/>
    <x v="0"/>
    <n v="4348.9372478114074"/>
    <n v="3028.7733333333331"/>
    <n v="96915.609999999986"/>
    <n v="36967.81"/>
    <n v="847.85106666666661"/>
    <n v="0.27993216175525404"/>
    <n v="0.3814432989690722"/>
  </r>
  <r>
    <n v="793"/>
    <n v="65"/>
    <x v="554"/>
    <n v="41"/>
    <n v="4"/>
    <n v="4330.9055999999991"/>
    <x v="90"/>
    <x v="2"/>
    <n v="2706.8159999999998"/>
    <n v="4511.3599999999997"/>
    <x v="1"/>
    <n v="4577.5286031639871"/>
    <n v="1786.8475000000001"/>
    <n v="177567.12959999996"/>
    <n v="66587.67359999998"/>
    <n v="2544.0580999999993"/>
    <n v="1.423769012184867"/>
    <n v="0.375"/>
  </r>
  <r>
    <n v="794"/>
    <n v="48"/>
    <x v="101"/>
    <n v="29"/>
    <n v="8"/>
    <n v="3393.2084"/>
    <x v="3"/>
    <x v="0"/>
    <n v="2212.962"/>
    <n v="3688.27"/>
    <x v="0"/>
    <n v="4257.8287648030127"/>
    <n v="1050.3625000000002"/>
    <n v="98403.043600000005"/>
    <n v="34227.145600000003"/>
    <n v="2342.8458999999998"/>
    <n v="2.2305117518951785"/>
    <n v="0.34782608695652178"/>
  </r>
  <r>
    <n v="795"/>
    <n v="59"/>
    <x v="169"/>
    <n v="17"/>
    <n v="7"/>
    <n v="3859.9742999999999"/>
    <x v="43"/>
    <x v="5"/>
    <n v="2490.306"/>
    <n v="4150.51"/>
    <x v="3"/>
    <n v="4254.0682313348761"/>
    <n v="6105.9674999999997"/>
    <n v="65619.563099999999"/>
    <n v="23284.361099999998"/>
    <n v="-2245.9931999999999"/>
    <n v="-0.36783576067183454"/>
    <n v="0.35483870967741932"/>
  </r>
  <r>
    <n v="796"/>
    <n v="123"/>
    <x v="34"/>
    <n v="44"/>
    <n v="9"/>
    <n v="4211.1342000000004"/>
    <x v="148"/>
    <x v="3"/>
    <n v="2776.5719999999997"/>
    <n v="4627.62"/>
    <x v="2"/>
    <n v="4936.737607276893"/>
    <n v="809.94800000000009"/>
    <n v="185289.90480000002"/>
    <n v="63120.736800000035"/>
    <n v="3401.1862000000001"/>
    <n v="4.1992648910794266"/>
    <n v="0.34065934065934084"/>
  </r>
  <r>
    <n v="797"/>
    <n v="74"/>
    <x v="111"/>
    <n v="40"/>
    <n v="8"/>
    <n v="1752.7932000000001"/>
    <x v="78"/>
    <x v="3"/>
    <n v="1143.126"/>
    <n v="1905.21"/>
    <x v="4"/>
    <n v="1963.8049613548997"/>
    <n v="2585.9039999999995"/>
    <n v="70111.728000000003"/>
    <n v="24386.688000000002"/>
    <n v="-833.11079999999947"/>
    <n v="-0.3221739090082229"/>
    <n v="0.34782608695652173"/>
  </r>
  <r>
    <n v="798"/>
    <n v="16"/>
    <x v="457"/>
    <n v="16"/>
    <n v="10"/>
    <n v="6076.62"/>
    <x v="142"/>
    <x v="2"/>
    <n v="4051.08"/>
    <n v="6751.8"/>
    <x v="0"/>
    <n v="7838.6397048536255"/>
    <n v="6827.7939999999999"/>
    <n v="97225.919999999998"/>
    <n v="32408.639999999999"/>
    <n v="-751.17399999999998"/>
    <n v="-0.11001708604565398"/>
    <n v="0.33333333333333331"/>
  </r>
  <r>
    <n v="799"/>
    <n v="123"/>
    <x v="348"/>
    <n v="50"/>
    <n v="10"/>
    <n v="4164.8580000000002"/>
    <x v="148"/>
    <x v="3"/>
    <n v="2776.5719999999997"/>
    <n v="4627.62"/>
    <x v="2"/>
    <n v="5468.9961285223844"/>
    <n v="809.94800000000009"/>
    <n v="208242.90000000002"/>
    <n v="69414.300000000032"/>
    <n v="3354.91"/>
    <n v="4.1421301120565754"/>
    <n v="0.33333333333333343"/>
  </r>
  <r>
    <n v="800"/>
    <n v="45"/>
    <x v="541"/>
    <n v="41"/>
    <n v="5"/>
    <n v="5060.0704999999998"/>
    <x v="69"/>
    <x v="1"/>
    <n v="3195.8340000000003"/>
    <n v="5326.39"/>
    <x v="1"/>
    <n v="6906.5834371394167"/>
    <n v="4436.1279999999997"/>
    <n v="207462.89049999998"/>
    <n v="76433.696499999976"/>
    <n v="623.94250000000011"/>
    <n v="0.14065024724264047"/>
    <n v="0.36842105263157887"/>
  </r>
  <r>
    <n v="801"/>
    <n v="15"/>
    <x v="550"/>
    <n v="20"/>
    <n v="3"/>
    <n v="4696.2355999999991"/>
    <x v="27"/>
    <x v="4"/>
    <n v="2904.8879999999995"/>
    <n v="4841.4799999999996"/>
    <x v="0"/>
    <n v="6006.7771001586761"/>
    <n v="5242.3433333333332"/>
    <n v="93924.711999999985"/>
    <n v="35826.95199999999"/>
    <n v="-546.10773333333418"/>
    <n v="-0.10417244705452985"/>
    <n v="0.38144329896907214"/>
  </r>
  <r>
    <n v="802"/>
    <n v="58"/>
    <x v="399"/>
    <n v="47"/>
    <n v="2"/>
    <n v="1115.8083999999999"/>
    <x v="103"/>
    <x v="7"/>
    <n v="683.14799999999991"/>
    <n v="1138.58"/>
    <x v="2"/>
    <n v="1145.9840312898091"/>
    <n v="1439.8525"/>
    <n v="52442.994799999993"/>
    <n v="20335.038799999998"/>
    <n v="-324.04410000000007"/>
    <n v="-0.22505367737320323"/>
    <n v="0.38775510204081637"/>
  </r>
  <r>
    <n v="803"/>
    <n v="94"/>
    <x v="141"/>
    <n v="37"/>
    <n v="4"/>
    <n v="4466.6687999999995"/>
    <x v="8"/>
    <x v="4"/>
    <n v="2791.6679999999997"/>
    <n v="4652.78"/>
    <x v="1"/>
    <n v="5609.9196994551758"/>
    <n v="6485.5883333333331"/>
    <n v="165266.74559999997"/>
    <n v="61975.029599999994"/>
    <n v="-2018.9195333333337"/>
    <n v="-0.31129319802135663"/>
    <n v="0.37500000000000006"/>
  </r>
  <r>
    <n v="804"/>
    <n v="21"/>
    <x v="555"/>
    <n v="8"/>
    <n v="5"/>
    <n v="2735.335"/>
    <x v="67"/>
    <x v="0"/>
    <n v="1727.5800000000002"/>
    <n v="2879.3"/>
    <x v="3"/>
    <n v="3573.5499563618073"/>
    <n v="4150.0079999999998"/>
    <n v="21882.68"/>
    <n v="8062.0399999999991"/>
    <n v="-1414.6729999999998"/>
    <n v="-0.3408844031144036"/>
    <n v="0.36842105263157893"/>
  </r>
  <r>
    <n v="805"/>
    <n v="100"/>
    <x v="556"/>
    <n v="9"/>
    <n v="7"/>
    <n v="3797.9897999999998"/>
    <x v="21"/>
    <x v="3"/>
    <n v="2450.3159999999998"/>
    <n v="4083.86"/>
    <x v="3"/>
    <n v="4481.8134877949797"/>
    <n v="3659.5875000000001"/>
    <n v="34181.908199999998"/>
    <n v="12129.064200000001"/>
    <n v="138.40229999999974"/>
    <n v="3.7819098463966153E-2"/>
    <n v="0.35483870967741937"/>
  </r>
  <r>
    <n v="806"/>
    <n v="149"/>
    <x v="211"/>
    <n v="11"/>
    <n v="9"/>
    <n v="5576.2798000000003"/>
    <x v="14"/>
    <x v="5"/>
    <n v="3676.6679999999997"/>
    <n v="6127.78"/>
    <x v="0"/>
    <n v="6371.4403069665386"/>
    <n v="3159.4639999999999"/>
    <n v="61339.077799999999"/>
    <n v="20895.729800000008"/>
    <n v="2416.8158000000003"/>
    <n v="0.76494487672592582"/>
    <n v="0.34065934065934078"/>
  </r>
  <r>
    <n v="807"/>
    <n v="18"/>
    <x v="557"/>
    <n v="42"/>
    <n v="8"/>
    <n v="7761.0740000000014"/>
    <x v="46"/>
    <x v="7"/>
    <n v="5061.5700000000006"/>
    <n v="8435.9500000000007"/>
    <x v="3"/>
    <n v="9251.1437607765802"/>
    <n v="1552.9240000000002"/>
    <n v="325965.10800000007"/>
    <n v="113379.16800000003"/>
    <n v="6208.1500000000015"/>
    <n v="3.9977165656529237"/>
    <n v="0.34782608695652178"/>
  </r>
  <r>
    <n v="808"/>
    <n v="141"/>
    <x v="96"/>
    <n v="49"/>
    <n v="8"/>
    <n v="7235.9748"/>
    <x v="86"/>
    <x v="1"/>
    <n v="4719.1139999999996"/>
    <n v="7865.19"/>
    <x v="4"/>
    <n v="7949.1073826536312"/>
    <n v="7586.8133333333344"/>
    <n v="354562.76520000002"/>
    <n v="123326.17920000001"/>
    <n v="-350.83853333333445"/>
    <n v="-4.624320092230217E-2"/>
    <n v="0.34782608695652173"/>
  </r>
  <r>
    <n v="809"/>
    <n v="18"/>
    <x v="290"/>
    <n v="14"/>
    <n v="9"/>
    <n v="7676.714500000001"/>
    <x v="46"/>
    <x v="7"/>
    <n v="5061.5700000000006"/>
    <n v="8435.9500000000007"/>
    <x v="3"/>
    <n v="9985.3490093160108"/>
    <n v="1552.9240000000002"/>
    <n v="107474.00300000001"/>
    <n v="36612.023000000001"/>
    <n v="6123.790500000001"/>
    <n v="3.9433935595045218"/>
    <n v="0.34065934065934061"/>
  </r>
  <r>
    <n v="810"/>
    <n v="56"/>
    <x v="38"/>
    <n v="5"/>
    <n v="8"/>
    <n v="7343.2560000000003"/>
    <x v="17"/>
    <x v="5"/>
    <n v="4789.08"/>
    <n v="7981.8"/>
    <x v="4"/>
    <n v="10183.894994765038"/>
    <n v="3458.9274999999998"/>
    <n v="36716.28"/>
    <n v="12770.880000000001"/>
    <n v="3884.3285000000005"/>
    <n v="1.1229863881217519"/>
    <n v="0.34782608695652178"/>
  </r>
  <r>
    <n v="811"/>
    <n v="53"/>
    <x v="9"/>
    <n v="49"/>
    <n v="2"/>
    <n v="3395.1217999999999"/>
    <x v="120"/>
    <x v="2"/>
    <n v="2078.6459999999997"/>
    <n v="3464.41"/>
    <x v="0"/>
    <n v="4286.0079102580239"/>
    <n v="954.33000000000015"/>
    <n v="166360.9682"/>
    <n v="64507.314200000008"/>
    <n v="2440.7918"/>
    <n v="2.5575972671926896"/>
    <n v="0.38775510204081637"/>
  </r>
  <r>
    <n v="812"/>
    <n v="104"/>
    <x v="395"/>
    <n v="7"/>
    <n v="7"/>
    <n v="3007.2015000000001"/>
    <x v="44"/>
    <x v="2"/>
    <n v="1940.13"/>
    <n v="3233.55"/>
    <x v="1"/>
    <n v="3569.4398147669526"/>
    <n v="5121.3466666666664"/>
    <n v="21050.410500000002"/>
    <n v="7469.5005000000001"/>
    <n v="-2114.1451666666662"/>
    <n v="-0.41281040012913262"/>
    <n v="0.35483870967741932"/>
  </r>
  <r>
    <n v="813"/>
    <n v="108"/>
    <x v="558"/>
    <n v="18"/>
    <n v="6"/>
    <n v="790.10759999999993"/>
    <x v="82"/>
    <x v="6"/>
    <n v="504.32399999999996"/>
    <n v="840.54"/>
    <x v="3"/>
    <n v="947.55126101967664"/>
    <n v="5163.7120000000004"/>
    <n v="14221.936799999999"/>
    <n v="5144.1047999999992"/>
    <n v="-4373.6044000000002"/>
    <n v="-0.84698844552136132"/>
    <n v="0.36170212765957444"/>
  </r>
  <r>
    <n v="814"/>
    <n v="64"/>
    <x v="84"/>
    <n v="9"/>
    <n v="4"/>
    <n v="3072"/>
    <x v="31"/>
    <x v="2"/>
    <n v="1920"/>
    <n v="3200"/>
    <x v="2"/>
    <n v="3842.9150607527317"/>
    <n v="3782.0099999999998"/>
    <n v="27648"/>
    <n v="10368"/>
    <n v="-710.00999999999976"/>
    <n v="-0.18773350678607403"/>
    <n v="0.375"/>
  </r>
  <r>
    <n v="815"/>
    <n v="119"/>
    <x v="521"/>
    <n v="25"/>
    <n v="10"/>
    <n v="1747.7190000000001"/>
    <x v="45"/>
    <x v="7"/>
    <n v="1165.146"/>
    <n v="1941.91"/>
    <x v="0"/>
    <n v="2307.3864907942998"/>
    <n v="4902.3539999999994"/>
    <n v="43692.974999999999"/>
    <n v="14564.325000000003"/>
    <n v="-3154.6349999999993"/>
    <n v="-0.64349392149159357"/>
    <n v="0.33333333333333343"/>
  </r>
  <r>
    <n v="816"/>
    <n v="98"/>
    <x v="559"/>
    <n v="2"/>
    <n v="9"/>
    <n v="7104.9888000000001"/>
    <x v="124"/>
    <x v="1"/>
    <n v="4684.6080000000002"/>
    <n v="7807.68"/>
    <x v="3"/>
    <n v="10076.761531847917"/>
    <n v="6533.69"/>
    <n v="14209.9776"/>
    <n v="4840.7615999999998"/>
    <n v="571.29880000000048"/>
    <n v="8.7438920426282929E-2"/>
    <n v="0.34065934065934061"/>
  </r>
  <r>
    <n v="817"/>
    <n v="39"/>
    <x v="550"/>
    <n v="20"/>
    <n v="10"/>
    <n v="2886.8220000000001"/>
    <x v="49"/>
    <x v="6"/>
    <n v="1924.5479999999998"/>
    <n v="3207.58"/>
    <x v="1"/>
    <n v="4155.4635000149192"/>
    <n v="9555.6079999999984"/>
    <n v="57736.44"/>
    <n v="19245.480000000007"/>
    <n v="-6668.7859999999982"/>
    <n v="-0.69789237900926859"/>
    <n v="0.33333333333333343"/>
  </r>
  <r>
    <n v="818"/>
    <n v="11"/>
    <x v="560"/>
    <n v="43"/>
    <n v="6"/>
    <n v="3008.1879999999996"/>
    <x v="16"/>
    <x v="1"/>
    <n v="1920.12"/>
    <n v="3200.2"/>
    <x v="1"/>
    <n v="3392.1677756799295"/>
    <n v="7089.33"/>
    <n v="129352.08399999999"/>
    <n v="46786.923999999992"/>
    <n v="-4081.1420000000003"/>
    <n v="-0.57567386480809901"/>
    <n v="0.36170212765957444"/>
  </r>
  <r>
    <n v="819"/>
    <n v="68"/>
    <x v="149"/>
    <n v="41"/>
    <n v="10"/>
    <n v="5439.1409999999996"/>
    <x v="53"/>
    <x v="6"/>
    <n v="3626.0939999999996"/>
    <n v="6043.49"/>
    <x v="2"/>
    <n v="7768.8030779390774"/>
    <n v="796.21333333333325"/>
    <n v="223004.78099999999"/>
    <n v="74334.926999999996"/>
    <n v="4642.9276666666665"/>
    <n v="5.8312608848549807"/>
    <n v="0.33333333333333331"/>
  </r>
  <r>
    <n v="820"/>
    <n v="15"/>
    <x v="549"/>
    <n v="4"/>
    <n v="10"/>
    <n v="4357.3319999999994"/>
    <x v="27"/>
    <x v="4"/>
    <n v="2904.8879999999995"/>
    <n v="4841.4799999999996"/>
    <x v="0"/>
    <n v="5689.3363835656537"/>
    <n v="5242.3433333333332"/>
    <n v="17429.327999999998"/>
    <n v="5809.7759999999998"/>
    <n v="-885.01133333333382"/>
    <n v="-0.16881979623616167"/>
    <n v="0.33333333333333337"/>
  </r>
  <r>
    <n v="821"/>
    <n v="118"/>
    <x v="561"/>
    <n v="29"/>
    <n v="5"/>
    <n v="2991.7874999999999"/>
    <x v="131"/>
    <x v="1"/>
    <n v="1889.55"/>
    <n v="3149.25"/>
    <x v="4"/>
    <n v="3395.4995203823646"/>
    <n v="224.52399999999997"/>
    <n v="86761.837499999994"/>
    <n v="31964.887499999997"/>
    <n v="2767.2635"/>
    <n v="12.325023160107607"/>
    <n v="0.36842105263157893"/>
  </r>
  <r>
    <n v="822"/>
    <n v="57"/>
    <x v="17"/>
    <n v="29"/>
    <n v="6"/>
    <n v="6403.0450000000001"/>
    <x v="55"/>
    <x v="6"/>
    <n v="4087.0499999999997"/>
    <n v="6811.75"/>
    <x v="2"/>
    <n v="7787.7887814465503"/>
    <n v="1836.9825000000001"/>
    <n v="185688.30499999999"/>
    <n v="67163.85500000001"/>
    <n v="4566.0625"/>
    <n v="2.4856320079260414"/>
    <n v="0.36170212765957455"/>
  </r>
  <r>
    <n v="823"/>
    <n v="21"/>
    <x v="94"/>
    <n v="41"/>
    <n v="4"/>
    <n v="2764.1280000000002"/>
    <x v="67"/>
    <x v="0"/>
    <n v="1727.5800000000002"/>
    <n v="2879.3"/>
    <x v="3"/>
    <n v="2958.0171573768175"/>
    <n v="4150.0079999999998"/>
    <n v="113329.24800000001"/>
    <n v="42498.468000000001"/>
    <n v="-1385.8799999999997"/>
    <n v="-0.33394634419981833"/>
    <n v="0.375"/>
  </r>
  <r>
    <n v="824"/>
    <n v="55"/>
    <x v="562"/>
    <n v="14"/>
    <n v="7"/>
    <n v="896.78969999999993"/>
    <x v="47"/>
    <x v="6"/>
    <n v="578.57399999999996"/>
    <n v="964.29"/>
    <x v="2"/>
    <n v="1017.5798552486999"/>
    <n v="1508.7675000000002"/>
    <n v="12555.055799999998"/>
    <n v="4455.0198"/>
    <n v="-611.97780000000023"/>
    <n v="-0.40561438392595289"/>
    <n v="0.35483870967741943"/>
  </r>
  <r>
    <n v="825"/>
    <n v="72"/>
    <x v="203"/>
    <n v="12"/>
    <n v="8"/>
    <n v="5337.2879999999996"/>
    <x v="65"/>
    <x v="5"/>
    <n v="3480.8399999999997"/>
    <n v="5801.4"/>
    <x v="3"/>
    <n v="6673.4479341046444"/>
    <n v="5210.5919999999996"/>
    <n v="64047.455999999991"/>
    <n v="22277.375999999997"/>
    <n v="126.69599999999991"/>
    <n v="2.4315087421928241E-2"/>
    <n v="0.34782608695652173"/>
  </r>
  <r>
    <n v="826"/>
    <n v="99"/>
    <x v="112"/>
    <n v="1"/>
    <n v="10"/>
    <n v="1839.5820000000001"/>
    <x v="106"/>
    <x v="3"/>
    <n v="1226.3879999999999"/>
    <n v="2043.98"/>
    <x v="2"/>
    <n v="2382.1849087687524"/>
    <n v="958.76666666666654"/>
    <n v="1839.5820000000001"/>
    <n v="613.19400000000019"/>
    <n v="880.81533333333357"/>
    <n v="0.91869624169940589"/>
    <n v="0.33333333333333343"/>
  </r>
  <r>
    <n v="827"/>
    <n v="130"/>
    <x v="236"/>
    <n v="10"/>
    <n v="3"/>
    <n v="3089.9252999999999"/>
    <x v="111"/>
    <x v="4"/>
    <n v="1911.2939999999999"/>
    <n v="3185.49"/>
    <x v="4"/>
    <n v="4067.3095757264323"/>
    <n v="3865.1374999999998"/>
    <n v="30899.252999999997"/>
    <n v="11786.313"/>
    <n v="-775.21219999999994"/>
    <n v="-0.20056523215538904"/>
    <n v="0.3814432989690722"/>
  </r>
  <r>
    <n v="828"/>
    <n v="123"/>
    <x v="77"/>
    <n v="47"/>
    <n v="2"/>
    <n v="4535.0675999999994"/>
    <x v="148"/>
    <x v="3"/>
    <n v="2776.5719999999997"/>
    <n v="4627.62"/>
    <x v="2"/>
    <n v="5930.4642175248955"/>
    <n v="809.94800000000009"/>
    <n v="213148.17719999998"/>
    <n v="82649.293199999986"/>
    <n v="3725.1195999999991"/>
    <n v="4.5992083442393819"/>
    <n v="0.38775510204081631"/>
  </r>
  <r>
    <n v="829"/>
    <n v="139"/>
    <x v="563"/>
    <n v="50"/>
    <n v="6"/>
    <n v="2435.6151999999997"/>
    <x v="25"/>
    <x v="3"/>
    <n v="1554.6479999999999"/>
    <n v="2591.08"/>
    <x v="4"/>
    <n v="3319.556459428054"/>
    <n v="2839.1733333333336"/>
    <n v="121780.75999999998"/>
    <n v="44048.359999999993"/>
    <n v="-403.5581333333339"/>
    <n v="-0.14213930815542572"/>
    <n v="0.36170212765957449"/>
  </r>
  <r>
    <n v="830"/>
    <n v="93"/>
    <x v="564"/>
    <n v="49"/>
    <n v="10"/>
    <n v="6896.3130000000001"/>
    <x v="66"/>
    <x v="2"/>
    <n v="4597.5419999999995"/>
    <n v="7662.57"/>
    <x v="3"/>
    <n v="8149.8518418829726"/>
    <n v="991.00333333333344"/>
    <n v="337919.337"/>
    <n v="112639.77900000004"/>
    <n v="5905.309666666667"/>
    <n v="5.9589200843589492"/>
    <n v="0.33333333333333343"/>
  </r>
  <r>
    <n v="831"/>
    <n v="81"/>
    <x v="525"/>
    <n v="14"/>
    <n v="7"/>
    <n v="7219.9712999999992"/>
    <x v="147"/>
    <x v="0"/>
    <n v="4658.0459999999994"/>
    <n v="7763.41"/>
    <x v="2"/>
    <n v="8259.1948333495184"/>
    <n v="290.31399999999996"/>
    <n v="101079.59819999999"/>
    <n v="35866.9542"/>
    <n v="6929.6572999999989"/>
    <n v="23.86952506596306"/>
    <n v="0.35483870967741937"/>
  </r>
  <r>
    <n v="832"/>
    <n v="76"/>
    <x v="516"/>
    <n v="6"/>
    <n v="8"/>
    <n v="2820.3244000000004"/>
    <x v="63"/>
    <x v="5"/>
    <n v="1839.3420000000001"/>
    <n v="3065.57"/>
    <x v="1"/>
    <n v="3410.0319163287254"/>
    <n v="831.92600000000004"/>
    <n v="16921.946400000001"/>
    <n v="5885.894400000002"/>
    <n v="1988.3984000000005"/>
    <n v="2.3901145053766806"/>
    <n v="0.34782608695652184"/>
  </r>
  <r>
    <n v="833"/>
    <n v="81"/>
    <x v="331"/>
    <n v="2"/>
    <n v="10"/>
    <n v="6987.0690000000004"/>
    <x v="147"/>
    <x v="0"/>
    <n v="4658.0459999999994"/>
    <n v="7763.41"/>
    <x v="2"/>
    <n v="9395.923843241686"/>
    <n v="290.31399999999996"/>
    <n v="13974.138000000001"/>
    <n v="4658.0460000000021"/>
    <n v="6696.7550000000001"/>
    <n v="23.067282321899739"/>
    <n v="0.33333333333333348"/>
  </r>
  <r>
    <n v="834"/>
    <n v="50"/>
    <x v="565"/>
    <n v="9"/>
    <n v="8"/>
    <n v="1248.164"/>
    <x v="10"/>
    <x v="1"/>
    <n v="814.02"/>
    <n v="1356.7"/>
    <x v="3"/>
    <n v="1499.8477699752641"/>
    <n v="4909.6483333333335"/>
    <n v="11233.476000000001"/>
    <n v="3907.2960000000003"/>
    <n v="-3661.4843333333338"/>
    <n v="-0.74577323766230375"/>
    <n v="0.34782608695652173"/>
  </r>
  <r>
    <n v="835"/>
    <n v="144"/>
    <x v="566"/>
    <n v="7"/>
    <n v="5"/>
    <n v="1499.309"/>
    <x v="77"/>
    <x v="0"/>
    <n v="946.93200000000002"/>
    <n v="1578.22"/>
    <x v="2"/>
    <n v="1846.3237096446958"/>
    <n v="6414.0239999999994"/>
    <n v="10495.163"/>
    <n v="3866.6389999999997"/>
    <n v="-4914.7149999999992"/>
    <n v="-0.76624518399058061"/>
    <n v="0.36842105263157893"/>
  </r>
  <r>
    <n v="836"/>
    <n v="88"/>
    <x v="567"/>
    <n v="14"/>
    <n v="2"/>
    <n v="6111.6034"/>
    <x v="116"/>
    <x v="5"/>
    <n v="3741.7979999999998"/>
    <n v="6236.33"/>
    <x v="4"/>
    <n v="6722.9805629828179"/>
    <n v="4981.5050000000001"/>
    <n v="85562.4476"/>
    <n v="33177.275600000001"/>
    <n v="1130.0983999999999"/>
    <n v="0.22685883081518535"/>
    <n v="0.38775510204081631"/>
  </r>
  <r>
    <n v="837"/>
    <n v="70"/>
    <x v="82"/>
    <n v="21"/>
    <n v="9"/>
    <n v="3667.0725000000002"/>
    <x v="98"/>
    <x v="7"/>
    <n v="2417.85"/>
    <n v="4029.75"/>
    <x v="1"/>
    <n v="4629.537688387386"/>
    <n v="2158.7083333333335"/>
    <n v="77008.522500000006"/>
    <n v="26233.672500000008"/>
    <n v="1508.3641666666667"/>
    <n v="0.69873458279449518"/>
    <n v="0.34065934065934073"/>
  </r>
  <r>
    <n v="838"/>
    <n v="123"/>
    <x v="568"/>
    <n v="17"/>
    <n v="10"/>
    <n v="4164.8580000000002"/>
    <x v="148"/>
    <x v="3"/>
    <n v="2776.5719999999997"/>
    <n v="4627.62"/>
    <x v="2"/>
    <n v="4644.4073968798994"/>
    <n v="809.94800000000009"/>
    <n v="70802.58600000001"/>
    <n v="23600.862000000008"/>
    <n v="3354.91"/>
    <n v="4.1421301120565754"/>
    <n v="0.33333333333333343"/>
  </r>
  <r>
    <n v="839"/>
    <n v="115"/>
    <x v="569"/>
    <n v="19"/>
    <n v="6"/>
    <n v="4409.8031999999994"/>
    <x v="71"/>
    <x v="2"/>
    <n v="2814.7679999999996"/>
    <n v="4691.28"/>
    <x v="2"/>
    <n v="5323.579875416759"/>
    <n v="4456.5325000000003"/>
    <n v="83786.260799999989"/>
    <n v="30305.668799999996"/>
    <n v="-46.729300000000876"/>
    <n v="-1.0485573705566126E-2"/>
    <n v="0.36170212765957449"/>
  </r>
  <r>
    <n v="840"/>
    <n v="104"/>
    <x v="570"/>
    <n v="37"/>
    <n v="4"/>
    <n v="3104.2080000000001"/>
    <x v="44"/>
    <x v="2"/>
    <n v="1940.13"/>
    <n v="3233.55"/>
    <x v="1"/>
    <n v="4086.2798305563051"/>
    <n v="5121.3466666666664"/>
    <n v="114855.696"/>
    <n v="43070.885999999999"/>
    <n v="-2017.1386666666663"/>
    <n v="-0.39386880013329822"/>
    <n v="0.375"/>
  </r>
  <r>
    <n v="841"/>
    <n v="125"/>
    <x v="316"/>
    <n v="7"/>
    <n v="8"/>
    <n v="4002.9843999999998"/>
    <x v="22"/>
    <x v="0"/>
    <n v="2610.6419999999998"/>
    <n v="4351.07"/>
    <x v="4"/>
    <n v="4483.3989907846453"/>
    <n v="5094.8040000000001"/>
    <n v="28020.890799999997"/>
    <n v="9746.3968000000004"/>
    <n v="-1091.8196000000003"/>
    <n v="-0.21430060901263331"/>
    <n v="0.34782608695652178"/>
  </r>
  <r>
    <n v="842"/>
    <n v="71"/>
    <x v="535"/>
    <n v="45"/>
    <n v="10"/>
    <n v="4438.134"/>
    <x v="54"/>
    <x v="2"/>
    <n v="2958.7559999999999"/>
    <n v="4931.26"/>
    <x v="3"/>
    <n v="5209.6951339143197"/>
    <n v="2482.0633333333335"/>
    <n v="199716.03"/>
    <n v="66572.010000000009"/>
    <n v="1956.0706666666665"/>
    <n v="0.78808249588044343"/>
    <n v="0.33333333333333337"/>
  </r>
  <r>
    <n v="843"/>
    <n v="16"/>
    <x v="241"/>
    <n v="7"/>
    <n v="5"/>
    <n v="6414.21"/>
    <x v="142"/>
    <x v="2"/>
    <n v="4051.08"/>
    <n v="6751.8"/>
    <x v="0"/>
    <n v="7931.0789657128662"/>
    <n v="6827.7939999999999"/>
    <n v="44899.47"/>
    <n v="16541.91"/>
    <n v="-413.58399999999983"/>
    <n v="-6.0573590825968068E-2"/>
    <n v="0.36842105263157893"/>
  </r>
  <r>
    <n v="844"/>
    <n v="2"/>
    <x v="429"/>
    <n v="12"/>
    <n v="8"/>
    <n v="4070.7975999999999"/>
    <x v="64"/>
    <x v="0"/>
    <n v="2654.8679999999999"/>
    <n v="4424.78"/>
    <x v="0"/>
    <n v="4800.6235717820346"/>
    <n v="1807.3"/>
    <n v="48849.571199999998"/>
    <n v="16991.155200000001"/>
    <n v="2263.4975999999997"/>
    <n v="1.2524194101698665"/>
    <n v="0.34782608695652178"/>
  </r>
  <r>
    <n v="845"/>
    <n v="25"/>
    <x v="421"/>
    <n v="35"/>
    <n v="7"/>
    <n v="528.39809999999989"/>
    <x v="38"/>
    <x v="4"/>
    <n v="340.90199999999999"/>
    <n v="568.16999999999996"/>
    <x v="1"/>
    <n v="674.47937401808315"/>
    <n v="2024.2300000000002"/>
    <n v="18493.933499999996"/>
    <n v="6562.3634999999967"/>
    <n v="-1495.8319000000004"/>
    <n v="-0.7389634083083445"/>
    <n v="0.35483870967741926"/>
  </r>
  <r>
    <n v="846"/>
    <n v="69"/>
    <x v="571"/>
    <n v="23"/>
    <n v="10"/>
    <n v="6712.83"/>
    <x v="102"/>
    <x v="1"/>
    <n v="4475.2199999999993"/>
    <n v="7458.7"/>
    <x v="3"/>
    <n v="8882.1655495303548"/>
    <n v="809.57599999999991"/>
    <n v="154395.09"/>
    <n v="51465.030000000013"/>
    <n v="5903.2539999999999"/>
    <n v="7.2917848355188406"/>
    <n v="0.33333333333333343"/>
  </r>
  <r>
    <n v="847"/>
    <n v="114"/>
    <x v="572"/>
    <n v="11"/>
    <n v="6"/>
    <n v="7185.7453999999998"/>
    <x v="99"/>
    <x v="5"/>
    <n v="4586.6459999999997"/>
    <n v="7644.41"/>
    <x v="2"/>
    <n v="9742.7634451592021"/>
    <n v="6494.3074999999999"/>
    <n v="79043.199399999998"/>
    <n v="28590.093400000002"/>
    <n v="691.4378999999999"/>
    <n v="0.10646830320245845"/>
    <n v="0.36170212765957449"/>
  </r>
  <r>
    <n v="848"/>
    <n v="35"/>
    <x v="417"/>
    <n v="48"/>
    <n v="7"/>
    <n v="125.72669999999999"/>
    <x v="104"/>
    <x v="3"/>
    <n v="81.11399999999999"/>
    <n v="135.19"/>
    <x v="3"/>
    <n v="139.93554717682912"/>
    <n v="2089.5899999999997"/>
    <n v="6034.8815999999997"/>
    <n v="2141.4096"/>
    <n v="-1963.8632999999998"/>
    <n v="-0.93983188089529524"/>
    <n v="0.35483870967741937"/>
  </r>
  <r>
    <n v="849"/>
    <n v="20"/>
    <x v="573"/>
    <n v="18"/>
    <n v="10"/>
    <n v="2728.0619999999999"/>
    <x v="61"/>
    <x v="7"/>
    <n v="1818.7079999999999"/>
    <n v="3031.18"/>
    <x v="0"/>
    <n v="3628.8913767032109"/>
    <n v="4553.9966666666669"/>
    <n v="49105.115999999995"/>
    <n v="16368.372000000001"/>
    <n v="-1825.934666666667"/>
    <n v="-0.40095213069252728"/>
    <n v="0.33333333333333337"/>
  </r>
  <r>
    <n v="850"/>
    <n v="91"/>
    <x v="574"/>
    <n v="6"/>
    <n v="10"/>
    <n v="2846.7000000000003"/>
    <x v="35"/>
    <x v="3"/>
    <n v="1897.8"/>
    <n v="3163"/>
    <x v="2"/>
    <n v="4016.7678914762892"/>
    <n v="4782.2433333333329"/>
    <n v="17080.2"/>
    <n v="5693.4000000000015"/>
    <n v="-1935.5433333333326"/>
    <n v="-0.40473543448576771"/>
    <n v="0.33333333333333343"/>
  </r>
  <r>
    <n v="851"/>
    <n v="81"/>
    <x v="510"/>
    <n v="42"/>
    <n v="6"/>
    <n v="7297.6053999999995"/>
    <x v="147"/>
    <x v="0"/>
    <n v="4658.0459999999994"/>
    <n v="7763.41"/>
    <x v="2"/>
    <n v="9922.2150711587929"/>
    <n v="290.31399999999996"/>
    <n v="306499.42679999996"/>
    <n v="110861.4948"/>
    <n v="7007.2913999999992"/>
    <n v="24.136939313984168"/>
    <n v="0.36170212765957455"/>
  </r>
  <r>
    <n v="852"/>
    <n v="139"/>
    <x v="575"/>
    <n v="4"/>
    <n v="5"/>
    <n v="2461.5259999999998"/>
    <x v="25"/>
    <x v="3"/>
    <n v="1554.6479999999999"/>
    <n v="2591.08"/>
    <x v="4"/>
    <n v="2983.2946624746464"/>
    <n v="2839.1733333333336"/>
    <n v="9846.1039999999994"/>
    <n v="3627.5119999999997"/>
    <n v="-377.64733333333379"/>
    <n v="-0.13301313058261105"/>
    <n v="0.36842105263157893"/>
  </r>
  <r>
    <n v="853"/>
    <n v="74"/>
    <x v="576"/>
    <n v="6"/>
    <n v="3"/>
    <n v="1848.0536999999999"/>
    <x v="78"/>
    <x v="3"/>
    <n v="1143.126"/>
    <n v="1905.21"/>
    <x v="4"/>
    <n v="2447.0205988580938"/>
    <n v="2585.9039999999995"/>
    <n v="11088.322199999999"/>
    <n v="4229.5661999999993"/>
    <n v="-737.85029999999961"/>
    <n v="-0.2853355344978003"/>
    <n v="0.38144329896907214"/>
  </r>
  <r>
    <n v="854"/>
    <n v="57"/>
    <x v="322"/>
    <n v="7"/>
    <n v="2"/>
    <n v="6675.5150000000003"/>
    <x v="55"/>
    <x v="6"/>
    <n v="4087.0499999999997"/>
    <n v="6811.75"/>
    <x v="2"/>
    <n v="8227.6069461476436"/>
    <n v="1836.9825000000001"/>
    <n v="46728.605000000003"/>
    <n v="18119.255000000005"/>
    <n v="4838.5325000000003"/>
    <n v="2.633956774220767"/>
    <n v="0.38775510204081642"/>
  </r>
  <r>
    <n v="855"/>
    <n v="53"/>
    <x v="92"/>
    <n v="30"/>
    <n v="5"/>
    <n v="3291.1894999999995"/>
    <x v="120"/>
    <x v="2"/>
    <n v="2078.6459999999997"/>
    <n v="3464.41"/>
    <x v="0"/>
    <n v="4162.9812829952116"/>
    <n v="954.33000000000015"/>
    <n v="98735.684999999983"/>
    <n v="36376.304999999993"/>
    <n v="2336.8594999999996"/>
    <n v="2.4486912284010764"/>
    <n v="0.36842105263157893"/>
  </r>
  <r>
    <n v="856"/>
    <n v="13"/>
    <x v="158"/>
    <n v="48"/>
    <n v="3"/>
    <n v="1743.1481999999999"/>
    <x v="93"/>
    <x v="4"/>
    <n v="1078.2359999999999"/>
    <n v="1797.06"/>
    <x v="4"/>
    <n v="1832.5854110753821"/>
    <n v="1712.5580000000002"/>
    <n v="83671.113599999997"/>
    <n v="31915.785599999999"/>
    <n v="30.590199999999641"/>
    <n v="1.7862285540109962E-2"/>
    <n v="0.3814432989690722"/>
  </r>
  <r>
    <n v="857"/>
    <n v="120"/>
    <x v="211"/>
    <n v="44"/>
    <n v="10"/>
    <n v="1778.94"/>
    <x v="125"/>
    <x v="0"/>
    <n v="1185.9599999999998"/>
    <n v="1976.6"/>
    <x v="2"/>
    <n v="2205.1457439845062"/>
    <n v="1688.8574999999998"/>
    <n v="78273.36"/>
    <n v="26091.12000000001"/>
    <n v="90.082500000000209"/>
    <n v="5.3339313707639759E-2"/>
    <n v="0.33333333333333348"/>
  </r>
  <r>
    <n v="858"/>
    <n v="99"/>
    <x v="577"/>
    <n v="15"/>
    <n v="5"/>
    <n v="1941.7809999999999"/>
    <x v="106"/>
    <x v="3"/>
    <n v="1226.3879999999999"/>
    <n v="2043.98"/>
    <x v="2"/>
    <n v="2567.0165217139988"/>
    <n v="958.76666666666654"/>
    <n v="29126.715"/>
    <n v="10730.895"/>
    <n v="983.01433333333341"/>
    <n v="1.0252904773493727"/>
    <n v="0.36842105263157898"/>
  </r>
  <r>
    <n v="859"/>
    <n v="75"/>
    <x v="229"/>
    <n v="7"/>
    <n v="6"/>
    <n v="3547.0335999999998"/>
    <x v="128"/>
    <x v="3"/>
    <n v="2264.0639999999999"/>
    <n v="3773.44"/>
    <x v="0"/>
    <n v="3937.3699012558291"/>
    <n v="3293.6366666666668"/>
    <n v="24829.235199999999"/>
    <n v="8980.7871999999988"/>
    <n v="253.39693333333298"/>
    <n v="7.6935302517682977E-2"/>
    <n v="0.36170212765957444"/>
  </r>
  <r>
    <n v="860"/>
    <n v="91"/>
    <x v="578"/>
    <n v="40"/>
    <n v="8"/>
    <n v="2909.96"/>
    <x v="35"/>
    <x v="3"/>
    <n v="1897.8"/>
    <n v="3163"/>
    <x v="2"/>
    <n v="3798.5620061759364"/>
    <n v="4782.2433333333329"/>
    <n v="116398.39999999999"/>
    <n v="40486.400000000001"/>
    <n v="-1872.2833333333328"/>
    <n v="-0.39150733302989593"/>
    <n v="0.34782608695652178"/>
  </r>
  <r>
    <n v="861"/>
    <n v="31"/>
    <x v="579"/>
    <n v="11"/>
    <n v="10"/>
    <n v="920.91600000000005"/>
    <x v="52"/>
    <x v="5"/>
    <n v="613.94399999999996"/>
    <n v="1023.24"/>
    <x v="2"/>
    <n v="1134.4761154694359"/>
    <n v="1065.8219999999999"/>
    <n v="10130.076000000001"/>
    <n v="3376.6920000000009"/>
    <n v="-144.90599999999984"/>
    <n v="-0.13595703597786482"/>
    <n v="0.33333333333333337"/>
  </r>
  <r>
    <n v="862"/>
    <n v="56"/>
    <x v="508"/>
    <n v="20"/>
    <n v="7"/>
    <n v="7423.0739999999996"/>
    <x v="17"/>
    <x v="5"/>
    <n v="4789.08"/>
    <n v="7981.8"/>
    <x v="4"/>
    <n v="9818.959415810501"/>
    <n v="3458.9274999999998"/>
    <n v="148461.47999999998"/>
    <n v="52679.87999999999"/>
    <n v="3964.1464999999998"/>
    <n v="1.146062327123075"/>
    <n v="0.35483870967741932"/>
  </r>
  <r>
    <n v="863"/>
    <n v="150"/>
    <x v="331"/>
    <n v="16"/>
    <n v="2"/>
    <n v="2243.9255999999996"/>
    <x v="29"/>
    <x v="1"/>
    <n v="1373.8319999999999"/>
    <n v="2289.7199999999998"/>
    <x v="3"/>
    <n v="2405.4185133108153"/>
    <n v="1810.3166666666666"/>
    <n v="35902.809599999993"/>
    <n v="13921.497599999995"/>
    <n v="433.60893333333297"/>
    <n v="0.23952104143842218"/>
    <n v="0.38775510204081626"/>
  </r>
  <r>
    <n v="864"/>
    <n v="45"/>
    <x v="580"/>
    <n v="46"/>
    <n v="5"/>
    <n v="5060.0704999999998"/>
    <x v="69"/>
    <x v="1"/>
    <n v="3195.8340000000003"/>
    <n v="5326.39"/>
    <x v="1"/>
    <n v="5800.4288667674982"/>
    <n v="4436.1279999999997"/>
    <n v="232763.24299999999"/>
    <n v="85754.878999999972"/>
    <n v="623.94250000000011"/>
    <n v="0.14065024724264047"/>
    <n v="0.36842105263157887"/>
  </r>
  <r>
    <n v="865"/>
    <n v="34"/>
    <x v="471"/>
    <n v="47"/>
    <n v="9"/>
    <n v="1186.0849000000001"/>
    <x v="23"/>
    <x v="1"/>
    <n v="782.03399999999999"/>
    <n v="1303.3900000000001"/>
    <x v="2"/>
    <n v="1360.623735138814"/>
    <n v="4145.4440000000004"/>
    <n v="55745.990300000005"/>
    <n v="18990.392300000003"/>
    <n v="-2959.3591000000006"/>
    <n v="-0.71388230066550173"/>
    <n v="0.34065934065934067"/>
  </r>
  <r>
    <n v="866"/>
    <n v="11"/>
    <x v="581"/>
    <n v="19"/>
    <n v="7"/>
    <n v="2976.1859999999997"/>
    <x v="16"/>
    <x v="1"/>
    <n v="1920.12"/>
    <n v="3200.2"/>
    <x v="1"/>
    <n v="3869.0237278374461"/>
    <n v="7089.33"/>
    <n v="56547.533999999992"/>
    <n v="20065.253999999997"/>
    <n v="-4113.1440000000002"/>
    <n v="-0.58018797262928945"/>
    <n v="0.35483870967741937"/>
  </r>
  <r>
    <n v="867"/>
    <n v="102"/>
    <x v="216"/>
    <n v="17"/>
    <n v="8"/>
    <n v="3812.4247999999998"/>
    <x v="143"/>
    <x v="1"/>
    <n v="2486.3639999999996"/>
    <n v="4143.9399999999996"/>
    <x v="0"/>
    <n v="4910.9109244973561"/>
    <n v="2740.84"/>
    <n v="64811.221599999997"/>
    <n v="22543.033600000002"/>
    <n v="1071.5847999999996"/>
    <n v="0.39096948380788354"/>
    <n v="0.34782608695652178"/>
  </r>
  <r>
    <n v="868"/>
    <n v="15"/>
    <x v="108"/>
    <n v="15"/>
    <n v="8"/>
    <n v="4454.1615999999995"/>
    <x v="27"/>
    <x v="4"/>
    <n v="2904.8879999999995"/>
    <n v="4841.4799999999996"/>
    <x v="0"/>
    <n v="5127.4783131915719"/>
    <n v="5242.3433333333332"/>
    <n v="66812.423999999999"/>
    <n v="23239.103999999999"/>
    <n v="-788.1817333333338"/>
    <n v="-0.15034912504140968"/>
    <n v="0.34782608695652173"/>
  </r>
  <r>
    <n v="869"/>
    <n v="137"/>
    <x v="71"/>
    <n v="41"/>
    <n v="7"/>
    <n v="333.56310000000002"/>
    <x v="133"/>
    <x v="6"/>
    <n v="215.202"/>
    <n v="358.67"/>
    <x v="3"/>
    <n v="395.30436529297731"/>
    <n v="4109.2999999999993"/>
    <n v="13676.087100000001"/>
    <n v="4852.8051000000005"/>
    <n v="-3775.7368999999994"/>
    <n v="-0.91882726985131291"/>
    <n v="0.35483870967741937"/>
  </r>
  <r>
    <n v="870"/>
    <n v="114"/>
    <x v="582"/>
    <n v="47"/>
    <n v="7"/>
    <n v="7109.3012999999992"/>
    <x v="99"/>
    <x v="5"/>
    <n v="4586.6459999999997"/>
    <n v="7644.41"/>
    <x v="2"/>
    <n v="8250.1475463774514"/>
    <n v="6494.3074999999999"/>
    <n v="334137.16109999997"/>
    <n v="118564.79909999997"/>
    <n v="614.99379999999928"/>
    <n v="9.4697363806687515E-2"/>
    <n v="0.35483870967741932"/>
  </r>
  <r>
    <n v="871"/>
    <n v="91"/>
    <x v="70"/>
    <n v="6"/>
    <n v="5"/>
    <n v="3004.85"/>
    <x v="35"/>
    <x v="3"/>
    <n v="1897.8"/>
    <n v="3163"/>
    <x v="2"/>
    <n v="3378.1701954192463"/>
    <n v="4782.2433333333329"/>
    <n v="18029.099999999999"/>
    <n v="6642.2999999999993"/>
    <n v="-1777.393333333333"/>
    <n v="-0.37166518084608824"/>
    <n v="0.36842105263157893"/>
  </r>
  <r>
    <n v="872"/>
    <n v="67"/>
    <x v="134"/>
    <n v="40"/>
    <n v="8"/>
    <n v="1058.6532"/>
    <x v="76"/>
    <x v="6"/>
    <n v="690.42600000000004"/>
    <n v="1150.71"/>
    <x v="0"/>
    <n v="1193.9025980470519"/>
    <n v="7069.7"/>
    <n v="42346.127999999997"/>
    <n v="14729.087999999996"/>
    <n v="-6011.0468000000001"/>
    <n v="-0.85025486229967329"/>
    <n v="0.34782608695652167"/>
  </r>
  <r>
    <n v="873"/>
    <n v="21"/>
    <x v="400"/>
    <n v="41"/>
    <n v="4"/>
    <n v="2764.1280000000002"/>
    <x v="67"/>
    <x v="0"/>
    <n v="1727.5800000000002"/>
    <n v="2879.3"/>
    <x v="3"/>
    <n v="3254.5288534134911"/>
    <n v="4150.0079999999998"/>
    <n v="113329.24800000001"/>
    <n v="42498.468000000001"/>
    <n v="-1385.8799999999997"/>
    <n v="-0.33394634419981833"/>
    <n v="0.375"/>
  </r>
  <r>
    <n v="874"/>
    <n v="144"/>
    <x v="583"/>
    <n v="22"/>
    <n v="6"/>
    <n v="1483.5267999999999"/>
    <x v="77"/>
    <x v="0"/>
    <n v="946.93200000000002"/>
    <n v="1578.22"/>
    <x v="2"/>
    <n v="1947.0790520761332"/>
    <n v="6414.0239999999994"/>
    <n v="32637.589599999996"/>
    <n v="11805.085599999997"/>
    <n v="-4930.4971999999998"/>
    <n v="-0.76870576100120613"/>
    <n v="0.36170212765957444"/>
  </r>
  <r>
    <n v="875"/>
    <n v="30"/>
    <x v="568"/>
    <n v="41"/>
    <n v="8"/>
    <n v="1884.4728000000002"/>
    <x v="123"/>
    <x v="1"/>
    <n v="1229.0040000000001"/>
    <n v="2048.34"/>
    <x v="1"/>
    <n v="2278.8191360757191"/>
    <n v="4153.6075000000001"/>
    <n v="77263.384800000014"/>
    <n v="26874.220800000003"/>
    <n v="-2269.1346999999996"/>
    <n v="-0.54630455573859582"/>
    <n v="0.34782608695652173"/>
  </r>
  <r>
    <n v="876"/>
    <n v="77"/>
    <x v="584"/>
    <n v="24"/>
    <n v="8"/>
    <n v="1845.5016000000001"/>
    <x v="48"/>
    <x v="7"/>
    <n v="1203.588"/>
    <n v="2005.98"/>
    <x v="1"/>
    <n v="2057.3263372131546"/>
    <n v="4139.2699999999995"/>
    <n v="44292.038400000005"/>
    <n v="15405.926400000002"/>
    <n v="-2293.7683999999995"/>
    <n v="-0.55414805026006997"/>
    <n v="0.34782608695652173"/>
  </r>
  <r>
    <n v="877"/>
    <n v="113"/>
    <x v="46"/>
    <n v="42"/>
    <n v="10"/>
    <n v="4346.2439999999997"/>
    <x v="87"/>
    <x v="7"/>
    <n v="2897.4959999999996"/>
    <n v="4829.16"/>
    <x v="1"/>
    <n v="5789.9857238138802"/>
    <n v="4302.05"/>
    <n v="182542.24799999999"/>
    <n v="60847.416000000005"/>
    <n v="44.193999999999505"/>
    <n v="1.0272776931927687E-2"/>
    <n v="0.33333333333333337"/>
  </r>
  <r>
    <n v="878"/>
    <n v="144"/>
    <x v="360"/>
    <n v="42"/>
    <n v="6"/>
    <n v="1483.5267999999999"/>
    <x v="77"/>
    <x v="0"/>
    <n v="946.93200000000002"/>
    <n v="1578.22"/>
    <x v="2"/>
    <n v="1864.062907320922"/>
    <n v="6414.0239999999994"/>
    <n v="62308.125599999992"/>
    <n v="22536.981599999992"/>
    <n v="-4930.4971999999998"/>
    <n v="-0.76870576100120613"/>
    <n v="0.36170212765957438"/>
  </r>
  <r>
    <n v="879"/>
    <n v="130"/>
    <x v="585"/>
    <n v="27"/>
    <n v="3"/>
    <n v="3089.9252999999999"/>
    <x v="111"/>
    <x v="4"/>
    <n v="1911.2939999999999"/>
    <n v="3185.49"/>
    <x v="4"/>
    <n v="3845.5539174522009"/>
    <n v="3865.1374999999998"/>
    <n v="83427.983099999998"/>
    <n v="31823.045099999999"/>
    <n v="-775.21219999999994"/>
    <n v="-0.20056523215538904"/>
    <n v="0.38144329896907214"/>
  </r>
  <r>
    <n v="880"/>
    <n v="149"/>
    <x v="441"/>
    <n v="7"/>
    <n v="6"/>
    <n v="5760.1131999999998"/>
    <x v="14"/>
    <x v="5"/>
    <n v="3676.6679999999997"/>
    <n v="6127.78"/>
    <x v="0"/>
    <n v="7710.6858879229148"/>
    <n v="3159.4639999999999"/>
    <n v="40320.792399999998"/>
    <n v="14584.116400000001"/>
    <n v="2600.6491999999998"/>
    <n v="0.82312987266194515"/>
    <n v="0.36170212765957449"/>
  </r>
  <r>
    <n v="881"/>
    <n v="106"/>
    <x v="586"/>
    <n v="40"/>
    <n v="8"/>
    <n v="1319.3076000000001"/>
    <x v="74"/>
    <x v="1"/>
    <n v="860.41800000000001"/>
    <n v="1434.03"/>
    <x v="2"/>
    <n v="1797.4436345276711"/>
    <n v="695.38400000000001"/>
    <n v="52772.304000000004"/>
    <n v="18355.584000000003"/>
    <n v="623.92360000000008"/>
    <n v="0.89723605950093765"/>
    <n v="0.34782608695652178"/>
  </r>
  <r>
    <n v="882"/>
    <n v="74"/>
    <x v="311"/>
    <n v="31"/>
    <n v="2"/>
    <n v="1867.1058"/>
    <x v="78"/>
    <x v="3"/>
    <n v="1143.126"/>
    <n v="1905.21"/>
    <x v="4"/>
    <n v="1927.2228987142271"/>
    <n v="2585.9039999999995"/>
    <n v="57880.279800000004"/>
    <n v="22443.373800000001"/>
    <n v="-718.7981999999995"/>
    <n v="-0.27796785959571568"/>
    <n v="0.38775510204081631"/>
  </r>
  <r>
    <n v="883"/>
    <n v="33"/>
    <x v="421"/>
    <n v="7"/>
    <n v="9"/>
    <n v="4598.2209000000003"/>
    <x v="84"/>
    <x v="0"/>
    <n v="3031.7939999999999"/>
    <n v="5052.99"/>
    <x v="3"/>
    <n v="5054.743160978881"/>
    <n v="2776.7875000000004"/>
    <n v="32187.546300000002"/>
    <n v="10964.988300000003"/>
    <n v="1821.4333999999999"/>
    <n v="0.65594987012870076"/>
    <n v="0.34065934065934073"/>
  </r>
  <r>
    <n v="884"/>
    <n v="28"/>
    <x v="587"/>
    <n v="42"/>
    <n v="7"/>
    <n v="5316.4565999999995"/>
    <x v="70"/>
    <x v="0"/>
    <n v="3429.9719999999998"/>
    <n v="5716.62"/>
    <x v="4"/>
    <n v="6569.2413149808863"/>
    <n v="3542.9559999999997"/>
    <n v="223291.17719999998"/>
    <n v="79232.353199999983"/>
    <n v="1773.5005999999998"/>
    <n v="0.50057087923191823"/>
    <n v="0.35483870967741932"/>
  </r>
  <r>
    <n v="885"/>
    <n v="141"/>
    <x v="54"/>
    <n v="29"/>
    <n v="2"/>
    <n v="7707.8861999999999"/>
    <x v="86"/>
    <x v="1"/>
    <n v="4719.1139999999996"/>
    <n v="7865.19"/>
    <x v="4"/>
    <n v="8144.9338457868271"/>
    <n v="7586.8133333333344"/>
    <n v="223528.6998"/>
    <n v="86674.393800000005"/>
    <n v="121.0728666666655"/>
    <n v="1.5958329452330292E-2"/>
    <n v="0.38775510204081637"/>
  </r>
  <r>
    <n v="886"/>
    <n v="120"/>
    <x v="588"/>
    <n v="40"/>
    <n v="5"/>
    <n v="1877.7699999999998"/>
    <x v="125"/>
    <x v="0"/>
    <n v="1185.9599999999998"/>
    <n v="1976.6"/>
    <x v="2"/>
    <n v="2389.2874141985685"/>
    <n v="1688.8574999999998"/>
    <n v="75110.799999999988"/>
    <n v="27672.399999999998"/>
    <n v="188.91249999999991"/>
    <n v="0.11185816446917513"/>
    <n v="0.36842105263157898"/>
  </r>
  <r>
    <n v="887"/>
    <n v="86"/>
    <x v="589"/>
    <n v="5"/>
    <n v="10"/>
    <n v="2810.6190000000001"/>
    <x v="39"/>
    <x v="1"/>
    <n v="1873.7459999999999"/>
    <n v="3122.91"/>
    <x v="0"/>
    <n v="3600.4219751485216"/>
    <n v="2919.076"/>
    <n v="14053.095000000001"/>
    <n v="4684.3650000000016"/>
    <n v="-108.45699999999988"/>
    <n v="-3.7154565348761007E-2"/>
    <n v="0.33333333333333343"/>
  </r>
  <r>
    <n v="888"/>
    <n v="49"/>
    <x v="377"/>
    <n v="42"/>
    <n v="6"/>
    <n v="3164.3595999999998"/>
    <x v="136"/>
    <x v="6"/>
    <n v="2019.8040000000001"/>
    <n v="3366.34"/>
    <x v="0"/>
    <n v="3546.4795520392563"/>
    <n v="1635.5425"/>
    <n v="132903.10319999998"/>
    <n v="48071.335199999987"/>
    <n v="1528.8170999999998"/>
    <n v="0.93474617749156608"/>
    <n v="0.36170212765957444"/>
  </r>
  <r>
    <n v="889"/>
    <n v="141"/>
    <x v="590"/>
    <n v="43"/>
    <n v="4"/>
    <n v="7550.5823999999993"/>
    <x v="86"/>
    <x v="1"/>
    <n v="4719.1139999999996"/>
    <n v="7865.19"/>
    <x v="4"/>
    <n v="9233.7572575516788"/>
    <n v="7586.8133333333344"/>
    <n v="324675.04319999996"/>
    <n v="121753.14119999998"/>
    <n v="-36.230933333335088"/>
    <n v="-4.7755140058806092E-3"/>
    <n v="0.375"/>
  </r>
  <r>
    <n v="890"/>
    <n v="139"/>
    <x v="541"/>
    <n v="7"/>
    <n v="5"/>
    <n v="2461.5259999999998"/>
    <x v="25"/>
    <x v="3"/>
    <n v="1554.6479999999999"/>
    <n v="2591.08"/>
    <x v="4"/>
    <n v="2645.724842084117"/>
    <n v="2839.1733333333336"/>
    <n v="17230.682000000001"/>
    <n v="6348.1459999999997"/>
    <n v="-377.64733333333379"/>
    <n v="-0.13301313058261105"/>
    <n v="0.36842105263157893"/>
  </r>
  <r>
    <n v="891"/>
    <n v="56"/>
    <x v="591"/>
    <n v="34"/>
    <n v="10"/>
    <n v="7183.62"/>
    <x v="17"/>
    <x v="5"/>
    <n v="4789.08"/>
    <n v="7981.8"/>
    <x v="4"/>
    <n v="9733.0245037722252"/>
    <n v="3458.9274999999998"/>
    <n v="244243.08"/>
    <n v="81414.36"/>
    <n v="3724.6925000000001"/>
    <n v="1.076834510119105"/>
    <n v="0.33333333333333337"/>
  </r>
  <r>
    <n v="892"/>
    <n v="15"/>
    <x v="48"/>
    <n v="18"/>
    <n v="4"/>
    <n v="4647.8207999999995"/>
    <x v="27"/>
    <x v="4"/>
    <n v="2904.8879999999995"/>
    <n v="4841.4799999999996"/>
    <x v="0"/>
    <n v="6186.209379076342"/>
    <n v="5242.3433333333332"/>
    <n v="83660.774399999995"/>
    <n v="31372.790400000002"/>
    <n v="-594.52253333333374"/>
    <n v="-0.11340778265190575"/>
    <n v="0.37500000000000006"/>
  </r>
  <r>
    <n v="893"/>
    <n v="107"/>
    <x v="406"/>
    <n v="13"/>
    <n v="2"/>
    <n v="1536.5420000000001"/>
    <x v="137"/>
    <x v="6"/>
    <n v="940.74"/>
    <n v="1567.9"/>
    <x v="2"/>
    <n v="1751.6595852910334"/>
    <n v="979.96"/>
    <n v="19975.046000000002"/>
    <n v="7745.4260000000013"/>
    <n v="556.58200000000011"/>
    <n v="0.56796399853055235"/>
    <n v="0.38775510204081637"/>
  </r>
  <r>
    <n v="894"/>
    <n v="127"/>
    <x v="592"/>
    <n v="46"/>
    <n v="5"/>
    <n v="5216.0320000000002"/>
    <x v="101"/>
    <x v="4"/>
    <n v="3294.3360000000002"/>
    <n v="5490.56"/>
    <x v="1"/>
    <n v="5971.1069464271814"/>
    <n v="5984.333333333333"/>
    <n v="239937.47200000001"/>
    <n v="88398.016000000003"/>
    <n v="-768.30133333333288"/>
    <n v="-0.12838545089957104"/>
    <n v="0.36842105263157893"/>
  </r>
  <r>
    <n v="895"/>
    <n v="141"/>
    <x v="252"/>
    <n v="7"/>
    <n v="3"/>
    <n v="7629.2342999999992"/>
    <x v="86"/>
    <x v="1"/>
    <n v="4719.1139999999996"/>
    <n v="7865.19"/>
    <x v="4"/>
    <n v="7903.7083270331168"/>
    <n v="7586.8133333333344"/>
    <n v="53404.640099999997"/>
    <n v="20370.842099999998"/>
    <n v="42.420966666664754"/>
    <n v="5.5914077232247818E-3"/>
    <n v="0.38144329896907214"/>
  </r>
  <r>
    <n v="896"/>
    <n v="107"/>
    <x v="109"/>
    <n v="33"/>
    <n v="3"/>
    <n v="1520.8630000000001"/>
    <x v="137"/>
    <x v="6"/>
    <n v="940.74"/>
    <n v="1567.9"/>
    <x v="2"/>
    <n v="1856.8230122422267"/>
    <n v="979.96"/>
    <n v="50188.478999999999"/>
    <n v="19144.059000000001"/>
    <n v="540.90300000000002"/>
    <n v="0.55196436589248543"/>
    <n v="0.3814432989690722"/>
  </r>
  <r>
    <n v="897"/>
    <n v="98"/>
    <x v="593"/>
    <n v="31"/>
    <n v="3"/>
    <n v="7573.4495999999999"/>
    <x v="124"/>
    <x v="1"/>
    <n v="4684.6080000000002"/>
    <n v="7807.68"/>
    <x v="3"/>
    <n v="8728.0824124312312"/>
    <n v="6533.69"/>
    <n v="234776.9376"/>
    <n v="89554.089599999992"/>
    <n v="1039.7596000000003"/>
    <n v="0.15913818990493891"/>
    <n v="0.38144329896907214"/>
  </r>
  <r>
    <n v="898"/>
    <n v="21"/>
    <x v="41"/>
    <n v="45"/>
    <n v="6"/>
    <n v="2706.5419999999999"/>
    <x v="67"/>
    <x v="0"/>
    <n v="1727.5800000000002"/>
    <n v="2879.3"/>
    <x v="3"/>
    <n v="3025.8271928868303"/>
    <n v="4150.0079999999998"/>
    <n v="121794.39"/>
    <n v="44053.289999999986"/>
    <n v="-1443.4659999999999"/>
    <n v="-0.34782246202898887"/>
    <n v="0.36170212765957438"/>
  </r>
  <r>
    <n v="899"/>
    <n v="37"/>
    <x v="594"/>
    <n v="23"/>
    <n v="10"/>
    <n v="3475.3229999999999"/>
    <x v="96"/>
    <x v="7"/>
    <n v="2316.8819999999996"/>
    <n v="3861.47"/>
    <x v="1"/>
    <n v="4654.6891540579227"/>
    <n v="2618.5759999999996"/>
    <n v="79932.429000000004"/>
    <n v="26644.143000000007"/>
    <n v="856.7470000000003"/>
    <n v="0.32718049810278582"/>
    <n v="0.33333333333333343"/>
  </r>
  <r>
    <n v="900"/>
    <n v="139"/>
    <x v="114"/>
    <n v="10"/>
    <n v="9"/>
    <n v="2357.8827999999999"/>
    <x v="25"/>
    <x v="3"/>
    <n v="1554.6479999999999"/>
    <n v="2591.08"/>
    <x v="4"/>
    <n v="3109.2806399992255"/>
    <n v="2839.1733333333336"/>
    <n v="23578.827999999998"/>
    <n v="8032.348"/>
    <n v="-481.29053333333377"/>
    <n v="-0.16951784087386954"/>
    <n v="0.34065934065934067"/>
  </r>
  <r>
    <n v="901"/>
    <n v="24"/>
    <x v="595"/>
    <n v="35"/>
    <n v="6"/>
    <n v="3756.7287999999999"/>
    <x v="32"/>
    <x v="7"/>
    <n v="2397.9119999999998"/>
    <n v="3996.52"/>
    <x v="0"/>
    <n v="5142.8718552580476"/>
    <n v="3028.7733333333331"/>
    <n v="131485.508"/>
    <n v="47558.588000000003"/>
    <n v="727.95546666666678"/>
    <n v="0.24034663097931841"/>
    <n v="0.36170212765957449"/>
  </r>
  <r>
    <n v="902"/>
    <n v="69"/>
    <x v="273"/>
    <n v="28"/>
    <n v="7"/>
    <n v="6936.5909999999994"/>
    <x v="102"/>
    <x v="1"/>
    <n v="4475.2199999999993"/>
    <n v="7458.7"/>
    <x v="3"/>
    <n v="8735.5039406269661"/>
    <n v="809.57599999999991"/>
    <n v="194224.54799999998"/>
    <n v="68918.388000000006"/>
    <n v="6127.0149999999994"/>
    <n v="7.5681776633694673"/>
    <n v="0.35483870967741943"/>
  </r>
  <r>
    <n v="903"/>
    <n v="17"/>
    <x v="596"/>
    <n v="29"/>
    <n v="2"/>
    <n v="2919.5866000000001"/>
    <x v="135"/>
    <x v="4"/>
    <n v="1787.502"/>
    <n v="2979.17"/>
    <x v="2"/>
    <n v="3264.0096058020581"/>
    <n v="1105.6675"/>
    <n v="84668.011400000003"/>
    <n v="32830.453400000006"/>
    <n v="1813.9191000000001"/>
    <n v="1.6405647267374686"/>
    <n v="0.38775510204081637"/>
  </r>
  <r>
    <n v="904"/>
    <n v="45"/>
    <x v="597"/>
    <n v="2"/>
    <n v="7"/>
    <n v="4953.5427"/>
    <x v="69"/>
    <x v="1"/>
    <n v="3195.8340000000003"/>
    <n v="5326.39"/>
    <x v="1"/>
    <n v="6300.7577287275926"/>
    <n v="4436.1279999999997"/>
    <n v="9907.0853999999999"/>
    <n v="3515.4173999999994"/>
    <n v="517.41470000000027"/>
    <n v="0.11663655782700597"/>
    <n v="0.35483870967741932"/>
  </r>
  <r>
    <n v="905"/>
    <n v="119"/>
    <x v="310"/>
    <n v="26"/>
    <n v="3"/>
    <n v="1883.6527000000001"/>
    <x v="45"/>
    <x v="7"/>
    <n v="1165.146"/>
    <n v="1941.91"/>
    <x v="0"/>
    <n v="2491.0344333117068"/>
    <n v="4902.3539999999994"/>
    <n v="48974.970200000003"/>
    <n v="18681.174200000005"/>
    <n v="-3018.7012999999993"/>
    <n v="-0.6157656709409397"/>
    <n v="0.38144329896907225"/>
  </r>
  <r>
    <n v="906"/>
    <n v="52"/>
    <x v="524"/>
    <n v="45"/>
    <n v="3"/>
    <n v="4325.4045999999998"/>
    <x v="75"/>
    <x v="2"/>
    <n v="2675.5080000000003"/>
    <n v="4459.18"/>
    <x v="3"/>
    <n v="5286.4013050166532"/>
    <n v="6258.09"/>
    <n v="194643.20699999999"/>
    <n v="74245.34699999998"/>
    <n v="-1932.6854000000003"/>
    <n v="-0.30882991455859538"/>
    <n v="0.38144329896907209"/>
  </r>
  <r>
    <n v="907"/>
    <n v="61"/>
    <x v="403"/>
    <n v="2"/>
    <n v="7"/>
    <n v="2271.2831999999999"/>
    <x v="146"/>
    <x v="7"/>
    <n v="1465.3439999999998"/>
    <n v="2442.2399999999998"/>
    <x v="4"/>
    <n v="2777.3915195572581"/>
    <n v="411.75600000000003"/>
    <n v="4542.5663999999997"/>
    <n v="1611.8784000000001"/>
    <n v="1859.5271999999998"/>
    <n v="4.5160901116195022"/>
    <n v="0.35483870967741937"/>
  </r>
  <r>
    <n v="908"/>
    <n v="13"/>
    <x v="598"/>
    <n v="37"/>
    <n v="4"/>
    <n v="1725.1776"/>
    <x v="93"/>
    <x v="4"/>
    <n v="1078.2359999999999"/>
    <n v="1797.06"/>
    <x v="4"/>
    <n v="2153.8948061974857"/>
    <n v="1712.5580000000002"/>
    <n v="63831.571199999998"/>
    <n v="23936.839200000002"/>
    <n v="12.619599999999764"/>
    <n v="7.368859915985188E-3"/>
    <n v="0.37500000000000006"/>
  </r>
  <r>
    <n v="909"/>
    <n v="75"/>
    <x v="120"/>
    <n v="32"/>
    <n v="4"/>
    <n v="3622.5023999999999"/>
    <x v="128"/>
    <x v="3"/>
    <n v="2264.0639999999999"/>
    <n v="3773.44"/>
    <x v="0"/>
    <n v="3920.6431576740788"/>
    <n v="3293.6366666666668"/>
    <n v="115920.0768"/>
    <n v="43470.0288"/>
    <n v="328.86573333333308"/>
    <n v="9.9848819592527324E-2"/>
    <n v="0.375"/>
  </r>
  <r>
    <n v="910"/>
    <n v="41"/>
    <x v="145"/>
    <n v="6"/>
    <n v="5"/>
    <n v="2927.3964999999998"/>
    <x v="72"/>
    <x v="7"/>
    <n v="1848.8819999999998"/>
    <n v="3081.47"/>
    <x v="1"/>
    <n v="3224.1138314308155"/>
    <n v="1589.1249999999998"/>
    <n v="17564.379000000001"/>
    <n v="6471.0869999999995"/>
    <n v="1338.2715000000001"/>
    <n v="0.84214363250216329"/>
    <n v="0.36842105263157893"/>
  </r>
  <r>
    <n v="911"/>
    <n v="55"/>
    <x v="599"/>
    <n v="14"/>
    <n v="3"/>
    <n v="935.36129999999991"/>
    <x v="47"/>
    <x v="6"/>
    <n v="578.57399999999996"/>
    <n v="964.29"/>
    <x v="2"/>
    <n v="1041.8460117435106"/>
    <n v="1508.7675000000002"/>
    <n v="13095.058199999999"/>
    <n v="4995.0221999999994"/>
    <n v="-573.40620000000024"/>
    <n v="-0.38004941119158531"/>
    <n v="0.38144329896907214"/>
  </r>
  <r>
    <n v="912"/>
    <n v="140"/>
    <x v="600"/>
    <n v="38"/>
    <n v="8"/>
    <n v="822.25920000000008"/>
    <x v="92"/>
    <x v="1"/>
    <n v="536.25599999999997"/>
    <n v="893.76"/>
    <x v="3"/>
    <n v="1014.492035632721"/>
    <n v="4472.5149999999994"/>
    <n v="31245.849600000001"/>
    <n v="10868.121600000004"/>
    <n v="-3650.2557999999995"/>
    <n v="-0.81615283570876784"/>
    <n v="0.34782608695652184"/>
  </r>
  <r>
    <n v="913"/>
    <n v="7"/>
    <x v="601"/>
    <n v="22"/>
    <n v="7"/>
    <n v="7779.2639999999992"/>
    <x v="24"/>
    <x v="3"/>
    <n v="5018.8799999999992"/>
    <n v="8364.7999999999993"/>
    <x v="1"/>
    <n v="9312.232882108372"/>
    <n v="1679.8333333333333"/>
    <n v="171143.80799999999"/>
    <n v="60728.448000000004"/>
    <n v="6099.4306666666662"/>
    <n v="3.630973707709098"/>
    <n v="0.35483870967741937"/>
  </r>
  <r>
    <n v="914"/>
    <n v="84"/>
    <x v="602"/>
    <n v="28"/>
    <n v="6"/>
    <n v="7294.5503999999992"/>
    <x v="80"/>
    <x v="6"/>
    <n v="4656.0959999999995"/>
    <n v="7760.16"/>
    <x v="1"/>
    <n v="10061.558126975942"/>
    <n v="2588.9250000000002"/>
    <n v="204247.41119999997"/>
    <n v="73876.723199999993"/>
    <n v="4705.625399999999"/>
    <n v="1.8175981922998923"/>
    <n v="0.36170212765957449"/>
  </r>
  <r>
    <n v="915"/>
    <n v="50"/>
    <x v="603"/>
    <n v="13"/>
    <n v="6"/>
    <n v="1275.298"/>
    <x v="10"/>
    <x v="1"/>
    <n v="814.02"/>
    <n v="1356.7"/>
    <x v="3"/>
    <n v="1431.3843489506119"/>
    <n v="4909.6483333333335"/>
    <n v="16578.874"/>
    <n v="5996.6140000000005"/>
    <n v="-3634.3503333333338"/>
    <n v="-0.74024656891583207"/>
    <n v="0.36170212765957449"/>
  </r>
  <r>
    <n v="916"/>
    <n v="119"/>
    <x v="604"/>
    <n v="50"/>
    <n v="10"/>
    <n v="1747.7190000000001"/>
    <x v="45"/>
    <x v="7"/>
    <n v="1165.146"/>
    <n v="1941.91"/>
    <x v="0"/>
    <n v="2205.6526165522168"/>
    <n v="4902.3539999999994"/>
    <n v="87385.95"/>
    <n v="29128.650000000005"/>
    <n v="-3154.6349999999993"/>
    <n v="-0.64349392149159357"/>
    <n v="0.33333333333333343"/>
  </r>
  <r>
    <n v="917"/>
    <n v="8"/>
    <x v="46"/>
    <n v="33"/>
    <n v="10"/>
    <n v="5079.5459999999994"/>
    <x v="114"/>
    <x v="1"/>
    <n v="3386.3639999999996"/>
    <n v="5643.94"/>
    <x v="2"/>
    <n v="6202.2395194341989"/>
    <n v="2853.6650000000004"/>
    <n v="167625.01799999998"/>
    <n v="55875.005999999994"/>
    <n v="2225.8809999999989"/>
    <n v="0.78000781451221446"/>
    <n v="0.33333333333333331"/>
  </r>
  <r>
    <n v="918"/>
    <n v="9"/>
    <x v="605"/>
    <n v="36"/>
    <n v="10"/>
    <n v="2577.4650000000001"/>
    <x v="20"/>
    <x v="0"/>
    <n v="1718.31"/>
    <n v="2863.85"/>
    <x v="4"/>
    <n v="3473.3782560648083"/>
    <n v="6325.1699999999992"/>
    <n v="92788.74"/>
    <n v="30929.580000000009"/>
    <n v="-3747.704999999999"/>
    <n v="-0.59250660456556892"/>
    <n v="0.33333333333333343"/>
  </r>
  <r>
    <n v="919"/>
    <n v="111"/>
    <x v="606"/>
    <n v="11"/>
    <n v="10"/>
    <n v="678.798"/>
    <x v="110"/>
    <x v="6"/>
    <n v="452.53199999999998"/>
    <n v="754.22"/>
    <x v="3"/>
    <n v="756.41902297280558"/>
    <n v="3824.0450000000001"/>
    <n v="7466.7780000000002"/>
    <n v="2488.9260000000004"/>
    <n v="-3145.2470000000003"/>
    <n v="-0.82249215163524492"/>
    <n v="0.33333333333333337"/>
  </r>
  <r>
    <n v="920"/>
    <n v="147"/>
    <x v="607"/>
    <n v="48"/>
    <n v="5"/>
    <n v="4355.1039999999994"/>
    <x v="37"/>
    <x v="4"/>
    <n v="2750.5919999999996"/>
    <n v="4584.32"/>
    <x v="1"/>
    <n v="4787.1064712934585"/>
    <n v="769.14"/>
    <n v="209044.99199999997"/>
    <n v="77016.575999999986"/>
    <n v="3585.9639999999995"/>
    <n v="4.6623033517955115"/>
    <n v="0.36842105263157893"/>
  </r>
  <r>
    <n v="921"/>
    <n v="141"/>
    <x v="363"/>
    <n v="24"/>
    <n v="4"/>
    <n v="7550.5823999999993"/>
    <x v="86"/>
    <x v="1"/>
    <n v="4719.1139999999996"/>
    <n v="7865.19"/>
    <x v="4"/>
    <n v="7884.4923953602383"/>
    <n v="7586.8133333333344"/>
    <n v="181213.97759999998"/>
    <n v="67955.241599999994"/>
    <n v="-36.230933333335088"/>
    <n v="-4.7755140058806092E-3"/>
    <n v="0.375"/>
  </r>
  <r>
    <n v="922"/>
    <n v="144"/>
    <x v="581"/>
    <n v="37"/>
    <n v="2"/>
    <n v="1546.6556"/>
    <x v="77"/>
    <x v="0"/>
    <n v="946.93200000000002"/>
    <n v="1578.22"/>
    <x v="2"/>
    <n v="1633.7662673809791"/>
    <n v="6414.0239999999994"/>
    <n v="57226.2572"/>
    <n v="22189.7732"/>
    <n v="-4867.3683999999994"/>
    <n v="-0.75886345295870417"/>
    <n v="0.38775510204081631"/>
  </r>
  <r>
    <n v="923"/>
    <n v="37"/>
    <x v="608"/>
    <n v="49"/>
    <n v="5"/>
    <n v="3668.3964999999998"/>
    <x v="96"/>
    <x v="7"/>
    <n v="2316.8819999999996"/>
    <n v="3861.47"/>
    <x v="1"/>
    <n v="4944.6298461431052"/>
    <n v="2618.5759999999996"/>
    <n v="179751.42849999998"/>
    <n v="66224.210500000016"/>
    <n v="1049.8205000000003"/>
    <n v="0.40091274799738502"/>
    <n v="0.36842105263157909"/>
  </r>
  <r>
    <n v="924"/>
    <n v="122"/>
    <x v="609"/>
    <n v="21"/>
    <n v="8"/>
    <n v="4735.9207999999999"/>
    <x v="89"/>
    <x v="6"/>
    <n v="3088.6439999999998"/>
    <n v="5147.74"/>
    <x v="3"/>
    <n v="5996.0350820558915"/>
    <n v="4724.1475"/>
    <n v="99454.33679999999"/>
    <n v="34592.8128"/>
    <n v="11.773299999999836"/>
    <n v="2.4921533461857055E-3"/>
    <n v="0.34782608695652178"/>
  </r>
  <r>
    <n v="925"/>
    <n v="99"/>
    <x v="610"/>
    <n v="21"/>
    <n v="10"/>
    <n v="1839.5820000000001"/>
    <x v="106"/>
    <x v="3"/>
    <n v="1226.3879999999999"/>
    <n v="2043.98"/>
    <x v="2"/>
    <n v="2560.7854606820388"/>
    <n v="958.76666666666654"/>
    <n v="38631.222000000002"/>
    <n v="12877.074000000004"/>
    <n v="880.81533333333357"/>
    <n v="0.91869624169940589"/>
    <n v="0.33333333333333343"/>
  </r>
  <r>
    <n v="926"/>
    <n v="62"/>
    <x v="401"/>
    <n v="6"/>
    <n v="4"/>
    <n v="3319.6223999999997"/>
    <x v="79"/>
    <x v="7"/>
    <n v="2074.7640000000001"/>
    <n v="3457.94"/>
    <x v="0"/>
    <n v="3640.220492158362"/>
    <n v="5560.3266666666668"/>
    <n v="19917.734399999998"/>
    <n v="7469.1503999999977"/>
    <n v="-2240.7042666666671"/>
    <n v="-0.40298068818498678"/>
    <n v="0.37499999999999994"/>
  </r>
  <r>
    <n v="927"/>
    <n v="126"/>
    <x v="611"/>
    <n v="2"/>
    <n v="3"/>
    <n v="982.83309999999994"/>
    <x v="59"/>
    <x v="4"/>
    <n v="607.93799999999999"/>
    <n v="1013.23"/>
    <x v="4"/>
    <n v="1201.4495049068555"/>
    <n v="7593.0025000000005"/>
    <n v="1965.6661999999999"/>
    <n v="749.79019999999991"/>
    <n v="-6610.1694000000007"/>
    <n v="-0.8705606774131841"/>
    <n v="0.38144329896907214"/>
  </r>
  <r>
    <n v="928"/>
    <n v="118"/>
    <x v="255"/>
    <n v="18"/>
    <n v="6"/>
    <n v="2960.2949999999996"/>
    <x v="131"/>
    <x v="1"/>
    <n v="1889.55"/>
    <n v="3149.25"/>
    <x v="4"/>
    <n v="3666.5775891463959"/>
    <n v="224.52399999999997"/>
    <n v="53285.30999999999"/>
    <n v="19273.409999999993"/>
    <n v="2735.7709999999997"/>
    <n v="12.184759758422263"/>
    <n v="0.36170212765957438"/>
  </r>
  <r>
    <n v="929"/>
    <n v="132"/>
    <x v="612"/>
    <n v="2"/>
    <n v="4"/>
    <n v="5268.7968000000001"/>
    <x v="145"/>
    <x v="4"/>
    <n v="3292.998"/>
    <n v="5488.33"/>
    <x v="4"/>
    <n v="7059.4246338351431"/>
    <n v="3374.6533333333332"/>
    <n v="10537.5936"/>
    <n v="3951.5976000000001"/>
    <n v="1894.1434666666669"/>
    <n v="0.56128534684056441"/>
    <n v="0.375"/>
  </r>
  <r>
    <n v="930"/>
    <n v="58"/>
    <x v="531"/>
    <n v="41"/>
    <n v="6"/>
    <n v="1070.2651999999998"/>
    <x v="103"/>
    <x v="7"/>
    <n v="683.14799999999991"/>
    <n v="1138.58"/>
    <x v="2"/>
    <n v="1345.0390619188779"/>
    <n v="1439.8525"/>
    <n v="43880.873199999995"/>
    <n v="15871.805199999997"/>
    <n v="-369.58730000000014"/>
    <n v="-0.25668413952123581"/>
    <n v="0.36170212765957444"/>
  </r>
  <r>
    <n v="931"/>
    <n v="141"/>
    <x v="272"/>
    <n v="40"/>
    <n v="7"/>
    <n v="7314.6266999999989"/>
    <x v="86"/>
    <x v="1"/>
    <n v="4719.1139999999996"/>
    <n v="7865.19"/>
    <x v="4"/>
    <n v="8319.4486905866434"/>
    <n v="7586.8133333333344"/>
    <n v="292585.06799999997"/>
    <n v="103820.50799999997"/>
    <n v="-272.18663333333552"/>
    <n v="-3.58762791931969E-2"/>
    <n v="0.35483870967741932"/>
  </r>
  <r>
    <n v="932"/>
    <n v="16"/>
    <x v="497"/>
    <n v="39"/>
    <n v="9"/>
    <n v="6144.1380000000008"/>
    <x v="142"/>
    <x v="2"/>
    <n v="4051.08"/>
    <n v="6751.8"/>
    <x v="0"/>
    <n v="8036.4471256525694"/>
    <n v="6827.7939999999999"/>
    <n v="239621.38200000004"/>
    <n v="81629.262000000032"/>
    <n v="-683.65599999999904"/>
    <n v="-0.10012838700171667"/>
    <n v="0.34065934065934073"/>
  </r>
  <r>
    <n v="933"/>
    <n v="32"/>
    <x v="132"/>
    <n v="6"/>
    <n v="8"/>
    <n v="873.04320000000007"/>
    <x v="11"/>
    <x v="2"/>
    <n v="569.37599999999998"/>
    <n v="948.96"/>
    <x v="0"/>
    <n v="1053.0284387748418"/>
    <n v="2168.4866666666671"/>
    <n v="5238.2592000000004"/>
    <n v="1822.0032000000006"/>
    <n v="-1295.4434666666671"/>
    <n v="-0.59739517267034159"/>
    <n v="0.34782608695652184"/>
  </r>
  <r>
    <n v="934"/>
    <n v="25"/>
    <x v="7"/>
    <n v="3"/>
    <n v="4"/>
    <n v="545.44319999999993"/>
    <x v="38"/>
    <x v="4"/>
    <n v="340.90199999999999"/>
    <n v="568.16999999999996"/>
    <x v="1"/>
    <n v="672.42945627882182"/>
    <n v="2024.2300000000002"/>
    <n v="1636.3295999999998"/>
    <n v="613.6235999999999"/>
    <n v="-1478.7868000000003"/>
    <n v="-0.73054287309248467"/>
    <n v="0.375"/>
  </r>
  <r>
    <n v="935"/>
    <n v="138"/>
    <x v="139"/>
    <n v="23"/>
    <n v="2"/>
    <n v="3029.6601999999998"/>
    <x v="13"/>
    <x v="4"/>
    <n v="1854.8939999999998"/>
    <n v="3091.49"/>
    <x v="4"/>
    <n v="3619.8341958061096"/>
    <n v="4980.4933333333329"/>
    <n v="69682.184599999993"/>
    <n v="27019.622600000002"/>
    <n v="-1950.8331333333331"/>
    <n v="-0.39169475848443391"/>
    <n v="0.38775510204081642"/>
  </r>
  <r>
    <n v="936"/>
    <n v="52"/>
    <x v="613"/>
    <n v="10"/>
    <n v="9"/>
    <n v="4057.8538000000003"/>
    <x v="75"/>
    <x v="2"/>
    <n v="2675.5080000000003"/>
    <n v="4459.18"/>
    <x v="3"/>
    <n v="5168.9242862438396"/>
    <n v="6258.09"/>
    <n v="40578.538"/>
    <n v="13823.458000000001"/>
    <n v="-2200.2361999999998"/>
    <n v="-0.35158270334878527"/>
    <n v="0.34065934065934067"/>
  </r>
  <r>
    <n v="937"/>
    <n v="107"/>
    <x v="244"/>
    <n v="1"/>
    <n v="7"/>
    <n v="1458.1469999999999"/>
    <x v="137"/>
    <x v="6"/>
    <n v="940.74"/>
    <n v="1567.9"/>
    <x v="2"/>
    <n v="1750.7861101886363"/>
    <n v="979.96"/>
    <n v="1458.1469999999999"/>
    <n v="517.40699999999993"/>
    <n v="478.1869999999999"/>
    <n v="0.48796583534021787"/>
    <n v="0.35483870967741932"/>
  </r>
  <r>
    <n v="938"/>
    <n v="29"/>
    <x v="141"/>
    <n v="1"/>
    <n v="6"/>
    <n v="7024.62"/>
    <x v="56"/>
    <x v="5"/>
    <n v="4483.8"/>
    <n v="7473"/>
    <x v="2"/>
    <n v="8553.8486118861056"/>
    <n v="1925.7060000000001"/>
    <n v="7024.62"/>
    <n v="2540.8199999999997"/>
    <n v="5098.9139999999998"/>
    <n v="2.647815398612249"/>
    <n v="0.36170212765957444"/>
  </r>
  <r>
    <n v="939"/>
    <n v="39"/>
    <x v="432"/>
    <n v="22"/>
    <n v="8"/>
    <n v="2950.9736000000003"/>
    <x v="49"/>
    <x v="6"/>
    <n v="1924.5479999999998"/>
    <n v="3207.58"/>
    <x v="1"/>
    <n v="3636.3627070037419"/>
    <n v="9555.6079999999984"/>
    <n v="64921.419200000004"/>
    <n v="22581.363200000011"/>
    <n v="-6604.6343999999981"/>
    <n v="-0.69117887632058572"/>
    <n v="0.3478260869565219"/>
  </r>
  <r>
    <n v="940"/>
    <n v="28"/>
    <x v="211"/>
    <n v="8"/>
    <n v="2"/>
    <n v="5602.2875999999997"/>
    <x v="70"/>
    <x v="0"/>
    <n v="3429.9719999999998"/>
    <n v="5716.62"/>
    <x v="4"/>
    <n v="7385.6346134127789"/>
    <n v="3542.9559999999997"/>
    <n v="44818.300799999997"/>
    <n v="17378.524799999999"/>
    <n v="2059.3316"/>
    <n v="0.58124673295406437"/>
    <n v="0.38775510204081631"/>
  </r>
  <r>
    <n v="941"/>
    <n v="72"/>
    <x v="605"/>
    <n v="2"/>
    <n v="3"/>
    <n v="5627.3579999999993"/>
    <x v="65"/>
    <x v="5"/>
    <n v="3480.8399999999997"/>
    <n v="5801.4"/>
    <x v="3"/>
    <n v="7252.7338253658054"/>
    <n v="5210.5919999999996"/>
    <n v="11254.715999999999"/>
    <n v="4293.0359999999991"/>
    <n v="416.76599999999962"/>
    <n v="7.9984385651380815E-2"/>
    <n v="0.38144329896907214"/>
  </r>
  <r>
    <n v="942"/>
    <n v="34"/>
    <x v="392"/>
    <n v="45"/>
    <n v="2"/>
    <n v="1277.3222000000001"/>
    <x v="23"/>
    <x v="1"/>
    <n v="782.03399999999999"/>
    <n v="1303.3900000000001"/>
    <x v="2"/>
    <n v="1391.8281046227335"/>
    <n v="4145.4440000000004"/>
    <n v="57479.499000000003"/>
    <n v="22287.969000000005"/>
    <n v="-2868.1218000000003"/>
    <n v="-0.6918732468705403"/>
    <n v="0.38775510204081637"/>
  </r>
  <r>
    <n v="943"/>
    <n v="93"/>
    <x v="614"/>
    <n v="25"/>
    <n v="4"/>
    <n v="7356.0671999999995"/>
    <x v="66"/>
    <x v="2"/>
    <n v="4597.5419999999995"/>
    <n v="7662.57"/>
    <x v="3"/>
    <n v="9375.4185468081687"/>
    <n v="991.00333333333344"/>
    <n v="183901.68"/>
    <n v="68963.13"/>
    <n v="6365.0638666666664"/>
    <n v="6.4228480899828782"/>
    <n v="0.37500000000000006"/>
  </r>
  <r>
    <n v="944"/>
    <n v="108"/>
    <x v="615"/>
    <n v="41"/>
    <n v="4"/>
    <n v="806.91839999999991"/>
    <x v="82"/>
    <x v="6"/>
    <n v="504.32399999999996"/>
    <n v="840.54"/>
    <x v="3"/>
    <n v="989.30839679178825"/>
    <n v="5163.7120000000004"/>
    <n v="33083.654399999999"/>
    <n v="12406.370399999998"/>
    <n v="-4356.7936000000009"/>
    <n v="-0.84373288053245432"/>
    <n v="0.37499999999999994"/>
  </r>
  <r>
    <n v="945"/>
    <n v="93"/>
    <x v="616"/>
    <n v="3"/>
    <n v="6"/>
    <n v="7202.8157999999994"/>
    <x v="66"/>
    <x v="2"/>
    <n v="4597.5419999999995"/>
    <n v="7662.57"/>
    <x v="3"/>
    <n v="9119.5672054631523"/>
    <n v="991.00333333333344"/>
    <n v="21608.447399999997"/>
    <n v="7815.8213999999998"/>
    <n v="6211.8124666666663"/>
    <n v="6.2682054214415679"/>
    <n v="0.36170212765957449"/>
  </r>
  <r>
    <n v="946"/>
    <n v="32"/>
    <x v="617"/>
    <n v="43"/>
    <n v="2"/>
    <n v="929.98080000000004"/>
    <x v="11"/>
    <x v="2"/>
    <n v="569.37599999999998"/>
    <n v="948.96"/>
    <x v="0"/>
    <n v="1171.2219168279005"/>
    <n v="2168.4866666666671"/>
    <n v="39989.174400000004"/>
    <n v="15506.006400000002"/>
    <n v="-1238.5058666666671"/>
    <n v="-0.57113833610536391"/>
    <n v="0.38775510204081637"/>
  </r>
  <r>
    <n v="947"/>
    <n v="99"/>
    <x v="322"/>
    <n v="7"/>
    <n v="9"/>
    <n v="1860.0218"/>
    <x v="106"/>
    <x v="3"/>
    <n v="1226.3879999999999"/>
    <n v="2043.98"/>
    <x v="2"/>
    <n v="2360.8124353489889"/>
    <n v="958.76666666666654"/>
    <n v="13020.152599999999"/>
    <n v="4435.4366000000009"/>
    <n v="901.25513333333345"/>
    <n v="0.9400150888293991"/>
    <n v="0.34065934065934073"/>
  </r>
  <r>
    <n v="948"/>
    <n v="22"/>
    <x v="121"/>
    <n v="35"/>
    <n v="6"/>
    <n v="1536.4299999999998"/>
    <x v="6"/>
    <x v="3"/>
    <n v="980.69999999999993"/>
    <n v="1634.5"/>
    <x v="1"/>
    <n v="1686.1923160485233"/>
    <n v="3187.4450000000002"/>
    <n v="53775.049999999996"/>
    <n v="19450.549999999996"/>
    <n v="-1651.0150000000003"/>
    <n v="-0.51797442779404834"/>
    <n v="0.36170212765957444"/>
  </r>
  <r>
    <n v="949"/>
    <n v="17"/>
    <x v="339"/>
    <n v="5"/>
    <n v="2"/>
    <n v="2919.5866000000001"/>
    <x v="135"/>
    <x v="4"/>
    <n v="1787.502"/>
    <n v="2979.17"/>
    <x v="2"/>
    <n v="3075.7702791799425"/>
    <n v="1105.6675"/>
    <n v="14597.933000000001"/>
    <n v="5660.4230000000007"/>
    <n v="1813.9191000000001"/>
    <n v="1.6405647267374686"/>
    <n v="0.38775510204081637"/>
  </r>
  <r>
    <n v="950"/>
    <n v="25"/>
    <x v="536"/>
    <n v="47"/>
    <n v="6"/>
    <n v="534.07979999999998"/>
    <x v="38"/>
    <x v="4"/>
    <n v="340.90199999999999"/>
    <n v="568.16999999999996"/>
    <x v="1"/>
    <n v="588.12311549451522"/>
    <n v="2024.2300000000002"/>
    <n v="25101.750599999999"/>
    <n v="9079.3565999999992"/>
    <n v="-1490.1502000000003"/>
    <n v="-0.73615656323639111"/>
    <n v="0.36170212765957444"/>
  </r>
  <r>
    <n v="951"/>
    <n v="21"/>
    <x v="420"/>
    <n v="14"/>
    <n v="2"/>
    <n v="2821.7139999999999"/>
    <x v="67"/>
    <x v="0"/>
    <n v="1727.5800000000002"/>
    <n v="2879.3"/>
    <x v="3"/>
    <n v="3693.3830708559326"/>
    <n v="4150.0079999999998"/>
    <n v="39503.995999999999"/>
    <n v="15317.875999999997"/>
    <n v="-1328.2939999999999"/>
    <n v="-0.32007022637064797"/>
    <n v="0.38775510204081626"/>
  </r>
  <r>
    <n v="952"/>
    <n v="9"/>
    <x v="618"/>
    <n v="7"/>
    <n v="6"/>
    <n v="2692.0189999999998"/>
    <x v="20"/>
    <x v="0"/>
    <n v="1718.31"/>
    <n v="2863.85"/>
    <x v="4"/>
    <n v="3677.4393815733479"/>
    <n v="6325.1699999999992"/>
    <n v="18844.132999999998"/>
    <n v="6815.9629999999988"/>
    <n v="-3633.1509999999994"/>
    <n v="-0.57439578699070537"/>
    <n v="0.36170212765957444"/>
  </r>
  <r>
    <n v="953"/>
    <n v="76"/>
    <x v="619"/>
    <n v="42"/>
    <n v="8"/>
    <n v="2820.3244000000004"/>
    <x v="63"/>
    <x v="5"/>
    <n v="1839.3420000000001"/>
    <n v="3065.57"/>
    <x v="1"/>
    <n v="3125.7978168153663"/>
    <n v="831.92600000000004"/>
    <n v="118453.62480000002"/>
    <n v="41201.260800000011"/>
    <n v="1988.3984000000005"/>
    <n v="2.3901145053766806"/>
    <n v="0.34782608695652178"/>
  </r>
  <r>
    <n v="954"/>
    <n v="113"/>
    <x v="620"/>
    <n v="10"/>
    <n v="5"/>
    <n v="4587.7019999999993"/>
    <x v="87"/>
    <x v="7"/>
    <n v="2897.4959999999996"/>
    <n v="4829.16"/>
    <x v="1"/>
    <n v="5774.4479568792822"/>
    <n v="4302.05"/>
    <n v="45877.01999999999"/>
    <n v="16902.059999999998"/>
    <n v="285.65199999999913"/>
    <n v="6.6399042317034696E-2"/>
    <n v="0.36842105263157898"/>
  </r>
  <r>
    <n v="955"/>
    <n v="9"/>
    <x v="555"/>
    <n v="9"/>
    <n v="6"/>
    <n v="2692.0189999999998"/>
    <x v="20"/>
    <x v="0"/>
    <n v="1718.31"/>
    <n v="2863.85"/>
    <x v="4"/>
    <n v="3104.1192996419572"/>
    <n v="6325.1699999999992"/>
    <n v="24228.170999999998"/>
    <n v="8763.3809999999976"/>
    <n v="-3633.1509999999994"/>
    <n v="-0.57439578699070537"/>
    <n v="0.36170212765957438"/>
  </r>
  <r>
    <n v="956"/>
    <n v="101"/>
    <x v="26"/>
    <n v="50"/>
    <n v="9"/>
    <n v="4295.4638999999997"/>
    <x v="5"/>
    <x v="3"/>
    <n v="2832.174"/>
    <n v="4720.29"/>
    <x v="2"/>
    <n v="5012.3067981796166"/>
    <n v="6068.0179999999991"/>
    <n v="214773.19499999998"/>
    <n v="73164.494999999995"/>
    <n v="-1772.5540999999994"/>
    <n v="-0.2921141796217479"/>
    <n v="0.34065934065934067"/>
  </r>
  <r>
    <n v="957"/>
    <n v="108"/>
    <x v="621"/>
    <n v="27"/>
    <n v="4"/>
    <n v="806.91839999999991"/>
    <x v="82"/>
    <x v="6"/>
    <n v="504.32399999999996"/>
    <n v="840.54"/>
    <x v="3"/>
    <n v="1037.9022530192103"/>
    <n v="5163.7120000000004"/>
    <n v="21786.796799999996"/>
    <n v="8170.0487999999987"/>
    <n v="-4356.7936000000009"/>
    <n v="-0.84373288053245432"/>
    <n v="0.375"/>
  </r>
  <r>
    <n v="958"/>
    <n v="116"/>
    <x v="533"/>
    <n v="11"/>
    <n v="3"/>
    <n v="2292.2555000000002"/>
    <x v="58"/>
    <x v="1"/>
    <n v="1417.89"/>
    <n v="2363.15"/>
    <x v="4"/>
    <n v="2435.5170717995311"/>
    <n v="4469.4999999999991"/>
    <n v="25214.810500000003"/>
    <n v="9618.0205000000005"/>
    <n v="-2177.2444999999989"/>
    <n v="-0.48713379572659121"/>
    <n v="0.38144329896907214"/>
  </r>
  <r>
    <n v="959"/>
    <n v="123"/>
    <x v="82"/>
    <n v="35"/>
    <n v="2"/>
    <n v="4535.0675999999994"/>
    <x v="148"/>
    <x v="3"/>
    <n v="2776.5719999999997"/>
    <n v="4627.62"/>
    <x v="2"/>
    <n v="5449.6417679206888"/>
    <n v="809.94800000000009"/>
    <n v="158727.36599999998"/>
    <n v="61547.34599999999"/>
    <n v="3725.1195999999991"/>
    <n v="4.5992083442393819"/>
    <n v="0.38775510204081631"/>
  </r>
  <r>
    <n v="960"/>
    <n v="105"/>
    <x v="622"/>
    <n v="16"/>
    <n v="3"/>
    <n v="4018.7875999999997"/>
    <x v="85"/>
    <x v="1"/>
    <n v="2485.848"/>
    <n v="4143.08"/>
    <x v="3"/>
    <n v="4549.7417403638701"/>
    <n v="4778.8849999999993"/>
    <n v="64300.601599999995"/>
    <n v="24527.033599999995"/>
    <n v="-760.09739999999965"/>
    <n v="-0.15905329381225949"/>
    <n v="0.38144329896907214"/>
  </r>
  <r>
    <n v="961"/>
    <n v="43"/>
    <x v="623"/>
    <n v="9"/>
    <n v="9"/>
    <n v="2934.7318"/>
    <x v="119"/>
    <x v="3"/>
    <n v="1934.9879999999998"/>
    <n v="3224.98"/>
    <x v="2"/>
    <n v="3503.7802418105607"/>
    <n v="445.53000000000003"/>
    <n v="26412.586200000002"/>
    <n v="8997.6942000000017"/>
    <n v="2489.2017999999998"/>
    <n v="5.5870576616613912"/>
    <n v="0.34065934065934073"/>
  </r>
  <r>
    <n v="962"/>
    <n v="36"/>
    <x v="624"/>
    <n v="9"/>
    <n v="6"/>
    <n v="138.55600000000001"/>
    <x v="57"/>
    <x v="0"/>
    <n v="88.44"/>
    <n v="147.4"/>
    <x v="3"/>
    <n v="168.34516343909445"/>
    <n v="2726.4116666666664"/>
    <n v="1247.0040000000001"/>
    <n v="451.0440000000001"/>
    <n v="-2587.8556666666664"/>
    <n v="-0.94918008835789658"/>
    <n v="0.36170212765957449"/>
  </r>
  <r>
    <n v="963"/>
    <n v="106"/>
    <x v="625"/>
    <n v="22"/>
    <n v="10"/>
    <n v="1290.627"/>
    <x v="74"/>
    <x v="1"/>
    <n v="860.41800000000001"/>
    <n v="1434.03"/>
    <x v="2"/>
    <n v="1438.5138343833162"/>
    <n v="695.38400000000001"/>
    <n v="28393.793999999998"/>
    <n v="9464.5979999999981"/>
    <n v="595.24299999999994"/>
    <n v="0.85599179733787367"/>
    <n v="0.33333333333333331"/>
  </r>
  <r>
    <n v="964"/>
    <n v="55"/>
    <x v="597"/>
    <n v="27"/>
    <n v="4"/>
    <n v="925.71839999999997"/>
    <x v="47"/>
    <x v="6"/>
    <n v="578.57399999999996"/>
    <n v="964.29"/>
    <x v="2"/>
    <n v="1239.4156947529848"/>
    <n v="1508.7675000000002"/>
    <n v="24994.396799999999"/>
    <n v="9372.8988000000008"/>
    <n v="-583.04910000000018"/>
    <n v="-0.38644065437517716"/>
    <n v="0.37500000000000006"/>
  </r>
  <r>
    <n v="965"/>
    <n v="97"/>
    <x v="626"/>
    <n v="39"/>
    <n v="5"/>
    <n v="875.55799999999999"/>
    <x v="73"/>
    <x v="0"/>
    <n v="552.98399999999992"/>
    <n v="921.64"/>
    <x v="3"/>
    <n v="1174.5789260172305"/>
    <n v="2464.87"/>
    <n v="34146.762000000002"/>
    <n v="12580.386000000002"/>
    <n v="-1589.3119999999999"/>
    <n v="-0.64478532336390959"/>
    <n v="0.36842105263157898"/>
  </r>
  <r>
    <n v="966"/>
    <n v="21"/>
    <x v="627"/>
    <n v="10"/>
    <n v="5"/>
    <n v="2735.335"/>
    <x v="67"/>
    <x v="0"/>
    <n v="1727.5800000000002"/>
    <n v="2879.3"/>
    <x v="3"/>
    <n v="3719.3450907831839"/>
    <n v="4150.0079999999998"/>
    <n v="27353.35"/>
    <n v="10077.549999999999"/>
    <n v="-1414.6729999999998"/>
    <n v="-0.3408844031144036"/>
    <n v="0.36842105263157893"/>
  </r>
  <r>
    <n v="967"/>
    <n v="85"/>
    <x v="611"/>
    <n v="8"/>
    <n v="6"/>
    <n v="3527.8481999999999"/>
    <x v="42"/>
    <x v="3"/>
    <n v="2251.8180000000002"/>
    <n v="3753.03"/>
    <x v="1"/>
    <n v="3861.9486918468347"/>
    <n v="3340.25"/>
    <n v="28222.785599999999"/>
    <n v="10208.241599999998"/>
    <n v="187.59819999999991"/>
    <n v="5.6162921936980734E-2"/>
    <n v="0.36170212765957438"/>
  </r>
  <r>
    <n v="968"/>
    <n v="89"/>
    <x v="628"/>
    <n v="39"/>
    <n v="10"/>
    <n v="907.53300000000002"/>
    <x v="108"/>
    <x v="1"/>
    <n v="605.02199999999993"/>
    <n v="1008.37"/>
    <x v="0"/>
    <n v="1197.365432588816"/>
    <n v="913.02"/>
    <n v="35393.787000000004"/>
    <n v="11797.929000000004"/>
    <n v="-5.4869999999999663"/>
    <n v="-6.0097259643819047E-3"/>
    <n v="0.33333333333333343"/>
  </r>
  <r>
    <n v="969"/>
    <n v="149"/>
    <x v="517"/>
    <n v="33"/>
    <n v="4"/>
    <n v="5882.6687999999995"/>
    <x v="14"/>
    <x v="5"/>
    <n v="3676.6679999999997"/>
    <n v="6127.78"/>
    <x v="0"/>
    <n v="7904.303828320205"/>
    <n v="3159.4639999999999"/>
    <n v="194128.07039999997"/>
    <n v="72798.026399999988"/>
    <n v="2723.2047999999995"/>
    <n v="0.86191986995262471"/>
    <n v="0.375"/>
  </r>
  <r>
    <n v="970"/>
    <n v="120"/>
    <x v="629"/>
    <n v="22"/>
    <n v="6"/>
    <n v="1858.0039999999999"/>
    <x v="125"/>
    <x v="0"/>
    <n v="1185.9599999999998"/>
    <n v="1976.6"/>
    <x v="2"/>
    <n v="2485.5666987809377"/>
    <n v="1688.8574999999998"/>
    <n v="40876.087999999996"/>
    <n v="14784.968000000003"/>
    <n v="169.14650000000006"/>
    <n v="0.10015439431686811"/>
    <n v="0.36170212765957455"/>
  </r>
  <r>
    <n v="971"/>
    <n v="21"/>
    <x v="630"/>
    <n v="1"/>
    <n v="7"/>
    <n v="2677.7489999999998"/>
    <x v="67"/>
    <x v="0"/>
    <n v="1727.5800000000002"/>
    <n v="2879.3"/>
    <x v="3"/>
    <n v="3008.2912727903604"/>
    <n v="4150.0079999999998"/>
    <n v="2677.7489999999998"/>
    <n v="950.16899999999964"/>
    <n v="-1472.259"/>
    <n v="-0.35476052094357413"/>
    <n v="0.35483870967741926"/>
  </r>
  <r>
    <n v="972"/>
    <n v="102"/>
    <x v="430"/>
    <n v="25"/>
    <n v="7"/>
    <n v="3853.8641999999995"/>
    <x v="143"/>
    <x v="1"/>
    <n v="2486.3639999999996"/>
    <n v="4143.9399999999996"/>
    <x v="0"/>
    <n v="4842.5329973674407"/>
    <n v="2740.84"/>
    <n v="96346.604999999981"/>
    <n v="34187.504999999997"/>
    <n v="1113.0241999999994"/>
    <n v="0.40608871732753438"/>
    <n v="0.35483870967741937"/>
  </r>
  <r>
    <n v="973"/>
    <n v="11"/>
    <x v="631"/>
    <n v="21"/>
    <n v="2"/>
    <n v="3136.1959999999999"/>
    <x v="16"/>
    <x v="1"/>
    <n v="1920.12"/>
    <n v="3200.2"/>
    <x v="1"/>
    <n v="3575.5790222071237"/>
    <n v="7089.33"/>
    <n v="65860.115999999995"/>
    <n v="25537.596000000001"/>
    <n v="-3953.134"/>
    <n v="-0.55761743352333715"/>
    <n v="0.38775510204081637"/>
  </r>
  <r>
    <n v="974"/>
    <n v="150"/>
    <x v="92"/>
    <n v="28"/>
    <n v="7"/>
    <n v="2129.4395999999997"/>
    <x v="29"/>
    <x v="1"/>
    <n v="1373.8319999999999"/>
    <n v="2289.7199999999998"/>
    <x v="3"/>
    <n v="2572.7553300689465"/>
    <n v="1810.3166666666666"/>
    <n v="59624.308799999992"/>
    <n v="21157.012799999997"/>
    <n v="319.12293333333309"/>
    <n v="0.17628017197727824"/>
    <n v="0.35483870967741937"/>
  </r>
  <r>
    <n v="975"/>
    <n v="1"/>
    <x v="355"/>
    <n v="20"/>
    <n v="4"/>
    <n v="1834.5119999999999"/>
    <x v="97"/>
    <x v="7"/>
    <n v="1146.57"/>
    <n v="1910.95"/>
    <x v="1"/>
    <n v="2061.9135878663574"/>
    <n v="4785.0083333333332"/>
    <n v="36690.239999999998"/>
    <n v="13758.84"/>
    <n v="-2950.4963333333335"/>
    <n v="-0.61661257991539553"/>
    <n v="0.375"/>
  </r>
  <r>
    <n v="976"/>
    <n v="34"/>
    <x v="632"/>
    <n v="41"/>
    <n v="7"/>
    <n v="1212.1527000000001"/>
    <x v="23"/>
    <x v="1"/>
    <n v="782.03399999999999"/>
    <n v="1303.3900000000001"/>
    <x v="2"/>
    <n v="1465.5121247654565"/>
    <n v="4145.4440000000004"/>
    <n v="49698.260700000006"/>
    <n v="17634.866700000006"/>
    <n v="-2933.2913000000003"/>
    <n v="-0.70759399958122704"/>
    <n v="0.35483870967741943"/>
  </r>
  <r>
    <n v="977"/>
    <n v="136"/>
    <x v="633"/>
    <n v="30"/>
    <n v="7"/>
    <n v="4795.4240999999993"/>
    <x v="30"/>
    <x v="3"/>
    <n v="3093.8219999999997"/>
    <n v="5156.37"/>
    <x v="3"/>
    <n v="6694.1854678784784"/>
    <n v="5805.195999999999"/>
    <n v="143862.72299999997"/>
    <n v="51048.062999999987"/>
    <n v="-1009.7718999999997"/>
    <n v="-0.17394277471423875"/>
    <n v="0.35483870967741932"/>
  </r>
  <r>
    <n v="978"/>
    <n v="80"/>
    <x v="427"/>
    <n v="17"/>
    <n v="5"/>
    <n v="949.11649999999997"/>
    <x v="130"/>
    <x v="0"/>
    <n v="599.44200000000001"/>
    <n v="999.07"/>
    <x v="4"/>
    <n v="1039.2049794374991"/>
    <n v="4319.1966666666667"/>
    <n v="16134.9805"/>
    <n v="5944.4664999999995"/>
    <n v="-3370.0801666666666"/>
    <n v="-0.78025624363789869"/>
    <n v="0.36842105263157893"/>
  </r>
  <r>
    <n v="979"/>
    <n v="35"/>
    <x v="120"/>
    <n v="25"/>
    <n v="6"/>
    <n v="127.07859999999999"/>
    <x v="104"/>
    <x v="3"/>
    <n v="81.11399999999999"/>
    <n v="135.19"/>
    <x v="3"/>
    <n v="138.79864777773412"/>
    <n v="2089.5899999999997"/>
    <n v="3176.9649999999997"/>
    <n v="1149.115"/>
    <n v="-1962.5113999999996"/>
    <n v="-0.93918491187266395"/>
    <n v="0.36170212765957449"/>
  </r>
  <r>
    <n v="980"/>
    <n v="1"/>
    <x v="634"/>
    <n v="16"/>
    <n v="3"/>
    <n v="1853.6215"/>
    <x v="97"/>
    <x v="7"/>
    <n v="1146.57"/>
    <n v="1910.95"/>
    <x v="1"/>
    <n v="2243.4941730060668"/>
    <n v="4785.0083333333332"/>
    <n v="29657.944"/>
    <n v="11312.824000000001"/>
    <n v="-2931.386833333333"/>
    <n v="-0.61261896095618085"/>
    <n v="0.3814432989690722"/>
  </r>
  <r>
    <n v="981"/>
    <n v="142"/>
    <x v="635"/>
    <n v="24"/>
    <n v="8"/>
    <n v="2743.7528000000002"/>
    <x v="141"/>
    <x v="3"/>
    <n v="1789.404"/>
    <n v="2982.34"/>
    <x v="0"/>
    <n v="3567.8218550580204"/>
    <n v="2210.1966666666667"/>
    <n v="65850.067200000005"/>
    <n v="22904.371200000005"/>
    <n v="533.55613333333349"/>
    <n v="0.24140663198900858"/>
    <n v="0.34782608695652178"/>
  </r>
  <r>
    <n v="982"/>
    <n v="61"/>
    <x v="598"/>
    <n v="41"/>
    <n v="9"/>
    <n v="2222.4384"/>
    <x v="146"/>
    <x v="7"/>
    <n v="1465.3439999999998"/>
    <n v="2442.2399999999998"/>
    <x v="4"/>
    <n v="2491.9872419620101"/>
    <n v="411.75600000000003"/>
    <n v="91119.974400000006"/>
    <n v="31040.870400000007"/>
    <n v="1810.6823999999999"/>
    <n v="4.3974645178212333"/>
    <n v="0.34065934065934073"/>
  </r>
  <r>
    <n v="983"/>
    <n v="98"/>
    <x v="636"/>
    <n v="48"/>
    <n v="3"/>
    <n v="7573.4495999999999"/>
    <x v="124"/>
    <x v="1"/>
    <n v="4684.6080000000002"/>
    <n v="7807.68"/>
    <x v="3"/>
    <n v="8468.6419308427121"/>
    <n v="6533.69"/>
    <n v="363525.5808"/>
    <n v="138664.39679999999"/>
    <n v="1039.7596000000003"/>
    <n v="0.15913818990493891"/>
    <n v="0.38144329896907214"/>
  </r>
  <r>
    <n v="984"/>
    <n v="89"/>
    <x v="271"/>
    <n v="49"/>
    <n v="8"/>
    <n v="927.70040000000006"/>
    <x v="108"/>
    <x v="1"/>
    <n v="605.02199999999993"/>
    <n v="1008.37"/>
    <x v="0"/>
    <n v="1103.1127825381739"/>
    <n v="913.02"/>
    <n v="45457.319600000003"/>
    <n v="15811.241600000007"/>
    <n v="14.680400000000077"/>
    <n v="1.6078946791965212E-2"/>
    <n v="0.34782608695652184"/>
  </r>
  <r>
    <n v="985"/>
    <n v="80"/>
    <x v="259"/>
    <n v="36"/>
    <n v="6"/>
    <n v="939.12580000000003"/>
    <x v="130"/>
    <x v="0"/>
    <n v="599.44200000000001"/>
    <n v="999.07"/>
    <x v="4"/>
    <n v="1235.966169744032"/>
    <n v="4319.1966666666667"/>
    <n v="33808.5288"/>
    <n v="12228.6168"/>
    <n v="-3380.0708666666669"/>
    <n v="-0.78256933581013144"/>
    <n v="0.36170212765957444"/>
  </r>
  <r>
    <n v="986"/>
    <n v="147"/>
    <x v="159"/>
    <n v="5"/>
    <n v="4"/>
    <n v="4400.9471999999996"/>
    <x v="37"/>
    <x v="4"/>
    <n v="2750.5919999999996"/>
    <n v="4584.32"/>
    <x v="1"/>
    <n v="5480.1961043259889"/>
    <n v="769.14"/>
    <n v="22004.735999999997"/>
    <n v="8251.7759999999998"/>
    <n v="3631.8071999999997"/>
    <n v="4.7219065449723061"/>
    <n v="0.37500000000000006"/>
  </r>
  <r>
    <n v="987"/>
    <n v="127"/>
    <x v="637"/>
    <n v="38"/>
    <n v="6"/>
    <n v="5161.1264000000001"/>
    <x v="101"/>
    <x v="4"/>
    <n v="3294.3360000000002"/>
    <n v="5490.56"/>
    <x v="1"/>
    <n v="6384.6724893026021"/>
    <n v="5984.333333333333"/>
    <n v="196122.80319999999"/>
    <n v="70938.035199999998"/>
    <n v="-823.20693333333293"/>
    <n v="-0.13756034089010188"/>
    <n v="0.36170212765957449"/>
  </r>
  <r>
    <n v="988"/>
    <n v="114"/>
    <x v="638"/>
    <n v="19"/>
    <n v="4"/>
    <n v="7338.6335999999992"/>
    <x v="99"/>
    <x v="5"/>
    <n v="4586.6459999999997"/>
    <n v="7644.41"/>
    <x v="2"/>
    <n v="8377.3819462360971"/>
    <n v="6494.3074999999999"/>
    <n v="139434.03839999999"/>
    <n v="52287.764399999993"/>
    <n v="844.32609999999931"/>
    <n v="0.13001018199400002"/>
    <n v="0.375"/>
  </r>
  <r>
    <n v="989"/>
    <n v="91"/>
    <x v="89"/>
    <n v="33"/>
    <n v="7"/>
    <n v="2941.5899999999997"/>
    <x v="35"/>
    <x v="3"/>
    <n v="1897.8"/>
    <n v="3163"/>
    <x v="2"/>
    <n v="3462.4464524255236"/>
    <n v="4782.2433333333329"/>
    <n v="97072.469999999987"/>
    <n v="34445.069999999992"/>
    <n v="-1840.6533333333332"/>
    <n v="-0.38489328230196013"/>
    <n v="0.35483870967741932"/>
  </r>
  <r>
    <n v="990"/>
    <n v="57"/>
    <x v="312"/>
    <n v="9"/>
    <n v="2"/>
    <n v="6675.5150000000003"/>
    <x v="55"/>
    <x v="6"/>
    <n v="4087.0499999999997"/>
    <n v="6811.75"/>
    <x v="2"/>
    <n v="7107.6146777835456"/>
    <n v="1836.9825000000001"/>
    <n v="60079.635000000002"/>
    <n v="23296.185000000005"/>
    <n v="4838.5325000000003"/>
    <n v="2.633956774220767"/>
    <n v="0.38775510204081637"/>
  </r>
  <r>
    <n v="991"/>
    <n v="135"/>
    <x v="639"/>
    <n v="6"/>
    <n v="4"/>
    <n v="7468.5216"/>
    <x v="140"/>
    <x v="0"/>
    <n v="4667.826"/>
    <n v="7779.71"/>
    <x v="4"/>
    <n v="9810.9014717954506"/>
    <n v="4172.7833333333338"/>
    <n v="44811.1296"/>
    <n v="16804.173600000002"/>
    <n v="3295.7382666666663"/>
    <n v="0.78981773157005497"/>
    <n v="0.37500000000000006"/>
  </r>
  <r>
    <n v="992"/>
    <n v="28"/>
    <x v="640"/>
    <n v="35"/>
    <n v="6"/>
    <n v="5373.6227999999992"/>
    <x v="70"/>
    <x v="0"/>
    <n v="3429.9719999999998"/>
    <n v="5716.62"/>
    <x v="4"/>
    <n v="6945.0727805270608"/>
    <n v="3542.9559999999997"/>
    <n v="188076.79799999998"/>
    <n v="68027.777999999977"/>
    <n v="1830.6667999999995"/>
    <n v="0.51670604997634739"/>
    <n v="0.36170212765957438"/>
  </r>
  <r>
    <n v="993"/>
    <n v="134"/>
    <x v="223"/>
    <n v="10"/>
    <n v="9"/>
    <n v="611.7111000000001"/>
    <x v="121"/>
    <x v="5"/>
    <n v="403.32600000000002"/>
    <n v="672.21"/>
    <x v="1"/>
    <n v="720.84834165723385"/>
    <n v="4666.126666666667"/>
    <n v="6117.1110000000008"/>
    <n v="2083.8510000000006"/>
    <n v="-4054.415566666667"/>
    <n v="-0.86890388030614973"/>
    <n v="0.34065934065934073"/>
  </r>
  <r>
    <n v="994"/>
    <n v="94"/>
    <x v="641"/>
    <n v="8"/>
    <n v="4"/>
    <n v="4466.6687999999995"/>
    <x v="8"/>
    <x v="4"/>
    <n v="2791.6679999999997"/>
    <n v="4652.78"/>
    <x v="1"/>
    <n v="4724.3749027650156"/>
    <n v="6485.5883333333331"/>
    <n v="35733.350399999996"/>
    <n v="13400.006399999998"/>
    <n v="-2018.9195333333337"/>
    <n v="-0.31129319802135663"/>
    <n v="0.375"/>
  </r>
  <r>
    <n v="995"/>
    <n v="91"/>
    <x v="98"/>
    <n v="1"/>
    <n v="3"/>
    <n v="3068.11"/>
    <x v="35"/>
    <x v="3"/>
    <n v="1897.8"/>
    <n v="3163"/>
    <x v="2"/>
    <n v="3609.1711394618846"/>
    <n v="4782.2433333333329"/>
    <n v="3068.11"/>
    <n v="1170.3100000000002"/>
    <n v="-1714.1333333333328"/>
    <n v="-0.35843707939021635"/>
    <n v="0.3814432989690722"/>
  </r>
  <r>
    <n v="996"/>
    <n v="88"/>
    <x v="642"/>
    <n v="4"/>
    <n v="5"/>
    <n v="5924.5135"/>
    <x v="116"/>
    <x v="5"/>
    <n v="3741.7979999999998"/>
    <n v="6236.33"/>
    <x v="4"/>
    <n v="7706.007599839525"/>
    <n v="4981.5050000000001"/>
    <n v="23698.054"/>
    <n v="8730.862000000001"/>
    <n v="943.00849999999991"/>
    <n v="0.18930192783104702"/>
    <n v="0.36842105263157898"/>
  </r>
  <r>
    <n v="997"/>
    <n v="40"/>
    <x v="643"/>
    <n v="36"/>
    <n v="7"/>
    <n v="457.81109999999995"/>
    <x v="9"/>
    <x v="3"/>
    <n v="295.36199999999997"/>
    <n v="492.27"/>
    <x v="1"/>
    <n v="562.94097536342758"/>
    <n v="603.70600000000002"/>
    <n v="16481.1996"/>
    <n v="5848.1675999999998"/>
    <n v="-145.89490000000006"/>
    <n v="-0.24166547955461776"/>
    <n v="0.35483870967741932"/>
  </r>
  <r>
    <n v="998"/>
    <n v="34"/>
    <x v="22"/>
    <n v="35"/>
    <n v="7"/>
    <n v="1212.1527000000001"/>
    <x v="23"/>
    <x v="1"/>
    <n v="782.03399999999999"/>
    <n v="1303.3900000000001"/>
    <x v="2"/>
    <n v="1355.9980655175636"/>
    <n v="4145.4440000000004"/>
    <n v="42425.344500000007"/>
    <n v="15054.154500000004"/>
    <n v="-2933.2913000000003"/>
    <n v="-0.70759399958122704"/>
    <n v="0.35483870967741937"/>
  </r>
  <r>
    <n v="999"/>
    <n v="65"/>
    <x v="644"/>
    <n v="43"/>
    <n v="6"/>
    <n v="4240.6783999999998"/>
    <x v="90"/>
    <x v="2"/>
    <n v="2706.8159999999998"/>
    <n v="4511.3599999999997"/>
    <x v="1"/>
    <n v="4696.6957823121211"/>
    <n v="1786.8475000000001"/>
    <n v="182349.17119999998"/>
    <n v="65956.083199999994"/>
    <n v="2453.8308999999999"/>
    <n v="1.3732738244310159"/>
    <n v="0.36170212765957449"/>
  </r>
  <r>
    <n v="1000"/>
    <n v="134"/>
    <x v="645"/>
    <n v="17"/>
    <n v="5"/>
    <n v="638.59950000000003"/>
    <x v="121"/>
    <x v="5"/>
    <n v="403.32600000000002"/>
    <n v="672.21"/>
    <x v="1"/>
    <n v="703.02474615164147"/>
    <n v="4666.126666666667"/>
    <n v="10856.191500000001"/>
    <n v="3999.6495000000004"/>
    <n v="-4027.5271666666667"/>
    <n v="-0.86314141350641993"/>
    <n v="0.36842105263157898"/>
  </r>
  <r>
    <m/>
    <m/>
    <x v="646"/>
    <m/>
    <m/>
    <m/>
    <x v="150"/>
    <x v="8"/>
    <m/>
    <m/>
    <x v="5"/>
    <m/>
    <m/>
    <m/>
    <m/>
    <m/>
    <m/>
    <e v="#DIV/0!"/>
  </r>
  <r>
    <m/>
    <m/>
    <x v="646"/>
    <m/>
    <m/>
    <m/>
    <x v="150"/>
    <x v="8"/>
    <m/>
    <m/>
    <x v="5"/>
    <m/>
    <m/>
    <m/>
    <m/>
    <m/>
    <m/>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op products by revenue" cacheId="1"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chartFormat="45">
  <location ref="A4:B14" firstHeaderRow="1" firstDataRow="1" firstDataCol="1"/>
  <pivotFields count="2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measureFilter="1">
      <items count="153">
        <item x="143"/>
        <item x="85"/>
        <item x="2"/>
        <item x="132"/>
        <item x="60"/>
        <item x="83"/>
        <item x="22"/>
        <item x="77"/>
        <item x="95"/>
        <item x="64"/>
        <item x="20"/>
        <item x="129"/>
        <item x="36"/>
        <item x="90"/>
        <item x="26"/>
        <item x="134"/>
        <item x="118"/>
        <item x="52"/>
        <item x="18"/>
        <item x="58"/>
        <item x="39"/>
        <item x="44"/>
        <item x="71"/>
        <item x="31"/>
        <item x="117"/>
        <item x="138"/>
        <item x="46"/>
        <item x="115"/>
        <item x="48"/>
        <item x="51"/>
        <item x="91"/>
        <item x="144"/>
        <item x="142"/>
        <item x="112"/>
        <item x="75"/>
        <item x="120"/>
        <item x="50"/>
        <item x="66"/>
        <item x="59"/>
        <item x="145"/>
        <item x="37"/>
        <item x="8"/>
        <item x="74"/>
        <item x="131"/>
        <item x="123"/>
        <item x="23"/>
        <item x="69"/>
        <item x="10"/>
        <item x="102"/>
        <item x="6"/>
        <item x="9"/>
        <item x="137"/>
        <item x="47"/>
        <item x="55"/>
        <item x="94"/>
        <item x="11"/>
        <item x="93"/>
        <item x="136"/>
        <item x="28"/>
        <item x="87"/>
        <item x="61"/>
        <item x="146"/>
        <item x="98"/>
        <item x="101"/>
        <item x="111"/>
        <item x="127"/>
        <item x="62"/>
        <item x="105"/>
        <item x="30"/>
        <item x="24"/>
        <item x="42"/>
        <item x="121"/>
        <item x="33"/>
        <item x="5"/>
        <item x="25"/>
        <item x="141"/>
        <item x="126"/>
        <item x="119"/>
        <item x="63"/>
        <item x="15"/>
        <item x="82"/>
        <item x="19"/>
        <item x="109"/>
        <item x="53"/>
        <item x="34"/>
        <item x="133"/>
        <item x="113"/>
        <item x="80"/>
        <item x="72"/>
        <item x="79"/>
        <item x="81"/>
        <item x="110"/>
        <item x="49"/>
        <item x="76"/>
        <item x="40"/>
        <item x="86"/>
        <item x="29"/>
        <item x="114"/>
        <item x="88"/>
        <item x="124"/>
        <item x="1"/>
        <item x="57"/>
        <item x="12"/>
        <item x="16"/>
        <item x="92"/>
        <item x="139"/>
        <item x="108"/>
        <item x="32"/>
        <item x="100"/>
        <item x="122"/>
        <item x="13"/>
        <item x="4"/>
        <item x="107"/>
        <item x="54"/>
        <item x="89"/>
        <item x="68"/>
        <item x="14"/>
        <item x="99"/>
        <item x="56"/>
        <item x="17"/>
        <item x="43"/>
        <item x="65"/>
        <item x="104"/>
        <item x="78"/>
        <item x="128"/>
        <item x="106"/>
        <item x="96"/>
        <item x="41"/>
        <item x="148"/>
        <item x="149"/>
        <item x="35"/>
        <item x="116"/>
        <item x="27"/>
        <item x="38"/>
        <item x="21"/>
        <item x="125"/>
        <item x="84"/>
        <item x="130"/>
        <item x="0"/>
        <item x="73"/>
        <item x="140"/>
        <item x="67"/>
        <item x="70"/>
        <item x="3"/>
        <item x="147"/>
        <item x="97"/>
        <item x="45"/>
        <item x="103"/>
        <item x="135"/>
        <item x="7"/>
        <item m="1" x="151"/>
        <item x="150"/>
        <item t="default"/>
      </items>
    </pivotField>
    <pivotField compact="0" outline="0" showAll="0">
      <items count="11">
        <item x="6"/>
        <item x="2"/>
        <item x="5"/>
        <item x="3"/>
        <item x="7"/>
        <item x="0"/>
        <item x="4"/>
        <item x="1"/>
        <item m="1" x="9"/>
        <item x="8"/>
        <item t="default"/>
      </items>
    </pivotField>
    <pivotField compact="0" outline="0" showAll="0"/>
    <pivotField compact="0" outline="0" showAll="0"/>
    <pivotField compact="0" outline="0" showAll="0">
      <items count="7">
        <item x="1"/>
        <item x="2"/>
        <item x="3"/>
        <item x="0"/>
        <item x="4"/>
        <item x="5"/>
        <item t="default"/>
      </items>
    </pivotField>
    <pivotField compact="0" outline="0" showAll="0"/>
    <pivotField compact="0" outline="0" showAll="0"/>
    <pivotField dataField="1" compact="0" numFmtId="2" outline="0" showAll="0"/>
    <pivotField compact="0" outline="0" showAll="0"/>
    <pivotField compact="0" outline="0" showAll="0"/>
    <pivotField compact="0" outline="0" showAll="0"/>
    <pivotField compact="0" outline="0" showAll="0" defaultSubtotal="0"/>
    <pivotField compact="0" outline="0" showAll="0" defaultSubtotal="0">
      <items count="2">
        <item x="0"/>
        <item x="1"/>
      </items>
    </pivotField>
    <pivotField compact="0" outline="0" showAll="0" defaultSubtotal="0">
      <items count="5">
        <item x="0"/>
        <item x="1"/>
        <item x="2"/>
        <item x="3"/>
        <item x="4"/>
      </items>
    </pivotField>
  </pivotFields>
  <rowFields count="1">
    <field x="6"/>
  </rowFields>
  <rowItems count="10">
    <i>
      <x v="26"/>
    </i>
    <i>
      <x v="37"/>
    </i>
    <i>
      <x v="69"/>
    </i>
    <i>
      <x v="79"/>
    </i>
    <i>
      <x v="95"/>
    </i>
    <i>
      <x v="97"/>
    </i>
    <i>
      <x v="116"/>
    </i>
    <i>
      <x v="117"/>
    </i>
    <i>
      <x v="119"/>
    </i>
    <i>
      <x v="142"/>
    </i>
  </rowItems>
  <colItems count="1">
    <i/>
  </colItems>
  <dataFields count="1">
    <dataField name="Sum of Revenue" fld="13" baseField="0" baseItem="0" numFmtId="3"/>
  </dataFields>
  <formats count="10">
    <format dxfId="754">
      <pivotArea type="all" dataOnly="0" outline="0" fieldPosition="0"/>
    </format>
    <format dxfId="753">
      <pivotArea outline="0" collapsedLevelsAreSubtotals="1" fieldPosition="0"/>
    </format>
    <format dxfId="752">
      <pivotArea field="6" type="button" dataOnly="0" labelOnly="1" outline="0" axis="axisRow" fieldPosition="0"/>
    </format>
    <format dxfId="751">
      <pivotArea dataOnly="0" labelOnly="1" outline="0" axis="axisValues" fieldPosition="0"/>
    </format>
    <format dxfId="750">
      <pivotArea outline="0" collapsedLevelsAreSubtotals="1" fieldPosition="0"/>
    </format>
    <format dxfId="749">
      <pivotArea dataOnly="0" outline="0" axis="axisValues" fieldPosition="0"/>
    </format>
    <format dxfId="748">
      <pivotArea type="all" dataOnly="0" outline="0" fieldPosition="0"/>
    </format>
    <format dxfId="747">
      <pivotArea outline="0" collapsedLevelsAreSubtotals="1" fieldPosition="0"/>
    </format>
    <format dxfId="746">
      <pivotArea field="6" type="button" dataOnly="0" labelOnly="1" outline="0" axis="axisRow" fieldPosition="0"/>
    </format>
    <format dxfId="745">
      <pivotArea dataOnly="0" labelOnly="1" outline="0" axis="axisValues" fieldPosition="0"/>
    </format>
  </formats>
  <conditionalFormats count="3">
    <conditionalFormat priority="47">
      <pivotAreas count="1">
        <pivotArea type="data" outline="0" collapsedLevelsAreSubtotals="1" fieldPosition="0">
          <references count="1">
            <reference field="4294967294" count="1" selected="0">
              <x v="0"/>
            </reference>
          </references>
        </pivotArea>
      </pivotAreas>
    </conditionalFormat>
    <conditionalFormat priority="46">
      <pivotAreas count="1">
        <pivotArea type="data" outline="0" collapsedLevelsAreSubtotals="1" fieldPosition="0">
          <references count="1">
            <reference field="4294967294" count="1" selected="0">
              <x v="0"/>
            </reference>
          </references>
        </pivotArea>
      </pivotAreas>
    </conditionalFormat>
    <conditionalFormat priority="45">
      <pivotAreas count="1">
        <pivotArea type="data" outline="0" collapsedLevelsAreSubtotals="1" fieldPosition="0">
          <references count="1">
            <reference field="4294967294" count="1" selected="0">
              <x v="0"/>
            </reference>
          </references>
        </pivotArea>
      </pivotAreas>
    </conditionalFormat>
  </conditionalFormats>
  <chartFormats count="4">
    <chartFormat chart="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als contribution by category" cacheId="1"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location ref="M4:N13" firstHeaderRow="1" firstDataRow="1" firstDataCol="1"/>
  <pivotFields count="2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0">
        <item x="6"/>
        <item x="2"/>
        <item x="5"/>
        <item x="3"/>
        <item x="7"/>
        <item x="0"/>
        <item x="4"/>
        <item x="1"/>
        <item m="1" x="9"/>
        <item x="8"/>
      </items>
    </pivotField>
    <pivotField compact="0" outline="0" showAll="0" defaultSubtotal="0"/>
    <pivotField compact="0" outline="0" showAll="0" defaultSubtotal="0"/>
    <pivotField compact="0" outline="0" showAll="0" defaultSubtotal="0">
      <items count="6">
        <item x="1"/>
        <item x="2"/>
        <item x="3"/>
        <item x="0"/>
        <item x="4"/>
        <item x="5"/>
      </items>
    </pivotField>
    <pivotField compact="0" outline="0" showAll="0" defaultSubtotal="0"/>
    <pivotField compact="0" outline="0" showAll="0" defaultSubtotal="0"/>
    <pivotField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items count="5">
        <item x="0"/>
        <item x="1"/>
        <item x="2"/>
        <item x="3"/>
        <item x="4"/>
      </items>
    </pivotField>
  </pivotFields>
  <rowFields count="1">
    <field x="7"/>
  </rowFields>
  <rowItems count="9">
    <i>
      <x/>
    </i>
    <i>
      <x v="1"/>
    </i>
    <i>
      <x v="2"/>
    </i>
    <i>
      <x v="3"/>
    </i>
    <i>
      <x v="4"/>
    </i>
    <i>
      <x v="5"/>
    </i>
    <i>
      <x v="6"/>
    </i>
    <i>
      <x v="7"/>
    </i>
    <i>
      <x v="9"/>
    </i>
  </rowItems>
  <colItems count="1">
    <i/>
  </colItems>
  <dataFields count="1">
    <dataField name="Count of quantity_sold " fld="3" subtotal="count" baseField="0" baseItem="0"/>
  </dataFields>
  <formats count="20">
    <format dxfId="774">
      <pivotArea type="all" dataOnly="0" outline="0" fieldPosition="0"/>
    </format>
    <format dxfId="773">
      <pivotArea outline="0" collapsedLevelsAreSubtotals="1" fieldPosition="0"/>
    </format>
    <format dxfId="772">
      <pivotArea field="7" type="button" dataOnly="0" labelOnly="1" outline="0" axis="axisRow" fieldPosition="0"/>
    </format>
    <format dxfId="771">
      <pivotArea dataOnly="0" labelOnly="1" outline="0" axis="axisValues" fieldPosition="0"/>
    </format>
    <format dxfId="770">
      <pivotArea dataOnly="0" labelOnly="1" outline="0" fieldPosition="0">
        <references count="1">
          <reference field="7" count="0"/>
        </references>
      </pivotArea>
    </format>
    <format dxfId="769">
      <pivotArea type="all" dataOnly="0" outline="0" fieldPosition="0"/>
    </format>
    <format dxfId="768">
      <pivotArea outline="0" collapsedLevelsAreSubtotals="1" fieldPosition="0"/>
    </format>
    <format dxfId="767">
      <pivotArea field="7" type="button" dataOnly="0" labelOnly="1" outline="0" axis="axisRow" fieldPosition="0"/>
    </format>
    <format dxfId="766">
      <pivotArea dataOnly="0" labelOnly="1" outline="0" axis="axisValues" fieldPosition="0"/>
    </format>
    <format dxfId="765">
      <pivotArea dataOnly="0" labelOnly="1" outline="0" fieldPosition="0">
        <references count="1">
          <reference field="7" count="0"/>
        </references>
      </pivotArea>
    </format>
    <format dxfId="764">
      <pivotArea type="all" dataOnly="0" outline="0" fieldPosition="0"/>
    </format>
    <format dxfId="763">
      <pivotArea outline="0" collapsedLevelsAreSubtotals="1" fieldPosition="0"/>
    </format>
    <format dxfId="762">
      <pivotArea field="7" type="button" dataOnly="0" labelOnly="1" outline="0" axis="axisRow" fieldPosition="0"/>
    </format>
    <format dxfId="761">
      <pivotArea dataOnly="0" labelOnly="1" outline="0" axis="axisValues" fieldPosition="0"/>
    </format>
    <format dxfId="760">
      <pivotArea dataOnly="0" labelOnly="1" outline="0" fieldPosition="0">
        <references count="1">
          <reference field="7" count="0"/>
        </references>
      </pivotArea>
    </format>
    <format dxfId="759">
      <pivotArea type="all" dataOnly="0" outline="0" fieldPosition="0"/>
    </format>
    <format dxfId="758">
      <pivotArea outline="0" collapsedLevelsAreSubtotals="1" fieldPosition="0"/>
    </format>
    <format dxfId="757">
      <pivotArea field="7" type="button" dataOnly="0" labelOnly="1" outline="0" axis="axisRow" fieldPosition="0"/>
    </format>
    <format dxfId="756">
      <pivotArea dataOnly="0" labelOnly="1" outline="0" axis="axisValues" fieldPosition="0"/>
    </format>
    <format dxfId="755">
      <pivotArea dataOnly="0" labelOnly="1" outline="0" fieldPosition="0">
        <references count="1">
          <reference field="7" count="0"/>
        </references>
      </pivotArea>
    </format>
  </formats>
  <conditionalFormats count="4">
    <conditionalFormat priority="5">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_Revenue"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A17:AA18" firstHeaderRow="1" firstDataRow="1" firstDataCol="0"/>
  <pivotFields count="2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x="6"/>
        <item x="2"/>
        <item x="5"/>
        <item x="3"/>
        <item x="7"/>
        <item x="0"/>
        <item x="4"/>
        <item x="1"/>
        <item m="1" x="9"/>
        <item x="8"/>
        <item t="default"/>
      </items>
    </pivotField>
    <pivotField showAll="0"/>
    <pivotField showAll="0"/>
    <pivotField showAll="0">
      <items count="7">
        <item x="1"/>
        <item x="2"/>
        <item x="3"/>
        <item x="0"/>
        <item x="4"/>
        <item x="5"/>
        <item t="default"/>
      </items>
    </pivotField>
    <pivotField showAll="0"/>
    <pivotField showAll="0"/>
    <pivotField dataField="1" showAll="0"/>
    <pivotField showAll="0"/>
    <pivotField showAll="0"/>
    <pivotField showAll="0"/>
    <pivotField showAll="0"/>
    <pivotField showAll="0" defaultSubtotal="0">
      <items count="2">
        <item x="0"/>
        <item x="1"/>
      </items>
    </pivotField>
    <pivotField showAll="0" defaultSubtotal="0">
      <items count="5">
        <item x="0"/>
        <item x="1"/>
        <item x="2"/>
        <item x="3"/>
        <item x="4"/>
      </items>
    </pivotField>
  </pivotFields>
  <rowItems count="1">
    <i/>
  </rowItems>
  <colItems count="1">
    <i/>
  </colItems>
  <dataFields count="1">
    <dataField name="Sum of Revenue" fld="13" baseField="0" baseItem="0" numFmtId="3"/>
  </dataFields>
  <formats count="2">
    <format dxfId="776">
      <pivotArea outline="0" collapsedLevelsAreSubtotals="1" fieldPosition="0"/>
    </format>
    <format dxfId="77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revenue vs profit"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K15:AM29" firstHeaderRow="0" firstDataRow="1" firstDataCol="1"/>
  <pivotFields count="2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x="6"/>
        <item x="2"/>
        <item x="5"/>
        <item x="3"/>
        <item x="7"/>
        <item x="0"/>
        <item x="4"/>
        <item x="1"/>
        <item m="1" x="9"/>
        <item x="8"/>
        <item t="default"/>
      </items>
    </pivotField>
    <pivotField showAll="0"/>
    <pivotField showAll="0"/>
    <pivotField showAll="0">
      <items count="7">
        <item x="1"/>
        <item x="2"/>
        <item x="3"/>
        <item x="0"/>
        <item x="4"/>
        <item x="5"/>
        <item t="default"/>
      </items>
    </pivotField>
    <pivotField showAll="0"/>
    <pivotField showAll="0"/>
    <pivotField dataField="1" showAll="0"/>
    <pivotField dataField="1" showAll="0"/>
    <pivotField showAll="0"/>
    <pivotField showAll="0"/>
    <pivotField showAll="0"/>
    <pivotField showAll="0" defaultSubtotal="0">
      <items count="2">
        <item x="0"/>
        <item x="1"/>
      </items>
    </pivotField>
    <pivotField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Profit" fld="14" baseField="2" baseItem="0" numFmtId="3"/>
    <dataField name="Sum of Revenue" fld="13" baseField="2" baseItem="0" numFmtId="3"/>
  </dataFields>
  <formats count="4">
    <format dxfId="780">
      <pivotArea collapsedLevelsAreSubtotals="1" fieldPosition="0">
        <references count="1">
          <reference field="2" count="12">
            <x v="1"/>
            <x v="2"/>
            <x v="3"/>
            <x v="4"/>
            <x v="5"/>
            <x v="6"/>
            <x v="7"/>
            <x v="8"/>
            <x v="9"/>
            <x v="10"/>
            <x v="11"/>
            <x v="12"/>
          </reference>
        </references>
      </pivotArea>
    </format>
    <format dxfId="779">
      <pivotArea grandRow="1" outline="0" collapsedLevelsAreSubtotals="1" fieldPosition="0"/>
    </format>
    <format dxfId="778">
      <pivotArea outline="0" fieldPosition="0">
        <references count="1">
          <reference field="4294967294" count="1">
            <x v="0"/>
          </reference>
        </references>
      </pivotArea>
    </format>
    <format dxfId="777">
      <pivotArea outline="0" fieldPosition="0">
        <references count="1">
          <reference field="4294967294" count="1">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revenue by category" cacheId="1"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chartFormat="22">
  <location ref="D4:E13" firstHeaderRow="1" firstDataRow="1" firstDataCol="1"/>
  <pivotFields count="20">
    <pivotField compact="0" outline="0" showAll="0" insertBlankRow="1"/>
    <pivotField compact="0" outline="0" showAll="0" insertBlankRow="1"/>
    <pivotField compact="0" outline="0" showAll="0" insertBlankRow="1">
      <items count="15">
        <item x="0"/>
        <item x="1"/>
        <item x="2"/>
        <item x="3"/>
        <item x="4"/>
        <item x="5"/>
        <item x="6"/>
        <item x="7"/>
        <item x="8"/>
        <item x="9"/>
        <item x="10"/>
        <item x="11"/>
        <item x="12"/>
        <item x="13"/>
        <item t="default"/>
      </items>
    </pivotField>
    <pivotField compact="0" outline="0" showAll="0" insertBlankRow="1"/>
    <pivotField compact="0" outline="0" showAll="0" insertBlankRow="1"/>
    <pivotField compact="0" outline="0" showAll="0" insertBlankRow="1"/>
    <pivotField compact="0" outline="0" showAll="0" insertBlankRow="1"/>
    <pivotField axis="axisRow" compact="0" outline="0" showAll="0" insertBlankRow="1">
      <items count="11">
        <item x="6"/>
        <item x="2"/>
        <item x="5"/>
        <item x="3"/>
        <item x="7"/>
        <item x="0"/>
        <item x="4"/>
        <item x="1"/>
        <item m="1" x="9"/>
        <item x="8"/>
        <item t="default"/>
      </items>
    </pivotField>
    <pivotField compact="0" outline="0" showAll="0" insertBlankRow="1"/>
    <pivotField compact="0" outline="0" showAll="0" insertBlankRow="1"/>
    <pivotField compact="0" outline="0" showAll="0" insertBlankRow="1">
      <items count="7">
        <item x="1"/>
        <item x="2"/>
        <item x="3"/>
        <item x="0"/>
        <item x="4"/>
        <item x="5"/>
        <item t="default"/>
      </items>
    </pivotField>
    <pivotField compact="0" outline="0" showAll="0" insertBlankRow="1"/>
    <pivotField compact="0" outline="0" showAll="0" insertBlankRow="1"/>
    <pivotField dataField="1" compact="0" outline="0" showAll="0" insertBlankRow="1"/>
    <pivotField compact="0" outline="0" showAll="0" insertBlankRow="1"/>
    <pivotField compact="0" outline="0" showAll="0" insertBlankRow="1"/>
    <pivotField compact="0" outline="0" showAll="0" insertBlankRow="1"/>
    <pivotField compact="0" outline="0" showAll="0" defaultSubtotal="0"/>
    <pivotField compact="0" outline="0" showAll="0" defaultSubtotal="0">
      <items count="2">
        <item x="0"/>
        <item x="1"/>
      </items>
    </pivotField>
    <pivotField compact="0" outline="0" showAll="0" defaultSubtotal="0">
      <items count="5">
        <item x="0"/>
        <item x="1"/>
        <item x="2"/>
        <item x="3"/>
        <item x="4"/>
      </items>
    </pivotField>
  </pivotFields>
  <rowFields count="1">
    <field x="7"/>
  </rowFields>
  <rowItems count="9">
    <i>
      <x/>
    </i>
    <i>
      <x v="1"/>
    </i>
    <i>
      <x v="2"/>
    </i>
    <i>
      <x v="3"/>
    </i>
    <i>
      <x v="4"/>
    </i>
    <i>
      <x v="5"/>
    </i>
    <i>
      <x v="6"/>
    </i>
    <i>
      <x v="7"/>
    </i>
    <i>
      <x v="9"/>
    </i>
  </rowItems>
  <colItems count="1">
    <i/>
  </colItems>
  <dataFields count="1">
    <dataField name="Sum of Revenue" fld="13" baseField="7" baseItem="0" numFmtId="3"/>
  </dataFields>
  <formats count="15">
    <format dxfId="795">
      <pivotArea collapsedLevelsAreSubtotals="1" fieldPosition="0">
        <references count="1">
          <reference field="7" count="1">
            <x v="8"/>
          </reference>
        </references>
      </pivotArea>
    </format>
    <format dxfId="794">
      <pivotArea outline="0" fieldPosition="0">
        <references count="1">
          <reference field="4294967294" count="1">
            <x v="0"/>
          </reference>
        </references>
      </pivotArea>
    </format>
    <format dxfId="793">
      <pivotArea type="all" dataOnly="0" outline="0" fieldPosition="0"/>
    </format>
    <format dxfId="792">
      <pivotArea outline="0" collapsedLevelsAreSubtotals="1" fieldPosition="0"/>
    </format>
    <format dxfId="791">
      <pivotArea field="7" type="button" dataOnly="0" labelOnly="1" outline="0" axis="axisRow" fieldPosition="0"/>
    </format>
    <format dxfId="790">
      <pivotArea dataOnly="0" labelOnly="1" outline="0" axis="axisValues" fieldPosition="0"/>
    </format>
    <format dxfId="789">
      <pivotArea dataOnly="0" labelOnly="1" outline="0" fieldPosition="0">
        <references count="1">
          <reference field="7" count="0"/>
        </references>
      </pivotArea>
    </format>
    <format dxfId="788">
      <pivotArea dataOnly="0" labelOnly="1" outline="0" fieldPosition="0">
        <references count="1">
          <reference field="7" count="0"/>
        </references>
      </pivotArea>
    </format>
    <format dxfId="787">
      <pivotArea outline="0" collapsedLevelsAreSubtotals="1" fieldPosition="0"/>
    </format>
    <format dxfId="786">
      <pivotArea dataOnly="0" labelOnly="1" outline="0" axis="axisValues" fieldPosition="0"/>
    </format>
    <format dxfId="785">
      <pivotArea type="all" dataOnly="0" outline="0" fieldPosition="0"/>
    </format>
    <format dxfId="784">
      <pivotArea outline="0" collapsedLevelsAreSubtotals="1" fieldPosition="0"/>
    </format>
    <format dxfId="783">
      <pivotArea field="7" type="button" dataOnly="0" labelOnly="1" outline="0" axis="axisRow" fieldPosition="0"/>
    </format>
    <format dxfId="782">
      <pivotArea dataOnly="0" labelOnly="1" outline="0" axis="axisValues" fieldPosition="0"/>
    </format>
    <format dxfId="781">
      <pivotArea dataOnly="0" labelOnly="1" outline="0" fieldPosition="0">
        <references count="1">
          <reference field="7" count="0"/>
        </references>
      </pivotArea>
    </format>
  </formats>
  <conditionalFormats count="2">
    <conditionalFormat priority="48">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9">
    <chartFormat chart="9" format="28" series="1">
      <pivotArea type="data" outline="0" fieldPosition="0">
        <references count="1">
          <reference field="4294967294" count="1" selected="0">
            <x v="0"/>
          </reference>
        </references>
      </pivotArea>
    </chartFormat>
    <chartFormat chart="9" format="29">
      <pivotArea type="data" outline="0" fieldPosition="0">
        <references count="2">
          <reference field="4294967294" count="1" selected="0">
            <x v="0"/>
          </reference>
          <reference field="7" count="1" selected="0">
            <x v="0"/>
          </reference>
        </references>
      </pivotArea>
    </chartFormat>
    <chartFormat chart="9" format="30">
      <pivotArea type="data" outline="0" fieldPosition="0">
        <references count="2">
          <reference field="4294967294" count="1" selected="0">
            <x v="0"/>
          </reference>
          <reference field="7" count="1" selected="0">
            <x v="1"/>
          </reference>
        </references>
      </pivotArea>
    </chartFormat>
    <chartFormat chart="9" format="31">
      <pivotArea type="data" outline="0" fieldPosition="0">
        <references count="2">
          <reference field="4294967294" count="1" selected="0">
            <x v="0"/>
          </reference>
          <reference field="7" count="1" selected="0">
            <x v="2"/>
          </reference>
        </references>
      </pivotArea>
    </chartFormat>
    <chartFormat chart="9" format="32">
      <pivotArea type="data" outline="0" fieldPosition="0">
        <references count="2">
          <reference field="4294967294" count="1" selected="0">
            <x v="0"/>
          </reference>
          <reference field="7" count="1" selected="0">
            <x v="3"/>
          </reference>
        </references>
      </pivotArea>
    </chartFormat>
    <chartFormat chart="9" format="33">
      <pivotArea type="data" outline="0" fieldPosition="0">
        <references count="2">
          <reference field="4294967294" count="1" selected="0">
            <x v="0"/>
          </reference>
          <reference field="7" count="1" selected="0">
            <x v="4"/>
          </reference>
        </references>
      </pivotArea>
    </chartFormat>
    <chartFormat chart="9" format="34">
      <pivotArea type="data" outline="0" fieldPosition="0">
        <references count="2">
          <reference field="4294967294" count="1" selected="0">
            <x v="0"/>
          </reference>
          <reference field="7" count="1" selected="0">
            <x v="5"/>
          </reference>
        </references>
      </pivotArea>
    </chartFormat>
    <chartFormat chart="9" format="35">
      <pivotArea type="data" outline="0" fieldPosition="0">
        <references count="2">
          <reference field="4294967294" count="1" selected="0">
            <x v="0"/>
          </reference>
          <reference field="7" count="1" selected="0">
            <x v="6"/>
          </reference>
        </references>
      </pivotArea>
    </chartFormat>
    <chartFormat chart="9" format="36">
      <pivotArea type="data" outline="0" fieldPosition="0">
        <references count="2">
          <reference field="4294967294" count="1" selected="0">
            <x v="0"/>
          </reference>
          <reference field="7" count="1" selected="0">
            <x v="7"/>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7" count="1" selected="0">
            <x v="0"/>
          </reference>
        </references>
      </pivotArea>
    </chartFormat>
    <chartFormat chart="19" format="12">
      <pivotArea type="data" outline="0" fieldPosition="0">
        <references count="2">
          <reference field="4294967294" count="1" selected="0">
            <x v="0"/>
          </reference>
          <reference field="7" count="1" selected="0">
            <x v="1"/>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 chart="19" format="14">
      <pivotArea type="data" outline="0" fieldPosition="0">
        <references count="2">
          <reference field="4294967294" count="1" selected="0">
            <x v="0"/>
          </reference>
          <reference field="7" count="1" selected="0">
            <x v="3"/>
          </reference>
        </references>
      </pivotArea>
    </chartFormat>
    <chartFormat chart="19" format="15">
      <pivotArea type="data" outline="0" fieldPosition="0">
        <references count="2">
          <reference field="4294967294" count="1" selected="0">
            <x v="0"/>
          </reference>
          <reference field="7" count="1" selected="0">
            <x v="4"/>
          </reference>
        </references>
      </pivotArea>
    </chartFormat>
    <chartFormat chart="19" format="16">
      <pivotArea type="data" outline="0" fieldPosition="0">
        <references count="2">
          <reference field="4294967294" count="1" selected="0">
            <x v="0"/>
          </reference>
          <reference field="7" count="1" selected="0">
            <x v="5"/>
          </reference>
        </references>
      </pivotArea>
    </chartFormat>
    <chartFormat chart="19" format="17">
      <pivotArea type="data" outline="0" fieldPosition="0">
        <references count="2">
          <reference field="4294967294" count="1" selected="0">
            <x v="0"/>
          </reference>
          <reference field="7" count="1" selected="0">
            <x v="6"/>
          </reference>
        </references>
      </pivotArea>
    </chartFormat>
    <chartFormat chart="19" format="18">
      <pivotArea type="data" outline="0" fieldPosition="0">
        <references count="2">
          <reference field="4294967294" count="1" selected="0">
            <x v="0"/>
          </reference>
          <reference field="7" count="1" selected="0">
            <x v="7"/>
          </reference>
        </references>
      </pivotArea>
    </chartFormat>
    <chartFormat chart="19" format="19">
      <pivotArea type="data" outline="0" fieldPosition="0">
        <references count="2">
          <reference field="4294967294" count="1" selected="0">
            <x v="0"/>
          </reference>
          <reference field="7" count="1" selected="0">
            <x v="9"/>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Avg_rating"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G17:AG18" firstHeaderRow="1" firstDataRow="1" firstDataCol="0"/>
  <pivotFields count="2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x="6"/>
        <item x="2"/>
        <item x="5"/>
        <item x="3"/>
        <item x="7"/>
        <item x="0"/>
        <item x="4"/>
        <item x="1"/>
        <item m="1" x="9"/>
        <item x="8"/>
        <item t="default"/>
      </items>
    </pivotField>
    <pivotField showAll="0"/>
    <pivotField showAll="0"/>
    <pivotField dataField="1" showAll="0">
      <items count="7">
        <item x="1"/>
        <item x="2"/>
        <item x="3"/>
        <item x="0"/>
        <item x="4"/>
        <item x="5"/>
        <item t="default"/>
      </items>
    </pivotField>
    <pivotField showAll="0"/>
    <pivotField showAll="0"/>
    <pivotField showAll="0"/>
    <pivotField showAll="0"/>
    <pivotField showAll="0"/>
    <pivotField showAll="0"/>
    <pivotField showAll="0"/>
    <pivotField showAll="0" defaultSubtotal="0">
      <items count="2">
        <item x="0"/>
        <item x="1"/>
      </items>
    </pivotField>
    <pivotField showAll="0" defaultSubtotal="0">
      <items count="5">
        <item x="0"/>
        <item x="1"/>
        <item x="2"/>
        <item x="3"/>
        <item x="4"/>
      </items>
    </pivotField>
  </pivotFields>
  <rowItems count="1">
    <i/>
  </rowItems>
  <colItems count="1">
    <i/>
  </colItems>
  <dataFields count="1">
    <dataField name="Avg of rating  " fld="10" subtotal="average" baseField="0" baseItem="3534336" numFmtId="2"/>
  </dataFields>
  <formats count="1">
    <format dxfId="7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monthly revenue trend" cacheId="1"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chartFormat="28">
  <location ref="E21:G57" firstHeaderRow="1" firstDataRow="1" firstDataCol="2"/>
  <pivotFields count="20">
    <pivotField compact="0" outline="0" showAll="0" defaultSubtota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0">
        <item x="6"/>
        <item x="2"/>
        <item x="5"/>
        <item x="3"/>
        <item x="7"/>
        <item x="0"/>
        <item x="4"/>
        <item x="1"/>
        <item m="1" x="9"/>
        <item x="8"/>
      </items>
    </pivotField>
    <pivotField compact="0" outline="0" showAll="0" defaultSubtotal="0"/>
    <pivotField compact="0" outline="0" showAll="0" defaultSubtotal="0"/>
    <pivotField compact="0" outline="0" showAll="0" defaultSubtotal="0">
      <items count="6">
        <item x="1"/>
        <item x="2"/>
        <item x="3"/>
        <item x="0"/>
        <item x="4"/>
        <item x="5"/>
      </items>
    </pivotField>
    <pivotField compact="0" outline="0" showAll="0" defaultSubtotal="0"/>
    <pivotField compact="0" outline="0" showAll="0" defaultSubtotal="0"/>
    <pivotField dataField="1"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Row" compact="0" outline="0" showAll="0" defaultSubtotal="0">
      <items count="5">
        <item h="1" x="0"/>
        <item x="1"/>
        <item x="2"/>
        <item x="3"/>
        <item h="1" x="4"/>
      </items>
    </pivotField>
  </pivotFields>
  <rowFields count="2">
    <field x="19"/>
    <field x="2"/>
  </rowFields>
  <rowItems count="36">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rowItems>
  <colItems count="1">
    <i/>
  </colItems>
  <dataFields count="1">
    <dataField name="Sum of Revenue" fld="13" baseField="0" baseItem="0" numFmtId="3"/>
  </dataFields>
  <formats count="9">
    <format dxfId="805">
      <pivotArea type="all" dataOnly="0" outline="0" fieldPosition="0"/>
    </format>
    <format dxfId="804">
      <pivotArea outline="0" collapsedLevelsAreSubtotals="1" fieldPosition="0"/>
    </format>
    <format dxfId="803">
      <pivotArea dataOnly="0" labelOnly="1" outline="0" axis="axisValues" fieldPosition="0"/>
    </format>
    <format dxfId="802">
      <pivotArea type="all" dataOnly="0" outline="0" fieldPosition="0"/>
    </format>
    <format dxfId="801">
      <pivotArea outline="0" collapsedLevelsAreSubtotals="1" fieldPosition="0"/>
    </format>
    <format dxfId="800">
      <pivotArea dataOnly="0" labelOnly="1" outline="0" axis="axisValues" fieldPosition="0"/>
    </format>
    <format dxfId="799">
      <pivotArea outline="0" collapsedLevelsAreSubtotals="1" fieldPosition="0"/>
    </format>
    <format dxfId="798">
      <pivotArea outline="0" collapsedLevelsAreSubtotals="1" fieldPosition="0"/>
    </format>
    <format dxfId="797">
      <pivotArea outline="0" collapsedLevelsAreSubtotals="1" fieldPosition="0"/>
    </format>
  </formats>
  <conditionalFormats count="3">
    <conditionalFormat priority="11">
      <pivotAreas count="1">
        <pivotArea type="data" outline="0" collapsedLevelsAreSubtotals="1" fieldPosition="0">
          <references count="1">
            <reference field="4294967294" count="1" selected="0">
              <x v="0"/>
            </reference>
          </references>
        </pivotArea>
      </pivotAreas>
    </conditionalFormat>
    <conditionalFormat priority="10">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1">
            <reference field="4294967294" count="1" selected="0">
              <x v="0"/>
            </reference>
          </references>
        </pivotArea>
      </pivotAreas>
    </conditionalFormat>
  </conditionalFormats>
  <chartFormats count="1">
    <chartFormat chart="26" format="4"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rofit by category" cacheId="1"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location ref="G4:H13" firstHeaderRow="1" firstDataRow="1" firstDataCol="1"/>
  <pivotFields count="2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0">
        <item x="6"/>
        <item x="2"/>
        <item x="5"/>
        <item x="3"/>
        <item x="7"/>
        <item x="0"/>
        <item x="4"/>
        <item x="1"/>
        <item m="1" x="9"/>
        <item x="8"/>
      </items>
    </pivotField>
    <pivotField compact="0" outline="0" showAll="0" defaultSubtotal="0"/>
    <pivotField compact="0" outline="0" showAll="0" defaultSubtotal="0"/>
    <pivotField compact="0" outline="0" showAll="0" defaultSubtotal="0">
      <items count="6">
        <item x="1"/>
        <item x="2"/>
        <item x="3"/>
        <item x="0"/>
        <item x="4"/>
        <item x="5"/>
      </items>
    </pivotField>
    <pivotField compact="0" outline="0" showAll="0" defaultSubtotal="0"/>
    <pivotField compact="0" outline="0" showAll="0" defaultSubtotal="0"/>
    <pivotField compact="0" numFmtId="2"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items count="5">
        <item x="0"/>
        <item x="1"/>
        <item x="2"/>
        <item x="3"/>
        <item x="4"/>
      </items>
    </pivotField>
  </pivotFields>
  <rowFields count="1">
    <field x="7"/>
  </rowFields>
  <rowItems count="9">
    <i>
      <x/>
    </i>
    <i>
      <x v="1"/>
    </i>
    <i>
      <x v="2"/>
    </i>
    <i>
      <x v="3"/>
    </i>
    <i>
      <x v="4"/>
    </i>
    <i>
      <x v="5"/>
    </i>
    <i>
      <x v="6"/>
    </i>
    <i>
      <x v="7"/>
    </i>
    <i>
      <x v="9"/>
    </i>
  </rowItems>
  <colItems count="1">
    <i/>
  </colItems>
  <dataFields count="1">
    <dataField name="Sum of Profit" fld="14" showDataAs="percentOfTotal" baseField="7" baseItem="0" numFmtId="10"/>
  </dataFields>
  <formats count="13">
    <format dxfId="818">
      <pivotArea type="all" dataOnly="0" outline="0" fieldPosition="0"/>
    </format>
    <format dxfId="817">
      <pivotArea outline="0" collapsedLevelsAreSubtotals="1" fieldPosition="0"/>
    </format>
    <format dxfId="816">
      <pivotArea field="7" type="button" dataOnly="0" labelOnly="1" outline="0" axis="axisRow" fieldPosition="0"/>
    </format>
    <format dxfId="815">
      <pivotArea dataOnly="0" labelOnly="1" outline="0" axis="axisValues" fieldPosition="0"/>
    </format>
    <format dxfId="814">
      <pivotArea dataOnly="0" labelOnly="1" outline="0" fieldPosition="0">
        <references count="1">
          <reference field="7" count="0"/>
        </references>
      </pivotArea>
    </format>
    <format dxfId="813">
      <pivotArea field="7" type="button" dataOnly="0" labelOnly="1" outline="0" axis="axisRow" fieldPosition="0"/>
    </format>
    <format dxfId="812">
      <pivotArea dataOnly="0" labelOnly="1" outline="0" axis="axisValues" fieldPosition="0"/>
    </format>
    <format dxfId="811">
      <pivotArea dataOnly="0" labelOnly="1" outline="0" fieldPosition="0">
        <references count="1">
          <reference field="7" count="0"/>
        </references>
      </pivotArea>
    </format>
    <format dxfId="810">
      <pivotArea type="all" dataOnly="0" outline="0" fieldPosition="0"/>
    </format>
    <format dxfId="809">
      <pivotArea outline="0" collapsedLevelsAreSubtotals="1" fieldPosition="0"/>
    </format>
    <format dxfId="808">
      <pivotArea field="7" type="button" dataOnly="0" labelOnly="1" outline="0" axis="axisRow" fieldPosition="0"/>
    </format>
    <format dxfId="807">
      <pivotArea dataOnly="0" labelOnly="1" outline="0" axis="axisValues" fieldPosition="0"/>
    </format>
    <format dxfId="806">
      <pivotArea outline="0" fieldPosition="0">
        <references count="1">
          <reference field="4294967294" count="1">
            <x v="0"/>
          </reference>
        </references>
      </pivotArea>
    </format>
  </formats>
  <conditionalFormats count="1">
    <conditionalFormat priority="44">
      <pivotAreas count="1">
        <pivotArea type="data" outline="0" collapsedLevelsAreSubtotals="1" fieldPosition="0">
          <references count="1">
            <reference field="4294967294" count="1" selected="0">
              <x v="0"/>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_Profit"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D17:AD18" firstHeaderRow="1" firstDataRow="1" firstDataCol="0"/>
  <pivotFields count="2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x="6"/>
        <item x="2"/>
        <item x="5"/>
        <item x="3"/>
        <item x="7"/>
        <item x="0"/>
        <item x="4"/>
        <item x="1"/>
        <item m="1" x="9"/>
        <item x="8"/>
        <item t="default"/>
      </items>
    </pivotField>
    <pivotField showAll="0"/>
    <pivotField showAll="0"/>
    <pivotField showAll="0">
      <items count="7">
        <item x="1"/>
        <item x="2"/>
        <item x="3"/>
        <item x="0"/>
        <item x="4"/>
        <item x="5"/>
        <item t="default"/>
      </items>
    </pivotField>
    <pivotField showAll="0"/>
    <pivotField showAll="0"/>
    <pivotField showAll="0"/>
    <pivotField dataField="1" showAll="0"/>
    <pivotField showAll="0"/>
    <pivotField showAll="0"/>
    <pivotField showAll="0"/>
    <pivotField showAll="0" defaultSubtotal="0">
      <items count="2">
        <item x="0"/>
        <item x="1"/>
      </items>
    </pivotField>
    <pivotField showAll="0" defaultSubtotal="0">
      <items count="5">
        <item x="0"/>
        <item x="1"/>
        <item x="2"/>
        <item x="3"/>
        <item x="4"/>
      </items>
    </pivotField>
  </pivotFields>
  <rowItems count="1">
    <i/>
  </rowItems>
  <colItems count="1">
    <i/>
  </colItems>
  <dataFields count="1">
    <dataField name="Sum of Profit" fld="14" baseField="0" baseItem="0" numFmtId="3"/>
  </dataFields>
  <formats count="2">
    <format dxfId="820">
      <pivotArea outline="0" collapsedLevelsAreSubtotals="1" fieldPosition="0"/>
    </format>
    <format dxfId="8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avg disc vs revenue" cacheId="0"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location ref="I21:K171" firstHeaderRow="0" firstDataRow="1" firstDataCol="1"/>
  <pivotFields count="17">
    <pivotField compact="0" outline="0" showAll="0" defaultSubtotal="0"/>
    <pivotField compact="0" outline="0" showAll="0" defaultSubtotal="0"/>
    <pivotField compact="0" numFmtId="14" outline="0" showAll="0" defaultSubtotal="0"/>
    <pivotField compact="0" outline="0" showAll="0" defaultSubtotal="0"/>
    <pivotField dataField="1" compact="0" outline="0" showAll="0" defaultSubtotal="0"/>
    <pivotField compact="0" numFmtId="2" outline="0" showAll="0" defaultSubtotal="0"/>
    <pivotField axis="axisRow" compact="0" outline="0" showAll="0" defaultSubtotal="0">
      <items count="150">
        <item x="143"/>
        <item x="85"/>
        <item x="2"/>
        <item x="132"/>
        <item x="60"/>
        <item x="83"/>
        <item x="22"/>
        <item x="77"/>
        <item x="95"/>
        <item x="64"/>
        <item x="20"/>
        <item x="129"/>
        <item x="36"/>
        <item x="90"/>
        <item x="26"/>
        <item x="134"/>
        <item x="118"/>
        <item x="52"/>
        <item x="18"/>
        <item x="58"/>
        <item x="39"/>
        <item x="44"/>
        <item x="71"/>
        <item x="31"/>
        <item x="117"/>
        <item x="138"/>
        <item x="46"/>
        <item x="115"/>
        <item x="48"/>
        <item x="51"/>
        <item x="91"/>
        <item x="144"/>
        <item x="142"/>
        <item x="112"/>
        <item x="75"/>
        <item x="120"/>
        <item x="50"/>
        <item x="66"/>
        <item x="59"/>
        <item x="145"/>
        <item x="37"/>
        <item x="8"/>
        <item x="74"/>
        <item x="131"/>
        <item x="123"/>
        <item x="23"/>
        <item x="69"/>
        <item x="10"/>
        <item x="102"/>
        <item x="6"/>
        <item x="9"/>
        <item x="137"/>
        <item x="47"/>
        <item x="55"/>
        <item x="94"/>
        <item x="11"/>
        <item x="93"/>
        <item x="136"/>
        <item x="28"/>
        <item x="87"/>
        <item x="61"/>
        <item x="146"/>
        <item x="98"/>
        <item x="101"/>
        <item x="111"/>
        <item x="127"/>
        <item x="62"/>
        <item x="105"/>
        <item x="30"/>
        <item x="24"/>
        <item x="42"/>
        <item x="121"/>
        <item x="33"/>
        <item x="5"/>
        <item x="25"/>
        <item x="141"/>
        <item x="126"/>
        <item x="119"/>
        <item x="63"/>
        <item x="15"/>
        <item x="82"/>
        <item x="19"/>
        <item x="109"/>
        <item x="53"/>
        <item x="34"/>
        <item x="133"/>
        <item x="113"/>
        <item x="80"/>
        <item x="72"/>
        <item x="79"/>
        <item x="81"/>
        <item x="110"/>
        <item x="49"/>
        <item x="76"/>
        <item x="40"/>
        <item x="86"/>
        <item x="29"/>
        <item x="114"/>
        <item x="88"/>
        <item x="124"/>
        <item x="1"/>
        <item x="57"/>
        <item x="12"/>
        <item x="16"/>
        <item x="92"/>
        <item x="139"/>
        <item x="108"/>
        <item x="32"/>
        <item x="100"/>
        <item x="122"/>
        <item x="13"/>
        <item x="4"/>
        <item x="107"/>
        <item x="54"/>
        <item x="89"/>
        <item x="68"/>
        <item x="14"/>
        <item x="99"/>
        <item x="56"/>
        <item x="17"/>
        <item x="43"/>
        <item x="65"/>
        <item x="104"/>
        <item x="78"/>
        <item x="128"/>
        <item x="106"/>
        <item x="96"/>
        <item x="41"/>
        <item x="148"/>
        <item x="149"/>
        <item x="35"/>
        <item x="116"/>
        <item x="27"/>
        <item x="38"/>
        <item x="21"/>
        <item x="125"/>
        <item x="84"/>
        <item x="130"/>
        <item x="0"/>
        <item x="73"/>
        <item x="140"/>
        <item x="67"/>
        <item x="70"/>
        <item x="3"/>
        <item x="147"/>
        <item x="97"/>
        <item x="45"/>
        <item x="103"/>
        <item x="135"/>
        <item x="7"/>
      </items>
    </pivotField>
    <pivotField compact="0" outline="0" showAll="0" defaultSubtotal="0"/>
    <pivotField compact="0" outline="0" showAll="0" defaultSubtotal="0"/>
    <pivotField compact="0" outline="0" showAll="0" defaultSubtotal="0"/>
    <pivotField compact="0" outline="0" showAll="0" defaultSubtotal="0"/>
    <pivotField compact="0" numFmtId="2" outline="0" showAll="0" defaultSubtotal="0"/>
    <pivotField compact="0" numFmtId="2" outline="0" showAll="0" defaultSubtotal="0"/>
    <pivotField dataField="1" compact="0" numFmtId="2" outline="0" showAll="0" defaultSubtotal="0"/>
    <pivotField compact="0" numFmtId="2" outline="0" showAll="0" defaultSubtotal="0"/>
    <pivotField compact="0" numFmtId="2" outline="0" showAll="0" defaultSubtotal="0"/>
    <pivotField compact="0" numFmtId="9" outline="0" showAll="0" defaultSubtotal="0"/>
  </pivotFields>
  <rowFields count="1">
    <field x="6"/>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Fields count="1">
    <field x="-2"/>
  </colFields>
  <colItems count="2">
    <i>
      <x/>
    </i>
    <i i="1">
      <x v="1"/>
    </i>
  </colItems>
  <dataFields count="2">
    <dataField name="Avg of discount_percent" fld="4" subtotal="average" baseField="6" baseItem="0" numFmtId="2"/>
    <dataField name="Sum of Revenue" fld="13" baseField="0" baseItem="0" numFmtId="3"/>
  </dataFields>
  <formats count="27">
    <format dxfId="847">
      <pivotArea type="all" dataOnly="0" outline="0" fieldPosition="0"/>
    </format>
    <format dxfId="846">
      <pivotArea outline="0" collapsedLevelsAreSubtotals="1" fieldPosition="0"/>
    </format>
    <format dxfId="845">
      <pivotArea field="6" type="button" dataOnly="0" labelOnly="1" outline="0" axis="axisRow" fieldPosition="0"/>
    </format>
    <format dxfId="844">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43">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42">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41">
      <pivotArea dataOnly="0" labelOnly="1" outline="0" fieldPosition="0">
        <references count="1">
          <reference field="4294967294" count="2">
            <x v="0"/>
            <x v="1"/>
          </reference>
        </references>
      </pivotArea>
    </format>
    <format dxfId="840">
      <pivotArea type="all" dataOnly="0" outline="0" fieldPosition="0"/>
    </format>
    <format dxfId="839">
      <pivotArea outline="0" collapsedLevelsAreSubtotals="1" fieldPosition="0"/>
    </format>
    <format dxfId="838">
      <pivotArea field="6" type="button" dataOnly="0" labelOnly="1" outline="0" axis="axisRow" fieldPosition="0"/>
    </format>
    <format dxfId="837">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36">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35">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34">
      <pivotArea dataOnly="0" labelOnly="1" outline="0" fieldPosition="0">
        <references count="1">
          <reference field="4294967294" count="2">
            <x v="0"/>
            <x v="1"/>
          </reference>
        </references>
      </pivotArea>
    </format>
    <format dxfId="833">
      <pivotArea type="all" dataOnly="0" outline="0" fieldPosition="0"/>
    </format>
    <format dxfId="832">
      <pivotArea outline="0" collapsedLevelsAreSubtotals="1" fieldPosition="0"/>
    </format>
    <format dxfId="831">
      <pivotArea field="6" type="button" dataOnly="0" labelOnly="1" outline="0" axis="axisRow" fieldPosition="0"/>
    </format>
    <format dxfId="830">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29">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28">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27">
      <pivotArea dataOnly="0" labelOnly="1" outline="0" fieldPosition="0">
        <references count="1">
          <reference field="4294967294" count="2">
            <x v="0"/>
            <x v="1"/>
          </reference>
        </references>
      </pivotArea>
    </format>
    <format dxfId="826">
      <pivotArea outline="0" collapsedLevelsAreSubtotals="1" fieldPosition="0">
        <references count="1">
          <reference field="4294967294" count="1" selected="0">
            <x v="1"/>
          </reference>
        </references>
      </pivotArea>
    </format>
    <format dxfId="825">
      <pivotArea dataOnly="0" labelOnly="1" outline="0" fieldPosition="0">
        <references count="1">
          <reference field="4294967294" count="1">
            <x v="1"/>
          </reference>
        </references>
      </pivotArea>
    </format>
    <format dxfId="824">
      <pivotArea outline="0" collapsedLevelsAreSubtotals="1" fieldPosition="0"/>
    </format>
    <format dxfId="823">
      <pivotArea outline="0" collapsedLevelsAreSubtotals="1" fieldPosition="0"/>
    </format>
    <format dxfId="822">
      <pivotArea outline="0" collapsedLevelsAreSubtotals="1" fieldPosition="0">
        <references count="1">
          <reference field="4294967294" count="1" selected="0">
            <x v="1"/>
          </reference>
        </references>
      </pivotArea>
    </format>
    <format dxfId="821">
      <pivotArea outline="0" collapsedLevelsAreSubtotals="1" fieldPosition="0">
        <references count="1">
          <reference field="4294967294" count="1" selected="0">
            <x v="0"/>
          </reference>
        </references>
      </pivotArea>
    </format>
  </formats>
  <conditionalFormats count="1">
    <conditionalFormat priority="17">
      <pivotAreas count="1">
        <pivotArea type="data" outline="0" collapsedLevelsAreSubtotals="1" fieldPosition="0">
          <references count="1">
            <reference field="4294967294" count="1" selected="0">
              <x v="1"/>
            </reference>
          </references>
        </pivotArea>
      </pivotAreas>
    </conditionalFormat>
  </conditional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Avg_discount"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I17:AI18" firstHeaderRow="1" firstDataRow="1" firstDataCol="0"/>
  <pivotFields count="20">
    <pivotField showAll="0"/>
    <pivotField showAll="0"/>
    <pivotField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11">
        <item x="6"/>
        <item x="2"/>
        <item x="5"/>
        <item x="3"/>
        <item x="7"/>
        <item x="0"/>
        <item x="4"/>
        <item x="1"/>
        <item m="1" x="9"/>
        <item x="8"/>
        <item t="default"/>
      </items>
    </pivotField>
    <pivotField showAll="0"/>
    <pivotField showAll="0"/>
    <pivotField showAll="0">
      <items count="7">
        <item x="1"/>
        <item x="2"/>
        <item x="3"/>
        <item x="0"/>
        <item x="4"/>
        <item x="5"/>
        <item t="default"/>
      </items>
    </pivotField>
    <pivotField showAll="0"/>
    <pivotField showAll="0"/>
    <pivotField showAll="0"/>
    <pivotField showAll="0"/>
    <pivotField showAll="0"/>
    <pivotField showAll="0"/>
    <pivotField showAll="0"/>
    <pivotField showAll="0" defaultSubtotal="0">
      <items count="2">
        <item x="0"/>
        <item x="1"/>
      </items>
    </pivotField>
    <pivotField showAll="0" defaultSubtotal="0">
      <items count="5">
        <item x="0"/>
        <item x="1"/>
        <item x="2"/>
        <item x="3"/>
        <item x="4"/>
      </items>
    </pivotField>
  </pivotFields>
  <rowItems count="1">
    <i/>
  </rowItems>
  <colItems count="1">
    <i/>
  </colItems>
  <dataFields count="1">
    <dataField name="Avg of discount_percent" fld="4" subtotal="average" baseField="0" baseItem="3534336" numFmtId="2"/>
  </dataFields>
  <formats count="1">
    <format dxfId="8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revenue by category over time"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3">
  <location ref="AP17:AY58" firstHeaderRow="1" firstDataRow="2" firstDataCol="1"/>
  <pivotFields count="2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axis="axisCol" showAll="0">
      <items count="11">
        <item x="6"/>
        <item x="2"/>
        <item x="5"/>
        <item x="3"/>
        <item x="7"/>
        <item x="0"/>
        <item x="4"/>
        <item x="1"/>
        <item m="1" x="9"/>
        <item x="8"/>
        <item t="default"/>
      </items>
    </pivotField>
    <pivotField showAll="0"/>
    <pivotField showAll="0"/>
    <pivotField showAll="0">
      <items count="7">
        <item x="1"/>
        <item x="2"/>
        <item x="3"/>
        <item x="0"/>
        <item x="4"/>
        <item x="5"/>
        <item t="default"/>
      </items>
    </pivotField>
    <pivotField showAll="0"/>
    <pivotField showAll="0"/>
    <pivotField dataField="1" showAll="0"/>
    <pivotField showAll="0"/>
    <pivotField showAll="0"/>
    <pivotField showAll="0"/>
    <pivotField showAll="0"/>
    <pivotField showAll="0" defaultSubtotal="0">
      <items count="2">
        <item x="0"/>
        <item x="1"/>
      </items>
    </pivotField>
    <pivotField axis="axisRow" showAll="0" defaultSubtotal="0">
      <items count="5">
        <item h="1" x="0"/>
        <item x="1"/>
        <item x="2"/>
        <item x="3"/>
        <item h="1" x="4"/>
      </items>
    </pivotField>
  </pivotFields>
  <rowFields count="2">
    <field x="19"/>
    <field x="2"/>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Fields count="1">
    <field x="7"/>
  </colFields>
  <colItems count="9">
    <i>
      <x/>
    </i>
    <i>
      <x v="1"/>
    </i>
    <i>
      <x v="2"/>
    </i>
    <i>
      <x v="3"/>
    </i>
    <i>
      <x v="4"/>
    </i>
    <i>
      <x v="5"/>
    </i>
    <i>
      <x v="6"/>
    </i>
    <i>
      <x v="7"/>
    </i>
    <i t="grand">
      <x/>
    </i>
  </colItems>
  <dataFields count="1">
    <dataField name="Sum of Revenue" fld="13" baseField="2" baseItem="5" numFmtId="3"/>
  </dataFields>
  <formats count="3">
    <format dxfId="851">
      <pivotArea dataOnly="0" labelOnly="1" fieldPosition="0">
        <references count="1">
          <reference field="7" count="0"/>
        </references>
      </pivotArea>
    </format>
    <format dxfId="850">
      <pivotArea dataOnly="0" labelOnly="1" grandCol="1" outline="0" fieldPosition="0"/>
    </format>
    <format dxfId="849">
      <pivotArea outline="0" collapsedLevelsAreSubtotals="1" fieldPosition="0"/>
    </format>
  </formats>
  <chartFormats count="26">
    <chartFormat chart="22" format="0" series="1">
      <pivotArea type="data" outline="0" fieldPosition="0">
        <references count="2">
          <reference field="4294967294" count="1" selected="0">
            <x v="0"/>
          </reference>
          <reference field="7" count="1" selected="0">
            <x v="0"/>
          </reference>
        </references>
      </pivotArea>
    </chartFormat>
    <chartFormat chart="22" format="1" series="1">
      <pivotArea type="data" outline="0" fieldPosition="0">
        <references count="2">
          <reference field="4294967294" count="1" selected="0">
            <x v="0"/>
          </reference>
          <reference field="7" count="1" selected="0">
            <x v="1"/>
          </reference>
        </references>
      </pivotArea>
    </chartFormat>
    <chartFormat chart="22" format="2" series="1">
      <pivotArea type="data" outline="0" fieldPosition="0">
        <references count="2">
          <reference field="4294967294" count="1" selected="0">
            <x v="0"/>
          </reference>
          <reference field="7" count="1" selected="0">
            <x v="2"/>
          </reference>
        </references>
      </pivotArea>
    </chartFormat>
    <chartFormat chart="22" format="3" series="1">
      <pivotArea type="data" outline="0" fieldPosition="0">
        <references count="2">
          <reference field="4294967294" count="1" selected="0">
            <x v="0"/>
          </reference>
          <reference field="7" count="1" selected="0">
            <x v="3"/>
          </reference>
        </references>
      </pivotArea>
    </chartFormat>
    <chartFormat chart="22" format="4" series="1">
      <pivotArea type="data" outline="0" fieldPosition="0">
        <references count="2">
          <reference field="4294967294" count="1" selected="0">
            <x v="0"/>
          </reference>
          <reference field="7" count="1" selected="0">
            <x v="4"/>
          </reference>
        </references>
      </pivotArea>
    </chartFormat>
    <chartFormat chart="22" format="5" series="1">
      <pivotArea type="data" outline="0" fieldPosition="0">
        <references count="2">
          <reference field="4294967294" count="1" selected="0">
            <x v="0"/>
          </reference>
          <reference field="7" count="1" selected="0">
            <x v="5"/>
          </reference>
        </references>
      </pivotArea>
    </chartFormat>
    <chartFormat chart="22" format="6" series="1">
      <pivotArea type="data" outline="0" fieldPosition="0">
        <references count="2">
          <reference field="4294967294" count="1" selected="0">
            <x v="0"/>
          </reference>
          <reference field="7" count="1" selected="0">
            <x v="6"/>
          </reference>
        </references>
      </pivotArea>
    </chartFormat>
    <chartFormat chart="22" format="7" series="1">
      <pivotArea type="data" outline="0" fieldPosition="0">
        <references count="2">
          <reference field="4294967294" count="1" selected="0">
            <x v="0"/>
          </reference>
          <reference field="7" count="1" selected="0">
            <x v="7"/>
          </reference>
        </references>
      </pivotArea>
    </chartFormat>
    <chartFormat chart="23" format="8" series="1">
      <pivotArea type="data" outline="0" fieldPosition="0">
        <references count="2">
          <reference field="4294967294" count="1" selected="0">
            <x v="0"/>
          </reference>
          <reference field="7" count="1" selected="0">
            <x v="0"/>
          </reference>
        </references>
      </pivotArea>
    </chartFormat>
    <chartFormat chart="23" format="9" series="1">
      <pivotArea type="data" outline="0" fieldPosition="0">
        <references count="2">
          <reference field="4294967294" count="1" selected="0">
            <x v="0"/>
          </reference>
          <reference field="7" count="1" selected="0">
            <x v="1"/>
          </reference>
        </references>
      </pivotArea>
    </chartFormat>
    <chartFormat chart="23" format="10" series="1">
      <pivotArea type="data" outline="0" fieldPosition="0">
        <references count="2">
          <reference field="4294967294" count="1" selected="0">
            <x v="0"/>
          </reference>
          <reference field="7" count="1" selected="0">
            <x v="2"/>
          </reference>
        </references>
      </pivotArea>
    </chartFormat>
    <chartFormat chart="23" format="11" series="1">
      <pivotArea type="data" outline="0" fieldPosition="0">
        <references count="2">
          <reference field="4294967294" count="1" selected="0">
            <x v="0"/>
          </reference>
          <reference field="7" count="1" selected="0">
            <x v="3"/>
          </reference>
        </references>
      </pivotArea>
    </chartFormat>
    <chartFormat chart="23" format="12" series="1">
      <pivotArea type="data" outline="0" fieldPosition="0">
        <references count="2">
          <reference field="4294967294" count="1" selected="0">
            <x v="0"/>
          </reference>
          <reference field="7" count="1" selected="0">
            <x v="4"/>
          </reference>
        </references>
      </pivotArea>
    </chartFormat>
    <chartFormat chart="23" format="13" series="1">
      <pivotArea type="data" outline="0" fieldPosition="0">
        <references count="2">
          <reference field="4294967294" count="1" selected="0">
            <x v="0"/>
          </reference>
          <reference field="7" count="1" selected="0">
            <x v="5"/>
          </reference>
        </references>
      </pivotArea>
    </chartFormat>
    <chartFormat chart="23" format="14" series="1">
      <pivotArea type="data" outline="0" fieldPosition="0">
        <references count="2">
          <reference field="4294967294" count="1" selected="0">
            <x v="0"/>
          </reference>
          <reference field="7" count="1" selected="0">
            <x v="6"/>
          </reference>
        </references>
      </pivotArea>
    </chartFormat>
    <chartFormat chart="23" format="15" series="1">
      <pivotArea type="data" outline="0" fieldPosition="0">
        <references count="2">
          <reference field="4294967294" count="1" selected="0">
            <x v="0"/>
          </reference>
          <reference field="7" count="1" selected="0">
            <x v="7"/>
          </reference>
        </references>
      </pivotArea>
    </chartFormat>
    <chartFormat chart="42" format="16" series="1">
      <pivotArea type="data" outline="0" fieldPosition="0">
        <references count="2">
          <reference field="4294967294" count="1" selected="0">
            <x v="0"/>
          </reference>
          <reference field="7" count="1" selected="0">
            <x v="0"/>
          </reference>
        </references>
      </pivotArea>
    </chartFormat>
    <chartFormat chart="42" format="17" series="1">
      <pivotArea type="data" outline="0" fieldPosition="0">
        <references count="2">
          <reference field="4294967294" count="1" selected="0">
            <x v="0"/>
          </reference>
          <reference field="7" count="1" selected="0">
            <x v="1"/>
          </reference>
        </references>
      </pivotArea>
    </chartFormat>
    <chartFormat chart="42" format="18" series="1">
      <pivotArea type="data" outline="0" fieldPosition="0">
        <references count="2">
          <reference field="4294967294" count="1" selected="0">
            <x v="0"/>
          </reference>
          <reference field="7" count="1" selected="0">
            <x v="2"/>
          </reference>
        </references>
      </pivotArea>
    </chartFormat>
    <chartFormat chart="42" format="19" series="1">
      <pivotArea type="data" outline="0" fieldPosition="0">
        <references count="2">
          <reference field="4294967294" count="1" selected="0">
            <x v="0"/>
          </reference>
          <reference field="7" count="1" selected="0">
            <x v="3"/>
          </reference>
        </references>
      </pivotArea>
    </chartFormat>
    <chartFormat chart="42" format="20" series="1">
      <pivotArea type="data" outline="0" fieldPosition="0">
        <references count="2">
          <reference field="4294967294" count="1" selected="0">
            <x v="0"/>
          </reference>
          <reference field="7" count="1" selected="0">
            <x v="4"/>
          </reference>
        </references>
      </pivotArea>
    </chartFormat>
    <chartFormat chart="42" format="21" series="1">
      <pivotArea type="data" outline="0" fieldPosition="0">
        <references count="2">
          <reference field="4294967294" count="1" selected="0">
            <x v="0"/>
          </reference>
          <reference field="7" count="1" selected="0">
            <x v="5"/>
          </reference>
        </references>
      </pivotArea>
    </chartFormat>
    <chartFormat chart="42" format="22" series="1">
      <pivotArea type="data" outline="0" fieldPosition="0">
        <references count="2">
          <reference field="4294967294" count="1" selected="0">
            <x v="0"/>
          </reference>
          <reference field="7" count="1" selected="0">
            <x v="6"/>
          </reference>
        </references>
      </pivotArea>
    </chartFormat>
    <chartFormat chart="42" format="23" series="1">
      <pivotArea type="data" outline="0" fieldPosition="0">
        <references count="2">
          <reference field="4294967294" count="1" selected="0">
            <x v="0"/>
          </reference>
          <reference field="7" count="1" selected="0">
            <x v="7"/>
          </reference>
        </references>
      </pivotArea>
    </chartFormat>
    <chartFormat chart="42" format="24" series="1">
      <pivotArea type="data" outline="0" fieldPosition="0">
        <references count="2">
          <reference field="4294967294" count="1" selected="0">
            <x v="0"/>
          </reference>
          <reference field="7" count="1" selected="0">
            <x v="9"/>
          </reference>
        </references>
      </pivotArea>
    </chartFormat>
    <chartFormat chart="42"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avg rating by category" cacheId="0"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location ref="J4:K12" firstHeaderRow="1" firstDataRow="1" firstDataCol="1"/>
  <pivotFields count="17">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numFmtId="2" outline="0" showAll="0" defaultSubtotal="0"/>
    <pivotField compact="0" outline="0" showAll="0" defaultSubtotal="0"/>
    <pivotField axis="axisRow" compact="0" outline="0" showAll="0" defaultSubtotal="0">
      <items count="8">
        <item x="6"/>
        <item x="2"/>
        <item x="5"/>
        <item x="3"/>
        <item x="7"/>
        <item x="0"/>
        <item x="4"/>
        <item x="1"/>
      </items>
    </pivotField>
    <pivotField compact="0" outline="0" showAll="0" defaultSubtotal="0"/>
    <pivotField compact="0" outline="0" showAll="0" defaultSubtotal="0"/>
    <pivotField dataField="1" compact="0"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9" outline="0" showAll="0" defaultSubtotal="0"/>
  </pivotFields>
  <rowFields count="1">
    <field x="7"/>
  </rowFields>
  <rowItems count="8">
    <i>
      <x/>
    </i>
    <i>
      <x v="1"/>
    </i>
    <i>
      <x v="2"/>
    </i>
    <i>
      <x v="3"/>
    </i>
    <i>
      <x v="4"/>
    </i>
    <i>
      <x v="5"/>
    </i>
    <i>
      <x v="6"/>
    </i>
    <i>
      <x v="7"/>
    </i>
  </rowItems>
  <colItems count="1">
    <i/>
  </colItems>
  <dataFields count="1">
    <dataField name="Average of rating  " fld="10" subtotal="average" baseField="7" baseItem="0" numFmtId="2"/>
  </dataFields>
  <formats count="17">
    <format dxfId="868">
      <pivotArea type="all" dataOnly="0" outline="0" fieldPosition="0"/>
    </format>
    <format dxfId="867">
      <pivotArea outline="0" collapsedLevelsAreSubtotals="1" fieldPosition="0"/>
    </format>
    <format dxfId="866">
      <pivotArea field="7" type="button" dataOnly="0" labelOnly="1" outline="0" axis="axisRow" fieldPosition="0"/>
    </format>
    <format dxfId="865">
      <pivotArea dataOnly="0" labelOnly="1" outline="0" axis="axisValues" fieldPosition="0"/>
    </format>
    <format dxfId="864">
      <pivotArea dataOnly="0" labelOnly="1" outline="0" fieldPosition="0">
        <references count="1">
          <reference field="7" count="0"/>
        </references>
      </pivotArea>
    </format>
    <format dxfId="863">
      <pivotArea type="all" dataOnly="0" outline="0" fieldPosition="0"/>
    </format>
    <format dxfId="862">
      <pivotArea outline="0" collapsedLevelsAreSubtotals="1" fieldPosition="0"/>
    </format>
    <format dxfId="861">
      <pivotArea field="7" type="button" dataOnly="0" labelOnly="1" outline="0" axis="axisRow" fieldPosition="0"/>
    </format>
    <format dxfId="860">
      <pivotArea dataOnly="0" labelOnly="1" outline="0" axis="axisValues" fieldPosition="0"/>
    </format>
    <format dxfId="859">
      <pivotArea dataOnly="0" labelOnly="1" outline="0" fieldPosition="0">
        <references count="1">
          <reference field="7" count="0"/>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7" type="button" dataOnly="0" labelOnly="1" outline="0" axis="axisRow" fieldPosition="0"/>
    </format>
    <format dxfId="853">
      <pivotArea dataOnly="0" labelOnly="1" outline="0" axis="axisValues" fieldPosition="0"/>
    </format>
    <format dxfId="852">
      <pivotArea dataOnly="0" labelOnly="1" outline="0" fieldPosition="0">
        <references count="1">
          <reference field="7" count="0"/>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6" id="{9331AABD-B7E3-48EC-95CC-F5EE486E48A6}">
            <x14:pivotAreas count="1">
              <pivotArea type="data" outline="0" collapsedLevelsAreSubtotals="1" fieldPosition="0">
                <references count="1">
                  <reference field="4294967294" count="1" selected="0">
                    <x v="0"/>
                  </reference>
                </references>
              </pivotArea>
            </x14:pivotAreas>
          </x14:conditionalFormat>
        </x14:conditionalFormats>
      </x14:pivotTableDefinition>
    </ext>
  </extLst>
</pivotTableDefinition>
</file>

<file path=xl/pivotTables/pivotTable14.xml><?xml version="1.0" encoding="utf-8"?>
<pivotTableDefinition xmlns="http://schemas.openxmlformats.org/spreadsheetml/2006/main" name="our price vs comp " cacheId="0"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location ref="A21:C171" firstHeaderRow="0" firstDataRow="1" firstDataCol="1"/>
  <pivotFields count="17">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dataField="1" compact="0" numFmtId="2" outline="0" showAll="0" defaultSubtotal="0"/>
    <pivotField axis="axisRow" compact="0" outline="0" showAll="0" defaultSubtotal="0">
      <items count="150">
        <item x="143"/>
        <item x="85"/>
        <item x="2"/>
        <item x="132"/>
        <item x="60"/>
        <item x="83"/>
        <item x="22"/>
        <item x="77"/>
        <item x="95"/>
        <item x="64"/>
        <item x="20"/>
        <item x="129"/>
        <item x="36"/>
        <item x="90"/>
        <item x="26"/>
        <item x="134"/>
        <item x="118"/>
        <item x="52"/>
        <item x="18"/>
        <item x="58"/>
        <item x="39"/>
        <item x="44"/>
        <item x="71"/>
        <item x="31"/>
        <item x="117"/>
        <item x="138"/>
        <item x="46"/>
        <item x="115"/>
        <item x="48"/>
        <item x="51"/>
        <item x="91"/>
        <item x="144"/>
        <item x="142"/>
        <item x="112"/>
        <item x="75"/>
        <item x="120"/>
        <item x="50"/>
        <item x="66"/>
        <item x="59"/>
        <item x="145"/>
        <item x="37"/>
        <item x="8"/>
        <item x="74"/>
        <item x="131"/>
        <item x="123"/>
        <item x="23"/>
        <item x="69"/>
        <item x="10"/>
        <item x="102"/>
        <item x="6"/>
        <item x="9"/>
        <item x="137"/>
        <item x="47"/>
        <item x="55"/>
        <item x="94"/>
        <item x="11"/>
        <item x="93"/>
        <item x="136"/>
        <item x="28"/>
        <item x="87"/>
        <item x="61"/>
        <item x="146"/>
        <item x="98"/>
        <item x="101"/>
        <item x="111"/>
        <item x="127"/>
        <item x="62"/>
        <item x="105"/>
        <item x="30"/>
        <item x="24"/>
        <item x="42"/>
        <item x="121"/>
        <item x="33"/>
        <item x="5"/>
        <item x="25"/>
        <item x="141"/>
        <item x="126"/>
        <item x="119"/>
        <item x="63"/>
        <item x="15"/>
        <item x="82"/>
        <item x="19"/>
        <item x="109"/>
        <item x="53"/>
        <item x="34"/>
        <item x="133"/>
        <item x="113"/>
        <item x="80"/>
        <item x="72"/>
        <item x="79"/>
        <item x="81"/>
        <item x="110"/>
        <item x="49"/>
        <item x="76"/>
        <item x="40"/>
        <item x="86"/>
        <item x="29"/>
        <item x="114"/>
        <item x="88"/>
        <item x="124"/>
        <item x="1"/>
        <item x="57"/>
        <item x="12"/>
        <item x="16"/>
        <item x="92"/>
        <item x="139"/>
        <item x="108"/>
        <item x="32"/>
        <item x="100"/>
        <item x="122"/>
        <item x="13"/>
        <item x="4"/>
        <item x="107"/>
        <item x="54"/>
        <item x="89"/>
        <item x="68"/>
        <item x="14"/>
        <item x="99"/>
        <item x="56"/>
        <item x="17"/>
        <item x="43"/>
        <item x="65"/>
        <item x="104"/>
        <item x="78"/>
        <item x="128"/>
        <item x="106"/>
        <item x="96"/>
        <item x="41"/>
        <item x="148"/>
        <item x="149"/>
        <item x="35"/>
        <item x="116"/>
        <item x="27"/>
        <item x="38"/>
        <item x="21"/>
        <item x="125"/>
        <item x="84"/>
        <item x="130"/>
        <item x="0"/>
        <item x="73"/>
        <item x="140"/>
        <item x="67"/>
        <item x="70"/>
        <item x="3"/>
        <item x="147"/>
        <item x="97"/>
        <item x="45"/>
        <item x="103"/>
        <item x="135"/>
        <item x="7"/>
      </items>
    </pivotField>
    <pivotField compact="0" outline="0" showAll="0" defaultSubtotal="0"/>
    <pivotField compact="0" outline="0" showAll="0" defaultSubtotal="0"/>
    <pivotField compact="0" outline="0" showAll="0" defaultSubtotal="0"/>
    <pivotField compact="0" outline="0" showAll="0" defaultSubtotal="0"/>
    <pivotField compact="0" numFmtId="2" outline="0" showAll="0" defaultSubtotal="0"/>
    <pivotField dataField="1" compact="0" numFmtId="2" outline="0" showAll="0" defaultSubtotal="0"/>
    <pivotField compact="0" numFmtId="2" outline="0" showAll="0" defaultSubtotal="0"/>
    <pivotField compact="0" numFmtId="2" outline="0" showAll="0" defaultSubtotal="0"/>
    <pivotField compact="0" numFmtId="2" outline="0" showAll="0" defaultSubtotal="0"/>
    <pivotField compact="0" numFmtId="9" outline="0" showAll="0" defaultSubtotal="0"/>
  </pivotFields>
  <rowFields count="1">
    <field x="6"/>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Fields count="1">
    <field x="-2"/>
  </colFields>
  <colItems count="2">
    <i>
      <x/>
    </i>
    <i i="1">
      <x v="1"/>
    </i>
  </colItems>
  <dataFields count="2">
    <dataField name="Avg of final_sale_price" fld="5" subtotal="average" baseField="6" baseItem="0" numFmtId="3"/>
    <dataField name=" avg_comp_price" fld="12" subtotal="average" baseField="6" baseItem="0" numFmtId="3"/>
  </dataFields>
  <formats count="30">
    <format dxfId="898">
      <pivotArea type="all" dataOnly="0" outline="0" fieldPosition="0"/>
    </format>
    <format dxfId="897">
      <pivotArea outline="0" collapsedLevelsAreSubtotals="1" fieldPosition="0"/>
    </format>
    <format dxfId="896">
      <pivotArea field="6" type="button" dataOnly="0" labelOnly="1" outline="0" axis="axisRow" fieldPosition="0"/>
    </format>
    <format dxfId="895">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9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93">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92">
      <pivotArea dataOnly="0" labelOnly="1" outline="0" fieldPosition="0">
        <references count="1">
          <reference field="4294967294" count="2">
            <x v="0"/>
            <x v="1"/>
          </reference>
        </references>
      </pivotArea>
    </format>
    <format dxfId="891">
      <pivotArea type="all" dataOnly="0" outline="0" fieldPosition="0"/>
    </format>
    <format dxfId="890">
      <pivotArea outline="0" collapsedLevelsAreSubtotals="1" fieldPosition="0"/>
    </format>
    <format dxfId="889">
      <pivotArea field="6" type="button" dataOnly="0" labelOnly="1" outline="0" axis="axisRow" fieldPosition="0"/>
    </format>
    <format dxfId="888">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87">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86">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85">
      <pivotArea dataOnly="0" labelOnly="1" outline="0" fieldPosition="0">
        <references count="1">
          <reference field="4294967294" count="2">
            <x v="0"/>
            <x v="1"/>
          </reference>
        </references>
      </pivotArea>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6" type="button" dataOnly="0" labelOnly="1" outline="0" axis="axisRow" fieldPosition="0"/>
    </format>
    <format dxfId="880">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79">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78">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77">
      <pivotArea dataOnly="0" labelOnly="1" outline="0" fieldPosition="0">
        <references count="1">
          <reference field="4294967294" count="2">
            <x v="0"/>
            <x v="1"/>
          </reference>
        </references>
      </pivotArea>
    </format>
    <format dxfId="876">
      <pivotArea field="6" type="button" dataOnly="0" labelOnly="1" outline="0" axis="axisRow" fieldPosition="0"/>
    </format>
    <format dxfId="875">
      <pivotArea dataOnly="0" labelOnly="1" outline="0" fieldPosition="0">
        <references count="1">
          <reference field="4294967294" count="2">
            <x v="0"/>
            <x v="1"/>
          </reference>
        </references>
      </pivotArea>
    </format>
    <format dxfId="874">
      <pivotArea outline="0" collapsedLevelsAreSubtotals="1" fieldPosition="0"/>
    </format>
    <format dxfId="873">
      <pivotArea field="6" type="button" dataOnly="0" labelOnly="1" outline="0" axis="axisRow" fieldPosition="0"/>
    </format>
    <format dxfId="872">
      <pivotArea dataOnly="0" labelOnly="1" outline="0" fieldPosition="0">
        <references count="1">
          <reference field="4294967294" count="2">
            <x v="0"/>
            <x v="1"/>
          </reference>
        </references>
      </pivotArea>
    </format>
    <format dxfId="871">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70">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69">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s>
  <conditionalFormats count="1">
    <conditionalFormat priority="21">
      <pivotAreas count="1">
        <pivotArea type="data" outline="0" collapsedLevelsAreSubtotals="1" fieldPosition="0"/>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low perfomance products" cacheId="1"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location ref="P4:Q14" firstHeaderRow="1" firstDataRow="1" firstDataCol="1"/>
  <pivotFields count="2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defaultSubtotal="0">
      <items count="152">
        <item x="143"/>
        <item x="85"/>
        <item x="2"/>
        <item x="132"/>
        <item x="60"/>
        <item x="83"/>
        <item x="22"/>
        <item x="77"/>
        <item x="95"/>
        <item x="64"/>
        <item x="20"/>
        <item x="129"/>
        <item x="36"/>
        <item x="90"/>
        <item x="26"/>
        <item x="134"/>
        <item x="118"/>
        <item x="52"/>
        <item x="18"/>
        <item x="58"/>
        <item x="39"/>
        <item x="44"/>
        <item x="71"/>
        <item x="31"/>
        <item x="117"/>
        <item x="138"/>
        <item x="46"/>
        <item x="115"/>
        <item x="48"/>
        <item x="51"/>
        <item x="91"/>
        <item x="144"/>
        <item x="142"/>
        <item x="112"/>
        <item x="75"/>
        <item x="120"/>
        <item x="50"/>
        <item x="66"/>
        <item x="59"/>
        <item x="145"/>
        <item x="37"/>
        <item x="8"/>
        <item x="74"/>
        <item x="131"/>
        <item x="123"/>
        <item x="23"/>
        <item x="69"/>
        <item x="10"/>
        <item x="102"/>
        <item x="6"/>
        <item x="9"/>
        <item x="137"/>
        <item x="47"/>
        <item x="55"/>
        <item x="94"/>
        <item x="11"/>
        <item x="93"/>
        <item x="136"/>
        <item x="28"/>
        <item x="87"/>
        <item x="61"/>
        <item x="146"/>
        <item x="98"/>
        <item x="101"/>
        <item x="111"/>
        <item x="127"/>
        <item x="62"/>
        <item x="105"/>
        <item x="30"/>
        <item x="24"/>
        <item x="42"/>
        <item x="121"/>
        <item x="33"/>
        <item x="5"/>
        <item x="25"/>
        <item x="141"/>
        <item x="126"/>
        <item x="119"/>
        <item x="63"/>
        <item x="15"/>
        <item x="82"/>
        <item x="19"/>
        <item x="109"/>
        <item x="53"/>
        <item x="34"/>
        <item x="133"/>
        <item x="113"/>
        <item x="80"/>
        <item x="72"/>
        <item x="79"/>
        <item x="81"/>
        <item x="110"/>
        <item x="49"/>
        <item x="76"/>
        <item x="40"/>
        <item x="86"/>
        <item x="29"/>
        <item x="114"/>
        <item x="88"/>
        <item x="124"/>
        <item x="1"/>
        <item x="57"/>
        <item x="12"/>
        <item x="16"/>
        <item x="92"/>
        <item x="139"/>
        <item x="108"/>
        <item x="32"/>
        <item x="100"/>
        <item x="122"/>
        <item x="13"/>
        <item x="4"/>
        <item x="107"/>
        <item x="54"/>
        <item x="89"/>
        <item x="68"/>
        <item x="14"/>
        <item x="99"/>
        <item x="56"/>
        <item x="17"/>
        <item x="43"/>
        <item x="65"/>
        <item x="104"/>
        <item x="78"/>
        <item x="128"/>
        <item x="106"/>
        <item x="96"/>
        <item x="41"/>
        <item x="148"/>
        <item x="149"/>
        <item x="35"/>
        <item x="116"/>
        <item x="27"/>
        <item x="38"/>
        <item x="21"/>
        <item x="125"/>
        <item x="84"/>
        <item x="130"/>
        <item x="0"/>
        <item x="73"/>
        <item x="140"/>
        <item x="67"/>
        <item x="70"/>
        <item x="3"/>
        <item x="147"/>
        <item x="97"/>
        <item x="45"/>
        <item x="103"/>
        <item x="135"/>
        <item x="7"/>
        <item m="1" x="151"/>
        <item x="150"/>
      </items>
    </pivotField>
    <pivotField compact="0" outline="0" showAll="0" defaultSubtotal="0">
      <items count="10">
        <item x="6"/>
        <item x="2"/>
        <item x="5"/>
        <item x="3"/>
        <item x="7"/>
        <item x="0"/>
        <item x="4"/>
        <item x="1"/>
        <item m="1" x="9"/>
        <item x="8"/>
      </items>
    </pivotField>
    <pivotField compact="0" outline="0" showAll="0" defaultSubtotal="0"/>
    <pivotField compact="0" outline="0" showAll="0" defaultSubtotal="0"/>
    <pivotField compact="0" outline="0" showAll="0" defaultSubtotal="0">
      <items count="6">
        <item x="1"/>
        <item x="2"/>
        <item x="3"/>
        <item x="0"/>
        <item x="4"/>
        <item x="5"/>
      </items>
    </pivotField>
    <pivotField compact="0" outline="0" showAll="0" defaultSubtotal="0"/>
    <pivotField compact="0" outline="0" showAll="0" defaultSubtotal="0"/>
    <pivotField dataField="1"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items count="5">
        <item x="0"/>
        <item x="1"/>
        <item x="2"/>
        <item x="3"/>
        <item x="4"/>
      </items>
    </pivotField>
  </pivotFields>
  <rowFields count="1">
    <field x="6"/>
  </rowFields>
  <rowItems count="10">
    <i>
      <x v="3"/>
    </i>
    <i>
      <x v="27"/>
    </i>
    <i>
      <x v="50"/>
    </i>
    <i>
      <x v="65"/>
    </i>
    <i>
      <x v="71"/>
    </i>
    <i>
      <x v="85"/>
    </i>
    <i>
      <x v="101"/>
    </i>
    <i>
      <x v="105"/>
    </i>
    <i>
      <x v="122"/>
    </i>
    <i>
      <x v="151"/>
    </i>
  </rowItems>
  <colItems count="1">
    <i/>
  </colItems>
  <dataFields count="1">
    <dataField name="Sum of Revenue" fld="13" baseField="0" baseItem="0" numFmtId="3"/>
  </dataFields>
  <formats count="19">
    <format dxfId="917">
      <pivotArea type="all" dataOnly="0" outline="0" fieldPosition="0"/>
    </format>
    <format dxfId="916">
      <pivotArea outline="0" collapsedLevelsAreSubtotals="1" fieldPosition="0"/>
    </format>
    <format dxfId="915">
      <pivotArea field="6" type="button" dataOnly="0" labelOnly="1" outline="0" axis="axisRow" fieldPosition="0"/>
    </format>
    <format dxfId="914">
      <pivotArea dataOnly="0" labelOnly="1" outline="0" axis="axisValues" fieldPosition="0"/>
    </format>
    <format dxfId="913">
      <pivotArea dataOnly="0" labelOnly="1" fieldPosition="0">
        <references count="1">
          <reference field="6" count="10">
            <x v="3"/>
            <x v="27"/>
            <x v="50"/>
            <x v="65"/>
            <x v="71"/>
            <x v="85"/>
            <x v="101"/>
            <x v="105"/>
            <x v="122"/>
            <x v="150"/>
          </reference>
        </references>
      </pivotArea>
    </format>
    <format dxfId="912">
      <pivotArea dataOnly="0" labelOnly="1" grandRow="1" outline="0" fieldPosition="0"/>
    </format>
    <format dxfId="911">
      <pivotArea type="all" dataOnly="0" outline="0" fieldPosition="0"/>
    </format>
    <format dxfId="910">
      <pivotArea outline="0" collapsedLevelsAreSubtotals="1" fieldPosition="0"/>
    </format>
    <format dxfId="909">
      <pivotArea field="6" type="button" dataOnly="0" labelOnly="1" outline="0" axis="axisRow" fieldPosition="0"/>
    </format>
    <format dxfId="908">
      <pivotArea dataOnly="0" labelOnly="1" outline="0" axis="axisValues" fieldPosition="0"/>
    </format>
    <format dxfId="907">
      <pivotArea dataOnly="0" labelOnly="1" outline="0" fieldPosition="0">
        <references count="1">
          <reference field="6" count="10">
            <x v="3"/>
            <x v="27"/>
            <x v="50"/>
            <x v="65"/>
            <x v="71"/>
            <x v="85"/>
            <x v="101"/>
            <x v="105"/>
            <x v="122"/>
            <x v="150"/>
          </reference>
        </references>
      </pivotArea>
    </format>
    <format dxfId="906">
      <pivotArea type="all" dataOnly="0" outline="0" fieldPosition="0"/>
    </format>
    <format dxfId="905">
      <pivotArea outline="0" collapsedLevelsAreSubtotals="1" fieldPosition="0"/>
    </format>
    <format dxfId="904">
      <pivotArea field="6" type="button" dataOnly="0" labelOnly="1" outline="0" axis="axisRow" fieldPosition="0"/>
    </format>
    <format dxfId="903">
      <pivotArea dataOnly="0" labelOnly="1" outline="0" axis="axisValues" fieldPosition="0"/>
    </format>
    <format dxfId="902">
      <pivotArea dataOnly="0" labelOnly="1" outline="0" fieldPosition="0">
        <references count="1">
          <reference field="6" count="10">
            <x v="3"/>
            <x v="27"/>
            <x v="50"/>
            <x v="65"/>
            <x v="71"/>
            <x v="85"/>
            <x v="101"/>
            <x v="105"/>
            <x v="122"/>
            <x v="150"/>
          </reference>
        </references>
      </pivotArea>
    </format>
    <format dxfId="901">
      <pivotArea outline="0" collapsedLevelsAreSubtotals="1" fieldPosition="0">
        <references count="1">
          <reference field="6" count="9" selected="0">
            <x v="3"/>
            <x v="27"/>
            <x v="50"/>
            <x v="65"/>
            <x v="71"/>
            <x v="85"/>
            <x v="101"/>
            <x v="105"/>
            <x v="122"/>
          </reference>
        </references>
      </pivotArea>
    </format>
    <format dxfId="900">
      <pivotArea outline="0" collapsedLevelsAreSubtotals="1" fieldPosition="0">
        <references count="1">
          <reference field="6" count="1" selected="0">
            <x v="150"/>
          </reference>
        </references>
      </pivotArea>
    </format>
    <format dxfId="899">
      <pivotArea dataOnly="0" labelOnly="1" outline="0" axis="axisValues" fieldPosition="0"/>
    </format>
  </formats>
  <conditionalFormats count="3">
    <conditionalFormat priority="20">
      <pivotAreas count="1">
        <pivotArea type="data" outline="0" collapsedLevelsAreSubtotals="1" fieldPosition="0">
          <references count="1">
            <reference field="4294967294" count="1" selected="0">
              <x v="0"/>
            </reference>
          </references>
        </pivotArea>
      </pivotAreas>
    </conditionalFormat>
    <conditionalFormat priority="19">
      <pivotAreas count="1">
        <pivotArea type="data" outline="0" collapsedLevelsAreSubtotals="1" fieldPosition="0">
          <references count="1">
            <reference field="4294967294" count="1" selected="0">
              <x v="0"/>
            </reference>
          </references>
        </pivotArea>
      </pivotAreas>
    </conditionalFormat>
    <conditionalFormat priority="18">
      <pivotAreas count="1">
        <pivotArea type="data" outline="0" collapsedLevelsAreSubtotals="1" fieldPosition="0">
          <references count="1">
            <reference field="4294967294" count="1" selected="0">
              <x v="0"/>
            </reference>
          </references>
        </pivotArea>
      </pivotAreas>
    </conditionalFormat>
  </conditionalFormats>
  <pivotTableStyleInfo name="PivotStyleMedium3" showRowHeaders="1" showColHeaders="1" showRowStripes="0" showColStripes="0" showLastColumn="1"/>
  <filters count="1">
    <filter fld="6" type="count" evalOrder="-1" id="5"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0" cacheId="1" applyNumberFormats="0" applyBorderFormats="0" applyFontFormats="0" applyPatternFormats="0" applyAlignmentFormats="0" applyWidthHeightFormats="1" dataCaption="Values" updatedVersion="5" minRefreshableVersion="3" useAutoFormatting="1" rowGrandTotals="0" itemPrintTitles="1" createdVersion="5" indent="0" compact="0" compactData="0" multipleFieldFilters="0" chartFormat="16">
  <location ref="M21:N26" firstHeaderRow="1" firstDataRow="1" firstDataCol="1"/>
  <pivotFields count="2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0">
        <item x="6"/>
        <item x="2"/>
        <item x="5"/>
        <item x="3"/>
        <item x="7"/>
        <item x="0"/>
        <item x="4"/>
        <item x="1"/>
        <item m="1" x="9"/>
        <item x="8"/>
      </items>
    </pivotField>
    <pivotField compact="0" outline="0" showAll="0" defaultSubtotal="0"/>
    <pivotField compact="0" outline="0" showAll="0" defaultSubtotal="0"/>
    <pivotField axis="axisRow" compact="0" outline="0" showAll="0" defaultSubtotal="0">
      <items count="6">
        <item x="1"/>
        <item x="2"/>
        <item x="3"/>
        <item x="0"/>
        <item x="4"/>
        <item h="1" x="5"/>
      </items>
    </pivotField>
    <pivotField compact="0" outline="0" showAll="0" defaultSubtotal="0"/>
    <pivotField compact="0" outline="0" showAll="0" defaultSubtotal="0"/>
    <pivotField compact="0" numFmtId="2"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items count="5">
        <item x="0"/>
        <item x="1"/>
        <item x="2"/>
        <item x="3"/>
        <item x="4"/>
      </items>
    </pivotField>
  </pivotFields>
  <rowFields count="1">
    <field x="10"/>
  </rowFields>
  <rowItems count="5">
    <i>
      <x/>
    </i>
    <i>
      <x v="1"/>
    </i>
    <i>
      <x v="2"/>
    </i>
    <i>
      <x v="3"/>
    </i>
    <i>
      <x v="4"/>
    </i>
  </rowItems>
  <colItems count="1">
    <i/>
  </colItems>
  <dataFields count="1">
    <dataField name="Sum of Profit" fld="14" baseField="10" baseItem="0" numFmtId="3"/>
  </dataFields>
  <formats count="19">
    <format dxfId="936">
      <pivotArea type="all" dataOnly="0" outline="0" fieldPosition="0"/>
    </format>
    <format dxfId="935">
      <pivotArea outline="0" collapsedLevelsAreSubtotals="1" fieldPosition="0"/>
    </format>
    <format dxfId="934">
      <pivotArea field="10" type="button" dataOnly="0" labelOnly="1" outline="0" axis="axisRow" fieldPosition="0"/>
    </format>
    <format dxfId="933">
      <pivotArea dataOnly="0" labelOnly="1" outline="0" axis="axisValues" fieldPosition="0"/>
    </format>
    <format dxfId="932">
      <pivotArea dataOnly="0" labelOnly="1" fieldPosition="0">
        <references count="1">
          <reference field="10" count="0"/>
        </references>
      </pivotArea>
    </format>
    <format dxfId="931">
      <pivotArea dataOnly="0" labelOnly="1" grandRow="1" outline="0" fieldPosition="0"/>
    </format>
    <format dxfId="930">
      <pivotArea type="all" dataOnly="0" outline="0" fieldPosition="0"/>
    </format>
    <format dxfId="929">
      <pivotArea outline="0" collapsedLevelsAreSubtotals="1" fieldPosition="0"/>
    </format>
    <format dxfId="928">
      <pivotArea field="10" type="button" dataOnly="0" labelOnly="1" outline="0" axis="axisRow" fieldPosition="0"/>
    </format>
    <format dxfId="927">
      <pivotArea dataOnly="0" labelOnly="1" outline="0" axis="axisValues" fieldPosition="0"/>
    </format>
    <format dxfId="926">
      <pivotArea dataOnly="0" labelOnly="1" outline="0" fieldPosition="0">
        <references count="1">
          <reference field="10" count="0"/>
        </references>
      </pivotArea>
    </format>
    <format dxfId="925">
      <pivotArea dataOnly="0" labelOnly="1" outline="0" axis="axisValues" fieldPosition="0"/>
    </format>
    <format dxfId="924">
      <pivotArea outline="0" collapsedLevelsAreSubtotals="1" fieldPosition="0"/>
    </format>
    <format dxfId="923">
      <pivotArea type="all" dataOnly="0" outline="0" fieldPosition="0"/>
    </format>
    <format dxfId="922">
      <pivotArea outline="0" collapsedLevelsAreSubtotals="1" fieldPosition="0"/>
    </format>
    <format dxfId="921">
      <pivotArea field="10" type="button" dataOnly="0" labelOnly="1" outline="0" axis="axisRow" fieldPosition="0"/>
    </format>
    <format dxfId="920">
      <pivotArea dataOnly="0" labelOnly="1" outline="0" axis="axisValues" fieldPosition="0"/>
    </format>
    <format dxfId="919">
      <pivotArea outline="0" collapsedLevelsAreSubtotals="1" fieldPosition="0"/>
    </format>
    <format dxfId="918">
      <pivotArea outline="0" fieldPosition="0">
        <references count="1">
          <reference field="4294967294" count="1">
            <x v="0"/>
          </reference>
        </references>
      </pivotArea>
    </format>
  </format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Total_Revenue"/>
    <pivotTable tabId="5" name="Avg_discount"/>
    <pivotTable tabId="5" name="Avg_rating"/>
    <pivotTable tabId="5" name="Total_Profit"/>
    <pivotTable tabId="5" name="total revenue by category"/>
    <pivotTable tabId="5" name="low perfomance products"/>
    <pivotTable tabId="5" name="sals contribution by category"/>
    <pivotTable tabId="5" name="top products by revenue"/>
    <pivotTable tabId="5" name="PivotTable20"/>
    <pivotTable tabId="5" name="profit by category"/>
    <pivotTable tabId="5" name="revenue by category over time"/>
    <pivotTable tabId="5" name="monthly revenue trend"/>
    <pivotTable tabId="5" name="revenue vs profit"/>
  </pivotTables>
  <data>
    <tabular pivotCacheId="1" showMissing="0">
      <items count="10">
        <i x="6" s="1"/>
        <i x="2" s="1"/>
        <i x="5" s="1"/>
        <i x="3" s="1"/>
        <i x="7" s="1"/>
        <i x="0" s="1"/>
        <i x="4" s="1"/>
        <i x="1" s="1"/>
        <i x="8"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_date" sourceName="sale_date ">
  <pivotTables>
    <pivotTable tabId="5" name="revenue vs profit"/>
    <pivotTable tabId="5" name="monthly revenue trend"/>
    <pivotTable tabId="5" name="revenue by category over time"/>
    <pivotTable tabId="5" name="Total_Profit"/>
    <pivotTable tabId="5" name="Total_Revenue"/>
    <pivotTable tabId="5" name="Avg_discount"/>
    <pivotTable tabId="5" name="Avg_rating"/>
    <pivotTable tabId="5" name="top products by revenue"/>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2" style="Slicer Style 1" lockedPosition="1" rowHeight="360000"/>
  <slicer name="sale_date " cache="Slicer_sale_date" caption="sale_date " columnCount="4" style="Slicer Style 1" lockedPosition="1" rowHeight="3960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 Style 1" rowHeight="225425"/>
  <slicer name="sale_date  1" cache="Slicer_sale_date" caption="sale_date " style="Slicer Style 1" rowHeight="225425"/>
</slicers>
</file>

<file path=xl/tables/table1.xml><?xml version="1.0" encoding="utf-8"?>
<table xmlns="http://schemas.openxmlformats.org/spreadsheetml/2006/main" id="6" name="Table6" displayName="Table6" ref="A1:Q162" totalsRowShown="0">
  <autoFilter ref="A1:Q162"/>
  <tableColumns count="17">
    <tableColumn id="1" name=" sale_id"/>
    <tableColumn id="2" name="product_id "/>
    <tableColumn id="3" name="sale_date " dataDxfId="943"/>
    <tableColumn id="4" name="quantity_sold "/>
    <tableColumn id="5" name="discount_percent"/>
    <tableColumn id="6" name="final_sale_price"/>
    <tableColumn id="7" name="product_name"/>
    <tableColumn id="8" name="category"/>
    <tableColumn id="9" name="cost_price"/>
    <tableColumn id="10" name="base_price"/>
    <tableColumn id="11" name="rating  "/>
    <tableColumn id="12" name="competitor_price"/>
    <tableColumn id="13" name="avg_comp_price"/>
    <tableColumn id="14" name="Revenue"/>
    <tableColumn id="15" name="Profit"/>
    <tableColumn id="16" name="Price Difference"/>
    <tableColumn id="17" name="Price Difference %"/>
  </tableColumns>
  <tableStyleInfo name="TableStyleMedium2" showFirstColumn="0" showLastColumn="0" showRowStripes="1" showColumnStripes="0"/>
</table>
</file>

<file path=xl/tables/table2.xml><?xml version="1.0" encoding="utf-8"?>
<table xmlns="http://schemas.openxmlformats.org/spreadsheetml/2006/main" id="7" name="Table7" displayName="Table7" ref="A1:Q121" totalsRowShown="0">
  <autoFilter ref="A1:Q121"/>
  <tableColumns count="17">
    <tableColumn id="1" name=" sale_id"/>
    <tableColumn id="2" name="product_id "/>
    <tableColumn id="3" name="sale_date " dataDxfId="942"/>
    <tableColumn id="4" name="quantity_sold "/>
    <tableColumn id="5" name="discount_percent"/>
    <tableColumn id="6" name="final_sale_price"/>
    <tableColumn id="7" name="product_name"/>
    <tableColumn id="8" name="category"/>
    <tableColumn id="9" name="cost_price"/>
    <tableColumn id="10" name="base_price"/>
    <tableColumn id="11" name="rating  "/>
    <tableColumn id="12" name="competitor_price"/>
    <tableColumn id="13" name="avg_comp_price"/>
    <tableColumn id="14" name="Revenue"/>
    <tableColumn id="15" name="Profit"/>
    <tableColumn id="16" name="Price Difference"/>
    <tableColumn id="17" name="Price Difference %"/>
  </tableColumns>
  <tableStyleInfo name="TableStyleMedium2" showFirstColumn="0" showLastColumn="0" showRowStripes="1" showColumnStripes="0"/>
</table>
</file>

<file path=xl/tables/table3.xml><?xml version="1.0" encoding="utf-8"?>
<table xmlns="http://schemas.openxmlformats.org/spreadsheetml/2006/main" id="8" name="Table8" displayName="Table8" ref="A1:Q34" totalsRowShown="0">
  <autoFilter ref="A1:Q34"/>
  <tableColumns count="17">
    <tableColumn id="1" name=" sale_id"/>
    <tableColumn id="2" name="product_id "/>
    <tableColumn id="3" name="sale_date " dataDxfId="941"/>
    <tableColumn id="4" name="quantity_sold "/>
    <tableColumn id="5" name="discount_percent"/>
    <tableColumn id="6" name="final_sale_price"/>
    <tableColumn id="7" name="product_name"/>
    <tableColumn id="8" name="category"/>
    <tableColumn id="9" name="cost_price"/>
    <tableColumn id="10" name="base_price"/>
    <tableColumn id="11" name="rating  "/>
    <tableColumn id="12" name="competitor_price"/>
    <tableColumn id="13" name="avg_comp_price"/>
    <tableColumn id="14" name="Revenue"/>
    <tableColumn id="15" name="Profit"/>
    <tableColumn id="16" name="Price Difference"/>
    <tableColumn id="17" name="Price Difference %"/>
  </tableColumns>
  <tableStyleInfo name="TableStyleMedium2" showFirstColumn="0" showLastColumn="0" showRowStripes="1" showColumnStripes="0"/>
</table>
</file>

<file path=xl/tables/table4.xml><?xml version="1.0" encoding="utf-8"?>
<table xmlns="http://schemas.openxmlformats.org/spreadsheetml/2006/main" id="9" name="Table9" displayName="Table9" ref="A1:R189" totalsRowShown="0">
  <autoFilter ref="A1:R189"/>
  <tableColumns count="18">
    <tableColumn id="1" name=" sale_id"/>
    <tableColumn id="2" name="product_id "/>
    <tableColumn id="3" name="sale_date " dataDxfId="940"/>
    <tableColumn id="4" name="quantity_sold "/>
    <tableColumn id="5" name="discount_percent"/>
    <tableColumn id="6" name="final_sale_price"/>
    <tableColumn id="7" name="product_name"/>
    <tableColumn id="8" name="category"/>
    <tableColumn id="9" name="cost_price"/>
    <tableColumn id="10" name="base_price"/>
    <tableColumn id="11" name="rating  "/>
    <tableColumn id="12" name="competitor_price"/>
    <tableColumn id="13" name="avg_comp_price"/>
    <tableColumn id="14" name="Revenue"/>
    <tableColumn id="15" name="Profit"/>
    <tableColumn id="16" name="Price Difference"/>
    <tableColumn id="17" name="Price Difference %"/>
    <tableColumn id="18" name="Profit_margin"/>
  </tableColumns>
  <tableStyleInfo name="TableStyleMedium2" showFirstColumn="0" showLastColumn="0" showRowStripes="1" showColumnStripes="0"/>
</table>
</file>

<file path=xl/tables/table5.xml><?xml version="1.0" encoding="utf-8"?>
<table xmlns="http://schemas.openxmlformats.org/spreadsheetml/2006/main" id="10" name="Table10" displayName="Table10" ref="A1:R189" totalsRowShown="0">
  <autoFilter ref="A1:R189"/>
  <tableColumns count="18">
    <tableColumn id="1" name=" sale_id"/>
    <tableColumn id="2" name="product_id "/>
    <tableColumn id="3" name="sale_date " dataDxfId="939"/>
    <tableColumn id="4" name="quantity_sold "/>
    <tableColumn id="5" name="discount_percent"/>
    <tableColumn id="6" name="final_sale_price"/>
    <tableColumn id="7" name="product_name"/>
    <tableColumn id="8" name="category"/>
    <tableColumn id="9" name="cost_price"/>
    <tableColumn id="10" name="base_price"/>
    <tableColumn id="11" name="rating  "/>
    <tableColumn id="12" name="competitor_price"/>
    <tableColumn id="13" name="avg_comp_price"/>
    <tableColumn id="14" name="Revenue"/>
    <tableColumn id="15" name="Profit"/>
    <tableColumn id="16" name="Price Difference"/>
    <tableColumn id="17" name="Price Difference %"/>
    <tableColumn id="18" name="Profit_margin"/>
  </tableColumns>
  <tableStyleInfo name="TableStyleMedium2" showFirstColumn="0" showLastColumn="0" showRowStripes="1" showColumnStripes="0"/>
</table>
</file>

<file path=xl/tables/table6.xml><?xml version="1.0" encoding="utf-8"?>
<table xmlns="http://schemas.openxmlformats.org/spreadsheetml/2006/main" id="11" name="Table11" displayName="Table11" ref="A1:R89" totalsRowShown="0">
  <autoFilter ref="A1:R89"/>
  <tableColumns count="18">
    <tableColumn id="1" name=" sale_id"/>
    <tableColumn id="2" name="product_id "/>
    <tableColumn id="3" name="sale_date " dataDxfId="938"/>
    <tableColumn id="4" name="quantity_sold "/>
    <tableColumn id="5" name="discount_percent"/>
    <tableColumn id="6" name="final_sale_price"/>
    <tableColumn id="7" name="product_name"/>
    <tableColumn id="8" name="category"/>
    <tableColumn id="9" name="cost_price"/>
    <tableColumn id="10" name="base_price"/>
    <tableColumn id="11" name="rating  "/>
    <tableColumn id="12" name="competitor_price"/>
    <tableColumn id="13" name="avg_comp_price"/>
    <tableColumn id="14" name="Revenue"/>
    <tableColumn id="15" name="Profit"/>
    <tableColumn id="16" name="Price Difference"/>
    <tableColumn id="17" name="Price Difference %"/>
    <tableColumn id="18" name="Profit_margin"/>
  </tableColumns>
  <tableStyleInfo name="TableStyleMedium2" showFirstColumn="0" showLastColumn="0" showRowStripes="1" showColumnStripes="0"/>
</table>
</file>

<file path=xl/tables/table7.xml><?xml version="1.0" encoding="utf-8"?>
<table xmlns="http://schemas.openxmlformats.org/spreadsheetml/2006/main" id="12" name="Table12" displayName="Table12" ref="A1:R231" totalsRowShown="0">
  <autoFilter ref="A1:R231"/>
  <tableColumns count="18">
    <tableColumn id="1" name=" sale_id"/>
    <tableColumn id="2" name="product_id "/>
    <tableColumn id="3" name="sale_date " dataDxfId="937"/>
    <tableColumn id="4" name="quantity_sold "/>
    <tableColumn id="5" name="discount_percent"/>
    <tableColumn id="6" name="final_sale_price"/>
    <tableColumn id="7" name="product_name"/>
    <tableColumn id="8" name="category"/>
    <tableColumn id="9" name="cost_price"/>
    <tableColumn id="10" name="base_price"/>
    <tableColumn id="11" name="rating  "/>
    <tableColumn id="12" name="competitor_price"/>
    <tableColumn id="13" name="avg_comp_price"/>
    <tableColumn id="14" name="Revenue"/>
    <tableColumn id="15" name="Profit"/>
    <tableColumn id="16" name="Price Difference"/>
    <tableColumn id="17" name="Price Difference %"/>
    <tableColumn id="18" name="Profit_margin"/>
  </tableColumns>
  <tableStyleInfo name="TableStyleMedium2" showFirstColumn="0" showLastColumn="0" showRowStripes="1" showColumnStripes="0"/>
</table>
</file>

<file path=xl/tables/table8.xml><?xml version="1.0" encoding="utf-8"?>
<table xmlns="http://schemas.openxmlformats.org/spreadsheetml/2006/main" id="5" name="Table5" displayName="Table5" ref="A1:R1003" totalsRowShown="0" headerRowDxfId="744" tableBorderDxfId="743">
  <autoFilter ref="A1:R1003">
    <filterColumn colId="10">
      <customFilters>
        <customFilter operator="notEqual" val=" "/>
      </customFilters>
    </filterColumn>
  </autoFilter>
  <tableColumns count="18">
    <tableColumn id="1" name=" sale_id" dataDxfId="742"/>
    <tableColumn id="2" name="product_id " dataDxfId="741"/>
    <tableColumn id="3" name="sale_date " dataDxfId="740"/>
    <tableColumn id="4" name="quantity_sold " dataDxfId="739"/>
    <tableColumn id="5" name="discount_percent" dataDxfId="738"/>
    <tableColumn id="6" name="final_sale_price" dataDxfId="737">
      <calculatedColumnFormula>J2*(1-E2/100)</calculatedColumnFormula>
    </tableColumn>
    <tableColumn id="7" name="product_name"/>
    <tableColumn id="8" name="category">
      <calculatedColumnFormula>VLOOKUP(B2,product_tbl[],3,FALSE)</calculatedColumnFormula>
    </tableColumn>
    <tableColumn id="9" name="cost_price"/>
    <tableColumn id="10" name="base_price">
      <calculatedColumnFormula>VLOOKUP(B2,product_tbl[],5,FALSE)</calculatedColumnFormula>
    </tableColumn>
    <tableColumn id="11" name="rating  ">
      <calculatedColumnFormula>VLOOKUP(B2,review_tbl[],3,FALSE)</calculatedColumnFormula>
    </tableColumn>
    <tableColumn id="12" name="competitor_price" dataDxfId="736"/>
    <tableColumn id="13" name="avg_comp_price" dataDxfId="735">
      <calculatedColumnFormula>AVERAGEIF(Table1[product_id],Master_tbl!B2:B1003,Table1[competitor_price])</calculatedColumnFormula>
    </tableColumn>
    <tableColumn id="14" name="Revenue" dataDxfId="734">
      <calculatedColumnFormula>IFERROR(Table5[[#This Row],[final_sale_price]]*Table5[[#This Row],[quantity_sold ]],0)</calculatedColumnFormula>
    </tableColumn>
    <tableColumn id="15" name="Profit" dataDxfId="733">
      <calculatedColumnFormula>(Table5[[#This Row],[final_sale_price]]-Table5[[#This Row],[cost_price]])*Table5[[#This Row],[quantity_sold ]]</calculatedColumnFormula>
    </tableColumn>
    <tableColumn id="16" name="Price Difference" dataDxfId="732">
      <calculatedColumnFormula>(Table5[final_sale_price]-Table5[[#This Row],[avg_comp_price]])</calculatedColumnFormula>
    </tableColumn>
    <tableColumn id="17" name="Price Difference %" dataDxfId="731" dataCellStyle="Percent">
      <calculatedColumnFormula>(Table5[[#This Row],[final_sale_price]]-Table5[[#This Row],[avg_comp_price]])/Table5[[#This Row],[avg_comp_price]]</calculatedColumnFormula>
    </tableColumn>
    <tableColumn id="19" name="Profit_margin" dataDxfId="730">
      <calculatedColumnFormula>Table5[[#This Row],[Profit]]/Table5[[#This Row],[Revenue]]</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4" name="product_tbl" displayName="product_tbl" ref="A1:E151" totalsRowShown="0">
  <autoFilter ref="A1:E151"/>
  <tableColumns count="5">
    <tableColumn id="1" name="product_id"/>
    <tableColumn id="2" name="product_name"/>
    <tableColumn id="3" name="category"/>
    <tableColumn id="4" name="cost_price"/>
    <tableColumn id="5" name="base_price"/>
  </tableColumns>
  <tableStyleInfo name="TableStyleMedium2" showFirstColumn="0" showLastColumn="0" showRowStripes="1" showColumnStripes="0"/>
</table>
</file>

<file path=xl/tables/table10.xml><?xml version="1.0" encoding="utf-8"?>
<table xmlns="http://schemas.openxmlformats.org/spreadsheetml/2006/main" id="3" name="sales_tbl" displayName="sales_tbl" ref="A1:F1001" totalsRowShown="0">
  <autoFilter ref="A1:F1001"/>
  <tableColumns count="6">
    <tableColumn id="1" name=" sale_id"/>
    <tableColumn id="2" name="product_id "/>
    <tableColumn id="3" name="sale_date " dataDxfId="729"/>
    <tableColumn id="4" name="quantity_sold "/>
    <tableColumn id="5" name="discount_percent"/>
    <tableColumn id="6" name="final_sale_price" dataDxfId="728"/>
  </tableColumns>
  <tableStyleInfo name="TableStyleMedium2" showFirstColumn="0" showLastColumn="0" showRowStripes="1" showColumnStripes="0"/>
</table>
</file>

<file path=xl/tables/table11.xml><?xml version="1.0" encoding="utf-8"?>
<table xmlns="http://schemas.openxmlformats.org/spreadsheetml/2006/main" id="1" name="Table1" displayName="Table1" ref="A1:D658" totalsRowShown="0">
  <autoFilter ref="A1:D658"/>
  <tableColumns count="4">
    <tableColumn id="1" name="comp_id"/>
    <tableColumn id="2" name="product_id"/>
    <tableColumn id="3" name="competitor_name"/>
    <tableColumn id="4" name="competitor_price"/>
  </tableColumns>
  <tableStyleInfo name="TableStyleMedium2" showFirstColumn="0" showLastColumn="0" showRowStripes="1" showColumnStripes="0"/>
</table>
</file>

<file path=xl/tables/table12.xml><?xml version="1.0" encoding="utf-8"?>
<table xmlns="http://schemas.openxmlformats.org/spreadsheetml/2006/main" id="2" name="review_tbl" displayName="review_tbl" ref="A1:C1001" totalsRowShown="0">
  <autoFilter ref="A1:C1001"/>
  <sortState ref="A2:D1001">
    <sortCondition ref="B1:B1001"/>
  </sortState>
  <tableColumns count="3">
    <tableColumn id="1" name="review_id"/>
    <tableColumn id="2" name="product_id "/>
    <tableColumn id="3" name="rating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2"/>
  <sheetViews>
    <sheetView workbookViewId="0">
      <selection activeCell="F16" sqref="F16"/>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 min="7" max="7" width="16.140625" customWidth="1"/>
    <col min="8" max="8" width="11" customWidth="1"/>
    <col min="9" max="9" width="12.28515625" customWidth="1"/>
    <col min="10" max="10" width="13" customWidth="1"/>
    <col min="11" max="11" width="9.5703125" customWidth="1"/>
    <col min="12" max="12" width="18.42578125" customWidth="1"/>
    <col min="13" max="13" width="18" customWidth="1"/>
    <col min="14" max="14" width="11.140625" customWidth="1"/>
    <col min="16" max="16" width="17.7109375" customWidth="1"/>
    <col min="17" max="17" width="19.7109375" customWidth="1"/>
  </cols>
  <sheetData>
    <row r="1" spans="1:17" x14ac:dyDescent="0.2">
      <c r="A1" t="s">
        <v>163</v>
      </c>
      <c r="B1" t="s">
        <v>164</v>
      </c>
      <c r="C1" t="s">
        <v>165</v>
      </c>
      <c r="D1" t="s">
        <v>166</v>
      </c>
      <c r="E1" t="s">
        <v>167</v>
      </c>
      <c r="F1" t="s">
        <v>168</v>
      </c>
      <c r="G1" t="s">
        <v>1</v>
      </c>
      <c r="H1" t="s">
        <v>2</v>
      </c>
      <c r="I1" t="s">
        <v>3</v>
      </c>
      <c r="J1" t="s">
        <v>4</v>
      </c>
      <c r="K1" t="s">
        <v>170</v>
      </c>
      <c r="L1" t="s">
        <v>173</v>
      </c>
      <c r="M1" t="s">
        <v>185</v>
      </c>
      <c r="N1" t="s">
        <v>186</v>
      </c>
      <c r="O1" t="s">
        <v>187</v>
      </c>
      <c r="P1" t="s">
        <v>188</v>
      </c>
      <c r="Q1" t="s">
        <v>189</v>
      </c>
    </row>
    <row r="2" spans="1:17" x14ac:dyDescent="0.2">
      <c r="A2">
        <v>998</v>
      </c>
      <c r="B2">
        <v>34</v>
      </c>
      <c r="C2" s="1">
        <v>45615</v>
      </c>
      <c r="D2">
        <v>35</v>
      </c>
      <c r="E2">
        <v>7</v>
      </c>
      <c r="F2">
        <v>1212.1527000000001</v>
      </c>
      <c r="G2" t="s">
        <v>46</v>
      </c>
      <c r="H2" t="s">
        <v>19</v>
      </c>
      <c r="I2">
        <v>782.03399999999999</v>
      </c>
      <c r="J2">
        <v>1303.3900000000001</v>
      </c>
      <c r="K2">
        <v>2</v>
      </c>
      <c r="L2">
        <v>1355.9980655175636</v>
      </c>
      <c r="M2">
        <v>4145.4440000000004</v>
      </c>
      <c r="N2">
        <v>42425.344500000007</v>
      </c>
      <c r="O2">
        <v>15054.154500000004</v>
      </c>
      <c r="P2">
        <v>-2933.2913000000003</v>
      </c>
      <c r="Q2">
        <v>-0.70759399958122704</v>
      </c>
    </row>
    <row r="3" spans="1:17" x14ac:dyDescent="0.2">
      <c r="A3">
        <v>984</v>
      </c>
      <c r="B3">
        <v>89</v>
      </c>
      <c r="C3" s="1">
        <v>45298</v>
      </c>
      <c r="D3">
        <v>49</v>
      </c>
      <c r="E3">
        <v>8</v>
      </c>
      <c r="F3">
        <v>927.70040000000006</v>
      </c>
      <c r="G3" t="s">
        <v>101</v>
      </c>
      <c r="H3" t="s">
        <v>19</v>
      </c>
      <c r="I3">
        <v>605.02199999999993</v>
      </c>
      <c r="J3">
        <v>1008.37</v>
      </c>
      <c r="K3">
        <v>4</v>
      </c>
      <c r="L3">
        <v>1103.1127825381739</v>
      </c>
      <c r="M3">
        <v>913.02</v>
      </c>
      <c r="N3">
        <v>45457.319600000003</v>
      </c>
      <c r="O3">
        <v>15811.241600000007</v>
      </c>
      <c r="P3">
        <v>14.680400000000077</v>
      </c>
      <c r="Q3">
        <v>1.6078946791965212E-2</v>
      </c>
    </row>
    <row r="4" spans="1:17" x14ac:dyDescent="0.2">
      <c r="A4">
        <v>3</v>
      </c>
      <c r="B4">
        <v>27</v>
      </c>
      <c r="C4" s="1">
        <v>45339</v>
      </c>
      <c r="D4">
        <v>14</v>
      </c>
      <c r="E4">
        <v>2</v>
      </c>
      <c r="F4">
        <v>1590.442</v>
      </c>
      <c r="G4" t="s">
        <v>39</v>
      </c>
      <c r="H4" t="s">
        <v>19</v>
      </c>
      <c r="I4">
        <v>973.74</v>
      </c>
      <c r="J4">
        <v>1622.9</v>
      </c>
      <c r="K4">
        <v>1</v>
      </c>
      <c r="L4">
        <v>1917.2435766720898</v>
      </c>
      <c r="M4">
        <v>4440.416666666667</v>
      </c>
      <c r="N4">
        <v>22266.188000000002</v>
      </c>
      <c r="O4">
        <v>8633.8279999999995</v>
      </c>
      <c r="P4">
        <v>-2849.974666666667</v>
      </c>
      <c r="Q4">
        <v>-0.64182595477151172</v>
      </c>
    </row>
    <row r="5" spans="1:17" x14ac:dyDescent="0.2">
      <c r="A5">
        <v>983</v>
      </c>
      <c r="B5">
        <v>98</v>
      </c>
      <c r="C5" s="1">
        <v>45624</v>
      </c>
      <c r="D5">
        <v>48</v>
      </c>
      <c r="E5">
        <v>3</v>
      </c>
      <c r="F5">
        <v>7573.4495999999999</v>
      </c>
      <c r="G5" t="s">
        <v>110</v>
      </c>
      <c r="H5" t="s">
        <v>19</v>
      </c>
      <c r="I5">
        <v>4684.6080000000002</v>
      </c>
      <c r="J5">
        <v>7807.68</v>
      </c>
      <c r="K5">
        <v>3</v>
      </c>
      <c r="L5">
        <v>8468.6419308427121</v>
      </c>
      <c r="M5">
        <v>6533.69</v>
      </c>
      <c r="N5">
        <v>363525.5808</v>
      </c>
      <c r="O5">
        <v>138664.39679999999</v>
      </c>
      <c r="P5">
        <v>1039.7596000000003</v>
      </c>
      <c r="Q5">
        <v>0.15913818990493891</v>
      </c>
    </row>
    <row r="6" spans="1:17" x14ac:dyDescent="0.2">
      <c r="A6">
        <v>976</v>
      </c>
      <c r="B6">
        <v>34</v>
      </c>
      <c r="C6" s="1">
        <v>45708</v>
      </c>
      <c r="D6">
        <v>41</v>
      </c>
      <c r="E6">
        <v>7</v>
      </c>
      <c r="F6">
        <v>1212.1527000000001</v>
      </c>
      <c r="G6" t="s">
        <v>46</v>
      </c>
      <c r="H6" t="s">
        <v>19</v>
      </c>
      <c r="I6">
        <v>782.03399999999999</v>
      </c>
      <c r="J6">
        <v>1303.3900000000001</v>
      </c>
      <c r="K6">
        <v>2</v>
      </c>
      <c r="L6">
        <v>1465.5121247654565</v>
      </c>
      <c r="M6">
        <v>4145.4440000000004</v>
      </c>
      <c r="N6">
        <v>49698.260700000006</v>
      </c>
      <c r="O6">
        <v>17634.866700000006</v>
      </c>
      <c r="P6">
        <v>-2933.2913000000003</v>
      </c>
      <c r="Q6">
        <v>-0.70759399958122704</v>
      </c>
    </row>
    <row r="7" spans="1:17" x14ac:dyDescent="0.2">
      <c r="A7">
        <v>974</v>
      </c>
      <c r="B7">
        <v>150</v>
      </c>
      <c r="C7" s="1">
        <v>45875</v>
      </c>
      <c r="D7">
        <v>28</v>
      </c>
      <c r="E7">
        <v>7</v>
      </c>
      <c r="F7">
        <v>2129.4395999999997</v>
      </c>
      <c r="G7" t="s">
        <v>162</v>
      </c>
      <c r="H7" t="s">
        <v>19</v>
      </c>
      <c r="I7">
        <v>1373.8319999999999</v>
      </c>
      <c r="J7">
        <v>2289.7199999999998</v>
      </c>
      <c r="K7">
        <v>3</v>
      </c>
      <c r="L7">
        <v>2572.7553300689465</v>
      </c>
      <c r="M7">
        <v>1810.3166666666666</v>
      </c>
      <c r="N7">
        <v>59624.308799999992</v>
      </c>
      <c r="O7">
        <v>21157.012799999997</v>
      </c>
      <c r="P7">
        <v>319.12293333333309</v>
      </c>
      <c r="Q7">
        <v>0.17628017197727824</v>
      </c>
    </row>
    <row r="8" spans="1:17" x14ac:dyDescent="0.2">
      <c r="A8">
        <v>973</v>
      </c>
      <c r="B8">
        <v>11</v>
      </c>
      <c r="C8" s="1">
        <v>45586</v>
      </c>
      <c r="D8">
        <v>21</v>
      </c>
      <c r="E8">
        <v>2</v>
      </c>
      <c r="F8">
        <v>3136.1959999999999</v>
      </c>
      <c r="G8" t="s">
        <v>22</v>
      </c>
      <c r="H8" t="s">
        <v>19</v>
      </c>
      <c r="I8">
        <v>1920.12</v>
      </c>
      <c r="J8">
        <v>3200.2</v>
      </c>
      <c r="K8">
        <v>1</v>
      </c>
      <c r="L8">
        <v>3575.5790222071237</v>
      </c>
      <c r="M8">
        <v>7089.33</v>
      </c>
      <c r="N8">
        <v>65860.115999999995</v>
      </c>
      <c r="O8">
        <v>25537.596000000001</v>
      </c>
      <c r="P8">
        <v>-3953.134</v>
      </c>
      <c r="Q8">
        <v>-0.55761743352333715</v>
      </c>
    </row>
    <row r="9" spans="1:17" x14ac:dyDescent="0.2">
      <c r="A9">
        <v>972</v>
      </c>
      <c r="B9">
        <v>102</v>
      </c>
      <c r="C9" s="1">
        <v>45271</v>
      </c>
      <c r="D9">
        <v>25</v>
      </c>
      <c r="E9">
        <v>7</v>
      </c>
      <c r="F9">
        <v>3853.8641999999995</v>
      </c>
      <c r="G9" t="s">
        <v>114</v>
      </c>
      <c r="H9" t="s">
        <v>19</v>
      </c>
      <c r="I9">
        <v>2486.3639999999996</v>
      </c>
      <c r="J9">
        <v>4143.9399999999996</v>
      </c>
      <c r="K9">
        <v>4</v>
      </c>
      <c r="L9">
        <v>4842.5329973674407</v>
      </c>
      <c r="M9">
        <v>2740.84</v>
      </c>
      <c r="N9">
        <v>96346.604999999981</v>
      </c>
      <c r="O9">
        <v>34187.504999999997</v>
      </c>
      <c r="P9">
        <v>1113.0241999999994</v>
      </c>
      <c r="Q9">
        <v>0.40608871732753438</v>
      </c>
    </row>
    <row r="10" spans="1:17" x14ac:dyDescent="0.2">
      <c r="A10">
        <v>968</v>
      </c>
      <c r="B10">
        <v>89</v>
      </c>
      <c r="C10" s="1">
        <v>45907</v>
      </c>
      <c r="D10">
        <v>39</v>
      </c>
      <c r="E10">
        <v>10</v>
      </c>
      <c r="F10">
        <v>907.53300000000002</v>
      </c>
      <c r="G10" t="s">
        <v>101</v>
      </c>
      <c r="H10" t="s">
        <v>19</v>
      </c>
      <c r="I10">
        <v>605.02199999999993</v>
      </c>
      <c r="J10">
        <v>1008.37</v>
      </c>
      <c r="K10">
        <v>4</v>
      </c>
      <c r="L10">
        <v>1197.365432588816</v>
      </c>
      <c r="M10">
        <v>913.02</v>
      </c>
      <c r="N10">
        <v>35393.787000000004</v>
      </c>
      <c r="O10">
        <v>11797.929000000004</v>
      </c>
      <c r="P10">
        <v>-5.4869999999999663</v>
      </c>
      <c r="Q10">
        <v>-6.0097259643819047E-3</v>
      </c>
    </row>
    <row r="11" spans="1:17" x14ac:dyDescent="0.2">
      <c r="A11">
        <v>963</v>
      </c>
      <c r="B11">
        <v>106</v>
      </c>
      <c r="C11" s="1">
        <v>45197</v>
      </c>
      <c r="D11">
        <v>22</v>
      </c>
      <c r="E11">
        <v>10</v>
      </c>
      <c r="F11">
        <v>1290.627</v>
      </c>
      <c r="G11" t="s">
        <v>118</v>
      </c>
      <c r="H11" t="s">
        <v>19</v>
      </c>
      <c r="I11">
        <v>860.41800000000001</v>
      </c>
      <c r="J11">
        <v>1434.03</v>
      </c>
      <c r="K11">
        <v>2</v>
      </c>
      <c r="L11">
        <v>1438.5138343833162</v>
      </c>
      <c r="M11">
        <v>695.38400000000001</v>
      </c>
      <c r="N11">
        <v>28393.793999999998</v>
      </c>
      <c r="O11">
        <v>9464.5979999999981</v>
      </c>
      <c r="P11">
        <v>595.24299999999994</v>
      </c>
      <c r="Q11">
        <v>0.85599179733787367</v>
      </c>
    </row>
    <row r="12" spans="1:17" x14ac:dyDescent="0.2">
      <c r="A12">
        <v>960</v>
      </c>
      <c r="B12">
        <v>105</v>
      </c>
      <c r="C12" s="1">
        <v>45655</v>
      </c>
      <c r="D12">
        <v>16</v>
      </c>
      <c r="E12">
        <v>3</v>
      </c>
      <c r="F12">
        <v>4018.7875999999997</v>
      </c>
      <c r="G12" t="s">
        <v>117</v>
      </c>
      <c r="H12" t="s">
        <v>19</v>
      </c>
      <c r="I12">
        <v>2485.848</v>
      </c>
      <c r="J12">
        <v>4143.08</v>
      </c>
      <c r="K12">
        <v>3</v>
      </c>
      <c r="L12">
        <v>4549.7417403638701</v>
      </c>
      <c r="M12">
        <v>4778.8849999999993</v>
      </c>
      <c r="N12">
        <v>64300.601599999995</v>
      </c>
      <c r="O12">
        <v>24527.033599999995</v>
      </c>
      <c r="P12">
        <v>-760.09739999999965</v>
      </c>
      <c r="Q12">
        <v>-0.15905329381225949</v>
      </c>
    </row>
    <row r="13" spans="1:17" x14ac:dyDescent="0.2">
      <c r="A13">
        <v>12</v>
      </c>
      <c r="B13">
        <v>50</v>
      </c>
      <c r="C13" s="1">
        <v>45784</v>
      </c>
      <c r="D13">
        <v>47</v>
      </c>
      <c r="E13">
        <v>9</v>
      </c>
      <c r="F13">
        <v>1234.597</v>
      </c>
      <c r="G13" t="s">
        <v>62</v>
      </c>
      <c r="H13" t="s">
        <v>19</v>
      </c>
      <c r="I13">
        <v>814.02</v>
      </c>
      <c r="J13">
        <v>1356.7</v>
      </c>
      <c r="K13">
        <v>3</v>
      </c>
      <c r="L13">
        <v>1594.9774542225766</v>
      </c>
      <c r="M13">
        <v>4909.6483333333335</v>
      </c>
      <c r="N13">
        <v>58026.059000000001</v>
      </c>
      <c r="O13">
        <v>19767.118999999999</v>
      </c>
      <c r="P13">
        <v>-3675.0513333333338</v>
      </c>
      <c r="Q13">
        <v>-0.74853657203553958</v>
      </c>
    </row>
    <row r="14" spans="1:17" x14ac:dyDescent="0.2">
      <c r="A14">
        <v>958</v>
      </c>
      <c r="B14">
        <v>116</v>
      </c>
      <c r="C14" s="1">
        <v>46013</v>
      </c>
      <c r="D14">
        <v>11</v>
      </c>
      <c r="E14">
        <v>3</v>
      </c>
      <c r="F14">
        <v>2292.2555000000002</v>
      </c>
      <c r="G14" t="s">
        <v>128</v>
      </c>
      <c r="H14" t="s">
        <v>19</v>
      </c>
      <c r="I14">
        <v>1417.89</v>
      </c>
      <c r="J14">
        <v>2363.15</v>
      </c>
      <c r="K14">
        <v>5</v>
      </c>
      <c r="L14">
        <v>2435.5170717995311</v>
      </c>
      <c r="M14">
        <v>4469.4999999999991</v>
      </c>
      <c r="N14">
        <v>25214.810500000003</v>
      </c>
      <c r="O14">
        <v>9618.0205000000005</v>
      </c>
      <c r="P14">
        <v>-2177.2444999999989</v>
      </c>
      <c r="Q14">
        <v>-0.48713379572659121</v>
      </c>
    </row>
    <row r="15" spans="1:17" x14ac:dyDescent="0.2">
      <c r="A15">
        <v>14</v>
      </c>
      <c r="B15">
        <v>103</v>
      </c>
      <c r="C15" s="1">
        <v>45721</v>
      </c>
      <c r="D15">
        <v>48</v>
      </c>
      <c r="E15">
        <v>6</v>
      </c>
      <c r="F15">
        <v>6029.2069999999994</v>
      </c>
      <c r="G15" t="s">
        <v>115</v>
      </c>
      <c r="H15" t="s">
        <v>19</v>
      </c>
      <c r="I15">
        <v>3848.43</v>
      </c>
      <c r="J15">
        <v>6414.05</v>
      </c>
      <c r="K15">
        <v>4</v>
      </c>
      <c r="L15">
        <v>7552.4105149473226</v>
      </c>
      <c r="M15">
        <v>6457.8324999999995</v>
      </c>
      <c r="N15">
        <v>289401.93599999999</v>
      </c>
      <c r="O15">
        <v>104677.29599999997</v>
      </c>
      <c r="P15">
        <v>-428.6255000000001</v>
      </c>
      <c r="Q15">
        <v>-6.6372966471335407E-2</v>
      </c>
    </row>
    <row r="16" spans="1:17" x14ac:dyDescent="0.2">
      <c r="A16">
        <v>942</v>
      </c>
      <c r="B16">
        <v>34</v>
      </c>
      <c r="C16" s="1">
        <v>45517</v>
      </c>
      <c r="D16">
        <v>45</v>
      </c>
      <c r="E16">
        <v>2</v>
      </c>
      <c r="F16">
        <v>1277.3222000000001</v>
      </c>
      <c r="G16" t="s">
        <v>46</v>
      </c>
      <c r="H16" t="s">
        <v>19</v>
      </c>
      <c r="I16">
        <v>782.03399999999999</v>
      </c>
      <c r="J16">
        <v>1303.3900000000001</v>
      </c>
      <c r="K16">
        <v>2</v>
      </c>
      <c r="L16">
        <v>1391.8281046227335</v>
      </c>
      <c r="M16">
        <v>4145.4440000000004</v>
      </c>
      <c r="N16">
        <v>57479.499000000003</v>
      </c>
      <c r="O16">
        <v>22287.969000000005</v>
      </c>
      <c r="P16">
        <v>-2868.1218000000003</v>
      </c>
      <c r="Q16">
        <v>-0.6918732468705403</v>
      </c>
    </row>
    <row r="17" spans="1:17" x14ac:dyDescent="0.2">
      <c r="A17">
        <v>931</v>
      </c>
      <c r="B17">
        <v>141</v>
      </c>
      <c r="C17" s="1">
        <v>45203</v>
      </c>
      <c r="D17">
        <v>40</v>
      </c>
      <c r="E17">
        <v>7</v>
      </c>
      <c r="F17">
        <v>7314.6266999999989</v>
      </c>
      <c r="G17" t="s">
        <v>153</v>
      </c>
      <c r="H17" t="s">
        <v>19</v>
      </c>
      <c r="I17">
        <v>4719.1139999999996</v>
      </c>
      <c r="J17">
        <v>7865.19</v>
      </c>
      <c r="K17">
        <v>5</v>
      </c>
      <c r="L17">
        <v>8319.4486905866434</v>
      </c>
      <c r="M17">
        <v>7586.8133333333344</v>
      </c>
      <c r="N17">
        <v>292585.06799999997</v>
      </c>
      <c r="O17">
        <v>103820.50799999997</v>
      </c>
      <c r="P17">
        <v>-272.18663333333552</v>
      </c>
      <c r="Q17">
        <v>-3.58762791931969E-2</v>
      </c>
    </row>
    <row r="18" spans="1:17" x14ac:dyDescent="0.2">
      <c r="A18">
        <v>928</v>
      </c>
      <c r="B18">
        <v>118</v>
      </c>
      <c r="C18" s="1">
        <v>45690</v>
      </c>
      <c r="D18">
        <v>18</v>
      </c>
      <c r="E18">
        <v>6</v>
      </c>
      <c r="F18">
        <v>2960.2949999999996</v>
      </c>
      <c r="G18" t="s">
        <v>130</v>
      </c>
      <c r="H18" t="s">
        <v>19</v>
      </c>
      <c r="I18">
        <v>1889.55</v>
      </c>
      <c r="J18">
        <v>3149.25</v>
      </c>
      <c r="K18">
        <v>5</v>
      </c>
      <c r="L18">
        <v>3666.5775891463959</v>
      </c>
      <c r="M18">
        <v>224.52399999999997</v>
      </c>
      <c r="N18">
        <v>53285.30999999999</v>
      </c>
      <c r="O18">
        <v>19273.409999999993</v>
      </c>
      <c r="P18">
        <v>2735.7709999999997</v>
      </c>
      <c r="Q18">
        <v>12.184759758422263</v>
      </c>
    </row>
    <row r="19" spans="1:17" x14ac:dyDescent="0.2">
      <c r="A19">
        <v>921</v>
      </c>
      <c r="B19">
        <v>141</v>
      </c>
      <c r="C19" s="1">
        <v>45858</v>
      </c>
      <c r="D19">
        <v>24</v>
      </c>
      <c r="E19">
        <v>4</v>
      </c>
      <c r="F19">
        <v>7550.5823999999993</v>
      </c>
      <c r="G19" t="s">
        <v>153</v>
      </c>
      <c r="H19" t="s">
        <v>19</v>
      </c>
      <c r="I19">
        <v>4719.1139999999996</v>
      </c>
      <c r="J19">
        <v>7865.19</v>
      </c>
      <c r="K19">
        <v>5</v>
      </c>
      <c r="L19">
        <v>7884.4923953602383</v>
      </c>
      <c r="M19">
        <v>7586.8133333333344</v>
      </c>
      <c r="N19">
        <v>181213.97759999998</v>
      </c>
      <c r="O19">
        <v>67955.241599999994</v>
      </c>
      <c r="P19">
        <v>-36.230933333335088</v>
      </c>
      <c r="Q19">
        <v>-4.7755140058806092E-3</v>
      </c>
    </row>
    <row r="20" spans="1:17" x14ac:dyDescent="0.2">
      <c r="A20">
        <v>19</v>
      </c>
      <c r="B20">
        <v>11</v>
      </c>
      <c r="C20" s="1">
        <v>45525</v>
      </c>
      <c r="D20">
        <v>41</v>
      </c>
      <c r="E20">
        <v>8</v>
      </c>
      <c r="F20">
        <v>2944.1839999999997</v>
      </c>
      <c r="G20" t="s">
        <v>22</v>
      </c>
      <c r="H20" t="s">
        <v>19</v>
      </c>
      <c r="I20">
        <v>1920.12</v>
      </c>
      <c r="J20">
        <v>3200.2</v>
      </c>
      <c r="K20">
        <v>1</v>
      </c>
      <c r="L20">
        <v>3867.3816197861242</v>
      </c>
      <c r="M20">
        <v>7089.33</v>
      </c>
      <c r="N20">
        <v>120711.54399999999</v>
      </c>
      <c r="O20">
        <v>41986.623999999996</v>
      </c>
      <c r="P20">
        <v>-4145.1460000000006</v>
      </c>
      <c r="Q20">
        <v>-0.58470208045047989</v>
      </c>
    </row>
    <row r="21" spans="1:17" x14ac:dyDescent="0.2">
      <c r="A21">
        <v>917</v>
      </c>
      <c r="B21">
        <v>8</v>
      </c>
      <c r="C21" s="1">
        <v>45306</v>
      </c>
      <c r="D21">
        <v>33</v>
      </c>
      <c r="E21">
        <v>10</v>
      </c>
      <c r="F21">
        <v>5079.5459999999994</v>
      </c>
      <c r="G21" t="s">
        <v>18</v>
      </c>
      <c r="H21" t="s">
        <v>19</v>
      </c>
      <c r="I21">
        <v>3386.3639999999996</v>
      </c>
      <c r="J21">
        <v>5643.94</v>
      </c>
      <c r="K21">
        <v>2</v>
      </c>
      <c r="L21">
        <v>6202.2395194341989</v>
      </c>
      <c r="M21">
        <v>2853.6650000000004</v>
      </c>
      <c r="N21">
        <v>167625.01799999998</v>
      </c>
      <c r="O21">
        <v>55875.005999999994</v>
      </c>
      <c r="P21">
        <v>2225.8809999999989</v>
      </c>
      <c r="Q21">
        <v>0.78000781451221446</v>
      </c>
    </row>
    <row r="22" spans="1:17" x14ac:dyDescent="0.2">
      <c r="A22">
        <v>915</v>
      </c>
      <c r="B22">
        <v>50</v>
      </c>
      <c r="C22" s="1">
        <v>45299</v>
      </c>
      <c r="D22">
        <v>13</v>
      </c>
      <c r="E22">
        <v>6</v>
      </c>
      <c r="F22">
        <v>1275.298</v>
      </c>
      <c r="G22" t="s">
        <v>62</v>
      </c>
      <c r="H22" t="s">
        <v>19</v>
      </c>
      <c r="I22">
        <v>814.02</v>
      </c>
      <c r="J22">
        <v>1356.7</v>
      </c>
      <c r="K22">
        <v>3</v>
      </c>
      <c r="L22">
        <v>1431.3843489506119</v>
      </c>
      <c r="M22">
        <v>4909.6483333333335</v>
      </c>
      <c r="N22">
        <v>16578.874</v>
      </c>
      <c r="O22">
        <v>5996.6140000000005</v>
      </c>
      <c r="P22">
        <v>-3634.3503333333338</v>
      </c>
      <c r="Q22">
        <v>-0.74024656891583207</v>
      </c>
    </row>
    <row r="23" spans="1:17" x14ac:dyDescent="0.2">
      <c r="A23">
        <v>912</v>
      </c>
      <c r="B23">
        <v>140</v>
      </c>
      <c r="C23" s="1">
        <v>45337</v>
      </c>
      <c r="D23">
        <v>38</v>
      </c>
      <c r="E23">
        <v>8</v>
      </c>
      <c r="F23">
        <v>822.25920000000008</v>
      </c>
      <c r="G23" t="s">
        <v>152</v>
      </c>
      <c r="H23" t="s">
        <v>19</v>
      </c>
      <c r="I23">
        <v>536.25599999999997</v>
      </c>
      <c r="J23">
        <v>893.76</v>
      </c>
      <c r="K23">
        <v>3</v>
      </c>
      <c r="L23">
        <v>1014.492035632721</v>
      </c>
      <c r="M23">
        <v>4472.5149999999994</v>
      </c>
      <c r="N23">
        <v>31245.849600000001</v>
      </c>
      <c r="O23">
        <v>10868.121600000004</v>
      </c>
      <c r="P23">
        <v>-3650.2557999999995</v>
      </c>
      <c r="Q23">
        <v>-0.81615283570876784</v>
      </c>
    </row>
    <row r="24" spans="1:17" x14ac:dyDescent="0.2">
      <c r="A24">
        <v>904</v>
      </c>
      <c r="B24">
        <v>45</v>
      </c>
      <c r="C24" s="1">
        <v>45611</v>
      </c>
      <c r="D24">
        <v>2</v>
      </c>
      <c r="E24">
        <v>7</v>
      </c>
      <c r="F24">
        <v>4953.5427</v>
      </c>
      <c r="G24" t="s">
        <v>57</v>
      </c>
      <c r="H24" t="s">
        <v>19</v>
      </c>
      <c r="I24">
        <v>3195.8340000000003</v>
      </c>
      <c r="J24">
        <v>5326.39</v>
      </c>
      <c r="K24">
        <v>1</v>
      </c>
      <c r="L24">
        <v>6300.7577287275926</v>
      </c>
      <c r="M24">
        <v>4436.1279999999997</v>
      </c>
      <c r="N24">
        <v>9907.0853999999999</v>
      </c>
      <c r="O24">
        <v>3515.4173999999994</v>
      </c>
      <c r="P24">
        <v>517.41470000000027</v>
      </c>
      <c r="Q24">
        <v>0.11663655782700597</v>
      </c>
    </row>
    <row r="25" spans="1:17" x14ac:dyDescent="0.2">
      <c r="A25">
        <v>902</v>
      </c>
      <c r="B25">
        <v>69</v>
      </c>
      <c r="C25" s="1">
        <v>45075</v>
      </c>
      <c r="D25">
        <v>28</v>
      </c>
      <c r="E25">
        <v>7</v>
      </c>
      <c r="F25">
        <v>6936.5909999999994</v>
      </c>
      <c r="G25" t="s">
        <v>81</v>
      </c>
      <c r="H25" t="s">
        <v>19</v>
      </c>
      <c r="I25">
        <v>4475.2199999999993</v>
      </c>
      <c r="J25">
        <v>7458.7</v>
      </c>
      <c r="K25">
        <v>3</v>
      </c>
      <c r="L25">
        <v>8735.5039406269661</v>
      </c>
      <c r="M25">
        <v>809.57599999999991</v>
      </c>
      <c r="N25">
        <v>194224.54799999998</v>
      </c>
      <c r="O25">
        <v>68918.388000000006</v>
      </c>
      <c r="P25">
        <v>6127.0149999999994</v>
      </c>
      <c r="Q25">
        <v>7.5681776633694673</v>
      </c>
    </row>
    <row r="26" spans="1:17" x14ac:dyDescent="0.2">
      <c r="A26">
        <v>897</v>
      </c>
      <c r="B26">
        <v>98</v>
      </c>
      <c r="C26" s="1">
        <v>45545</v>
      </c>
      <c r="D26">
        <v>31</v>
      </c>
      <c r="E26">
        <v>3</v>
      </c>
      <c r="F26">
        <v>7573.4495999999999</v>
      </c>
      <c r="G26" t="s">
        <v>110</v>
      </c>
      <c r="H26" t="s">
        <v>19</v>
      </c>
      <c r="I26">
        <v>4684.6080000000002</v>
      </c>
      <c r="J26">
        <v>7807.68</v>
      </c>
      <c r="K26">
        <v>3</v>
      </c>
      <c r="L26">
        <v>8728.0824124312312</v>
      </c>
      <c r="M26">
        <v>6533.69</v>
      </c>
      <c r="N26">
        <v>234776.9376</v>
      </c>
      <c r="O26">
        <v>89554.089599999992</v>
      </c>
      <c r="P26">
        <v>1039.7596000000003</v>
      </c>
      <c r="Q26">
        <v>0.15913818990493891</v>
      </c>
    </row>
    <row r="27" spans="1:17" x14ac:dyDescent="0.2">
      <c r="A27">
        <v>895</v>
      </c>
      <c r="B27">
        <v>141</v>
      </c>
      <c r="C27" s="1">
        <v>45064</v>
      </c>
      <c r="D27">
        <v>7</v>
      </c>
      <c r="E27">
        <v>3</v>
      </c>
      <c r="F27">
        <v>7629.2342999999992</v>
      </c>
      <c r="G27" t="s">
        <v>153</v>
      </c>
      <c r="H27" t="s">
        <v>19</v>
      </c>
      <c r="I27">
        <v>4719.1139999999996</v>
      </c>
      <c r="J27">
        <v>7865.19</v>
      </c>
      <c r="K27">
        <v>5</v>
      </c>
      <c r="L27">
        <v>7903.7083270331168</v>
      </c>
      <c r="M27">
        <v>7586.8133333333344</v>
      </c>
      <c r="N27">
        <v>53404.640099999997</v>
      </c>
      <c r="O27">
        <v>20370.842099999998</v>
      </c>
      <c r="P27">
        <v>42.420966666664754</v>
      </c>
      <c r="Q27">
        <v>5.5914077232247818E-3</v>
      </c>
    </row>
    <row r="28" spans="1:17" x14ac:dyDescent="0.2">
      <c r="A28">
        <v>27</v>
      </c>
      <c r="B28">
        <v>34</v>
      </c>
      <c r="C28" s="1">
        <v>45390</v>
      </c>
      <c r="D28">
        <v>50</v>
      </c>
      <c r="E28">
        <v>10</v>
      </c>
      <c r="F28">
        <v>1173.0510000000002</v>
      </c>
      <c r="G28" t="s">
        <v>46</v>
      </c>
      <c r="H28" t="s">
        <v>19</v>
      </c>
      <c r="I28">
        <v>782.03399999999999</v>
      </c>
      <c r="J28">
        <v>1303.3900000000001</v>
      </c>
      <c r="K28">
        <v>2</v>
      </c>
      <c r="L28">
        <v>1411.9481890241295</v>
      </c>
      <c r="M28">
        <v>4145.4440000000004</v>
      </c>
      <c r="N28">
        <v>58652.55000000001</v>
      </c>
      <c r="O28">
        <v>19550.850000000009</v>
      </c>
      <c r="P28">
        <v>-2972.393</v>
      </c>
      <c r="Q28">
        <v>-0.71702645120763897</v>
      </c>
    </row>
    <row r="29" spans="1:17" x14ac:dyDescent="0.2">
      <c r="A29">
        <v>889</v>
      </c>
      <c r="B29">
        <v>141</v>
      </c>
      <c r="C29" s="1">
        <v>45308</v>
      </c>
      <c r="D29">
        <v>43</v>
      </c>
      <c r="E29">
        <v>4</v>
      </c>
      <c r="F29">
        <v>7550.5823999999993</v>
      </c>
      <c r="G29" t="s">
        <v>153</v>
      </c>
      <c r="H29" t="s">
        <v>19</v>
      </c>
      <c r="I29">
        <v>4719.1139999999996</v>
      </c>
      <c r="J29">
        <v>7865.19</v>
      </c>
      <c r="K29">
        <v>5</v>
      </c>
      <c r="L29">
        <v>9233.7572575516788</v>
      </c>
      <c r="M29">
        <v>7586.8133333333344</v>
      </c>
      <c r="N29">
        <v>324675.04319999996</v>
      </c>
      <c r="O29">
        <v>121753.14119999998</v>
      </c>
      <c r="P29">
        <v>-36.230933333335088</v>
      </c>
      <c r="Q29">
        <v>-4.7755140058806092E-3</v>
      </c>
    </row>
    <row r="30" spans="1:17" x14ac:dyDescent="0.2">
      <c r="A30">
        <v>887</v>
      </c>
      <c r="B30">
        <v>86</v>
      </c>
      <c r="C30" s="1">
        <v>45332</v>
      </c>
      <c r="D30">
        <v>5</v>
      </c>
      <c r="E30">
        <v>10</v>
      </c>
      <c r="F30">
        <v>2810.6190000000001</v>
      </c>
      <c r="G30" t="s">
        <v>98</v>
      </c>
      <c r="H30" t="s">
        <v>19</v>
      </c>
      <c r="I30">
        <v>1873.7459999999999</v>
      </c>
      <c r="J30">
        <v>3122.91</v>
      </c>
      <c r="K30">
        <v>4</v>
      </c>
      <c r="L30">
        <v>3600.4219751485216</v>
      </c>
      <c r="M30">
        <v>2919.076</v>
      </c>
      <c r="N30">
        <v>14053.095000000001</v>
      </c>
      <c r="O30">
        <v>4684.3650000000016</v>
      </c>
      <c r="P30">
        <v>-108.45699999999988</v>
      </c>
      <c r="Q30">
        <v>-3.7154565348761007E-2</v>
      </c>
    </row>
    <row r="31" spans="1:17" x14ac:dyDescent="0.2">
      <c r="A31">
        <v>885</v>
      </c>
      <c r="B31">
        <v>141</v>
      </c>
      <c r="C31" s="1">
        <v>45637</v>
      </c>
      <c r="D31">
        <v>29</v>
      </c>
      <c r="E31">
        <v>2</v>
      </c>
      <c r="F31">
        <v>7707.8861999999999</v>
      </c>
      <c r="G31" t="s">
        <v>153</v>
      </c>
      <c r="H31" t="s">
        <v>19</v>
      </c>
      <c r="I31">
        <v>4719.1139999999996</v>
      </c>
      <c r="J31">
        <v>7865.19</v>
      </c>
      <c r="K31">
        <v>5</v>
      </c>
      <c r="L31">
        <v>8144.9338457868271</v>
      </c>
      <c r="M31">
        <v>7586.8133333333344</v>
      </c>
      <c r="N31">
        <v>223528.6998</v>
      </c>
      <c r="O31">
        <v>86674.393800000005</v>
      </c>
      <c r="P31">
        <v>121.0728666666655</v>
      </c>
      <c r="Q31">
        <v>1.5958329452330292E-2</v>
      </c>
    </row>
    <row r="32" spans="1:17" x14ac:dyDescent="0.2">
      <c r="A32">
        <v>881</v>
      </c>
      <c r="B32">
        <v>106</v>
      </c>
      <c r="C32" s="1">
        <v>45691</v>
      </c>
      <c r="D32">
        <v>40</v>
      </c>
      <c r="E32">
        <v>8</v>
      </c>
      <c r="F32">
        <v>1319.3076000000001</v>
      </c>
      <c r="G32" t="s">
        <v>118</v>
      </c>
      <c r="H32" t="s">
        <v>19</v>
      </c>
      <c r="I32">
        <v>860.41800000000001</v>
      </c>
      <c r="J32">
        <v>1434.03</v>
      </c>
      <c r="K32">
        <v>2</v>
      </c>
      <c r="L32">
        <v>1797.4436345276711</v>
      </c>
      <c r="M32">
        <v>695.38400000000001</v>
      </c>
      <c r="N32">
        <v>52772.304000000004</v>
      </c>
      <c r="O32">
        <v>18355.584000000003</v>
      </c>
      <c r="P32">
        <v>623.92360000000008</v>
      </c>
      <c r="Q32">
        <v>0.89723605950093765</v>
      </c>
    </row>
    <row r="33" spans="1:17" x14ac:dyDescent="0.2">
      <c r="A33">
        <v>875</v>
      </c>
      <c r="B33">
        <v>30</v>
      </c>
      <c r="C33" s="1">
        <v>45128</v>
      </c>
      <c r="D33">
        <v>41</v>
      </c>
      <c r="E33">
        <v>8</v>
      </c>
      <c r="F33">
        <v>1884.4728000000002</v>
      </c>
      <c r="G33" t="s">
        <v>42</v>
      </c>
      <c r="H33" t="s">
        <v>19</v>
      </c>
      <c r="I33">
        <v>1229.0040000000001</v>
      </c>
      <c r="J33">
        <v>2048.34</v>
      </c>
      <c r="K33">
        <v>1</v>
      </c>
      <c r="L33">
        <v>2278.8191360757191</v>
      </c>
      <c r="M33">
        <v>4153.6075000000001</v>
      </c>
      <c r="N33">
        <v>77263.384800000014</v>
      </c>
      <c r="O33">
        <v>26874.220800000003</v>
      </c>
      <c r="P33">
        <v>-2269.1346999999996</v>
      </c>
      <c r="Q33">
        <v>-0.54630455573859582</v>
      </c>
    </row>
    <row r="34" spans="1:17" x14ac:dyDescent="0.2">
      <c r="A34">
        <v>867</v>
      </c>
      <c r="B34">
        <v>102</v>
      </c>
      <c r="C34" s="1">
        <v>45632</v>
      </c>
      <c r="D34">
        <v>17</v>
      </c>
      <c r="E34">
        <v>8</v>
      </c>
      <c r="F34">
        <v>3812.4247999999998</v>
      </c>
      <c r="G34" t="s">
        <v>114</v>
      </c>
      <c r="H34" t="s">
        <v>19</v>
      </c>
      <c r="I34">
        <v>2486.3639999999996</v>
      </c>
      <c r="J34">
        <v>4143.9399999999996</v>
      </c>
      <c r="K34">
        <v>4</v>
      </c>
      <c r="L34">
        <v>4910.9109244973561</v>
      </c>
      <c r="M34">
        <v>2740.84</v>
      </c>
      <c r="N34">
        <v>64811.221599999997</v>
      </c>
      <c r="O34">
        <v>22543.033600000002</v>
      </c>
      <c r="P34">
        <v>1071.5847999999996</v>
      </c>
      <c r="Q34">
        <v>0.39096948380788354</v>
      </c>
    </row>
    <row r="35" spans="1:17" x14ac:dyDescent="0.2">
      <c r="A35">
        <v>866</v>
      </c>
      <c r="B35">
        <v>11</v>
      </c>
      <c r="C35" s="1">
        <v>45889</v>
      </c>
      <c r="D35">
        <v>19</v>
      </c>
      <c r="E35">
        <v>7</v>
      </c>
      <c r="F35">
        <v>2976.1859999999997</v>
      </c>
      <c r="G35" t="s">
        <v>22</v>
      </c>
      <c r="H35" t="s">
        <v>19</v>
      </c>
      <c r="I35">
        <v>1920.12</v>
      </c>
      <c r="J35">
        <v>3200.2</v>
      </c>
      <c r="K35">
        <v>1</v>
      </c>
      <c r="L35">
        <v>3869.0237278374461</v>
      </c>
      <c r="M35">
        <v>7089.33</v>
      </c>
      <c r="N35">
        <v>56547.533999999992</v>
      </c>
      <c r="O35">
        <v>20065.253999999997</v>
      </c>
      <c r="P35">
        <v>-4113.1440000000002</v>
      </c>
      <c r="Q35">
        <v>-0.58018797262928945</v>
      </c>
    </row>
    <row r="36" spans="1:17" x14ac:dyDescent="0.2">
      <c r="A36">
        <v>35</v>
      </c>
      <c r="B36">
        <v>150</v>
      </c>
      <c r="C36" s="1">
        <v>45872</v>
      </c>
      <c r="D36">
        <v>1</v>
      </c>
      <c r="E36">
        <v>6</v>
      </c>
      <c r="F36">
        <v>2152.3367999999996</v>
      </c>
      <c r="G36" t="s">
        <v>162</v>
      </c>
      <c r="H36" t="s">
        <v>19</v>
      </c>
      <c r="I36">
        <v>1373.8319999999999</v>
      </c>
      <c r="J36">
        <v>2289.7199999999998</v>
      </c>
      <c r="K36">
        <v>3</v>
      </c>
      <c r="L36">
        <v>2435.8314442435199</v>
      </c>
      <c r="M36">
        <v>1810.3166666666666</v>
      </c>
      <c r="N36">
        <v>2152.3367999999996</v>
      </c>
      <c r="O36">
        <v>778.5047999999997</v>
      </c>
      <c r="P36">
        <v>342.02013333333298</v>
      </c>
      <c r="Q36">
        <v>0.18892834586950699</v>
      </c>
    </row>
    <row r="37" spans="1:17" x14ac:dyDescent="0.2">
      <c r="A37">
        <v>865</v>
      </c>
      <c r="B37">
        <v>34</v>
      </c>
      <c r="C37" s="1">
        <v>45901</v>
      </c>
      <c r="D37">
        <v>47</v>
      </c>
      <c r="E37">
        <v>9</v>
      </c>
      <c r="F37">
        <v>1186.0849000000001</v>
      </c>
      <c r="G37" t="s">
        <v>46</v>
      </c>
      <c r="H37" t="s">
        <v>19</v>
      </c>
      <c r="I37">
        <v>782.03399999999999</v>
      </c>
      <c r="J37">
        <v>1303.3900000000001</v>
      </c>
      <c r="K37">
        <v>2</v>
      </c>
      <c r="L37">
        <v>1360.623735138814</v>
      </c>
      <c r="M37">
        <v>4145.4440000000004</v>
      </c>
      <c r="N37">
        <v>55745.990300000005</v>
      </c>
      <c r="O37">
        <v>18990.392300000003</v>
      </c>
      <c r="P37">
        <v>-2959.3591000000006</v>
      </c>
      <c r="Q37">
        <v>-0.71388230066550173</v>
      </c>
    </row>
    <row r="38" spans="1:17" x14ac:dyDescent="0.2">
      <c r="A38">
        <v>864</v>
      </c>
      <c r="B38">
        <v>45</v>
      </c>
      <c r="C38" s="1">
        <v>45832</v>
      </c>
      <c r="D38">
        <v>46</v>
      </c>
      <c r="E38">
        <v>5</v>
      </c>
      <c r="F38">
        <v>5060.0704999999998</v>
      </c>
      <c r="G38" t="s">
        <v>57</v>
      </c>
      <c r="H38" t="s">
        <v>19</v>
      </c>
      <c r="I38">
        <v>3195.8340000000003</v>
      </c>
      <c r="J38">
        <v>5326.39</v>
      </c>
      <c r="K38">
        <v>1</v>
      </c>
      <c r="L38">
        <v>5800.4288667674982</v>
      </c>
      <c r="M38">
        <v>4436.1279999999997</v>
      </c>
      <c r="N38">
        <v>232763.24299999999</v>
      </c>
      <c r="O38">
        <v>85754.878999999972</v>
      </c>
      <c r="P38">
        <v>623.94250000000011</v>
      </c>
      <c r="Q38">
        <v>0.14065024724264047</v>
      </c>
    </row>
    <row r="39" spans="1:17" x14ac:dyDescent="0.2">
      <c r="A39">
        <v>863</v>
      </c>
      <c r="B39">
        <v>150</v>
      </c>
      <c r="C39" s="1">
        <v>45581</v>
      </c>
      <c r="D39">
        <v>16</v>
      </c>
      <c r="E39">
        <v>2</v>
      </c>
      <c r="F39">
        <v>2243.9255999999996</v>
      </c>
      <c r="G39" t="s">
        <v>162</v>
      </c>
      <c r="H39" t="s">
        <v>19</v>
      </c>
      <c r="I39">
        <v>1373.8319999999999</v>
      </c>
      <c r="J39">
        <v>2289.7199999999998</v>
      </c>
      <c r="K39">
        <v>3</v>
      </c>
      <c r="L39">
        <v>2405.4185133108153</v>
      </c>
      <c r="M39">
        <v>1810.3166666666666</v>
      </c>
      <c r="N39">
        <v>35902.809599999993</v>
      </c>
      <c r="O39">
        <v>13921.497599999995</v>
      </c>
      <c r="P39">
        <v>433.60893333333297</v>
      </c>
      <c r="Q39">
        <v>0.23952104143842218</v>
      </c>
    </row>
    <row r="40" spans="1:17" x14ac:dyDescent="0.2">
      <c r="A40">
        <v>846</v>
      </c>
      <c r="B40">
        <v>69</v>
      </c>
      <c r="C40" s="1">
        <v>45288</v>
      </c>
      <c r="D40">
        <v>23</v>
      </c>
      <c r="E40">
        <v>10</v>
      </c>
      <c r="F40">
        <v>6712.83</v>
      </c>
      <c r="G40" t="s">
        <v>81</v>
      </c>
      <c r="H40" t="s">
        <v>19</v>
      </c>
      <c r="I40">
        <v>4475.2199999999993</v>
      </c>
      <c r="J40">
        <v>7458.7</v>
      </c>
      <c r="K40">
        <v>3</v>
      </c>
      <c r="L40">
        <v>8882.1655495303548</v>
      </c>
      <c r="M40">
        <v>809.57599999999991</v>
      </c>
      <c r="N40">
        <v>154395.09</v>
      </c>
      <c r="O40">
        <v>51465.030000000013</v>
      </c>
      <c r="P40">
        <v>5903.2539999999999</v>
      </c>
      <c r="Q40">
        <v>7.2917848355188406</v>
      </c>
    </row>
    <row r="41" spans="1:17" x14ac:dyDescent="0.2">
      <c r="A41">
        <v>834</v>
      </c>
      <c r="B41">
        <v>50</v>
      </c>
      <c r="C41" s="1">
        <v>45043</v>
      </c>
      <c r="D41">
        <v>9</v>
      </c>
      <c r="E41">
        <v>8</v>
      </c>
      <c r="F41">
        <v>1248.164</v>
      </c>
      <c r="G41" t="s">
        <v>62</v>
      </c>
      <c r="H41" t="s">
        <v>19</v>
      </c>
      <c r="I41">
        <v>814.02</v>
      </c>
      <c r="J41">
        <v>1356.7</v>
      </c>
      <c r="K41">
        <v>3</v>
      </c>
      <c r="L41">
        <v>1499.8477699752641</v>
      </c>
      <c r="M41">
        <v>4909.6483333333335</v>
      </c>
      <c r="N41">
        <v>11233.476000000001</v>
      </c>
      <c r="O41">
        <v>3907.2960000000003</v>
      </c>
      <c r="P41">
        <v>-3661.4843333333338</v>
      </c>
      <c r="Q41">
        <v>-0.74577323766230375</v>
      </c>
    </row>
    <row r="42" spans="1:17" x14ac:dyDescent="0.2">
      <c r="A42">
        <v>821</v>
      </c>
      <c r="B42">
        <v>118</v>
      </c>
      <c r="C42" s="1">
        <v>44935</v>
      </c>
      <c r="D42">
        <v>29</v>
      </c>
      <c r="E42">
        <v>5</v>
      </c>
      <c r="F42">
        <v>2991.7874999999999</v>
      </c>
      <c r="G42" t="s">
        <v>130</v>
      </c>
      <c r="H42" t="s">
        <v>19</v>
      </c>
      <c r="I42">
        <v>1889.55</v>
      </c>
      <c r="J42">
        <v>3149.25</v>
      </c>
      <c r="K42">
        <v>5</v>
      </c>
      <c r="L42">
        <v>3395.4995203823646</v>
      </c>
      <c r="M42">
        <v>224.52399999999997</v>
      </c>
      <c r="N42">
        <v>86761.837499999994</v>
      </c>
      <c r="O42">
        <v>31964.887499999997</v>
      </c>
      <c r="P42">
        <v>2767.2635</v>
      </c>
      <c r="Q42">
        <v>12.325023160107607</v>
      </c>
    </row>
    <row r="43" spans="1:17" x14ac:dyDescent="0.2">
      <c r="A43">
        <v>818</v>
      </c>
      <c r="B43">
        <v>11</v>
      </c>
      <c r="C43" s="1">
        <v>44987</v>
      </c>
      <c r="D43">
        <v>43</v>
      </c>
      <c r="E43">
        <v>6</v>
      </c>
      <c r="F43">
        <v>3008.1879999999996</v>
      </c>
      <c r="G43" t="s">
        <v>22</v>
      </c>
      <c r="H43" t="s">
        <v>19</v>
      </c>
      <c r="I43">
        <v>1920.12</v>
      </c>
      <c r="J43">
        <v>3200.2</v>
      </c>
      <c r="K43">
        <v>1</v>
      </c>
      <c r="L43">
        <v>3392.1677756799295</v>
      </c>
      <c r="M43">
        <v>7089.33</v>
      </c>
      <c r="N43">
        <v>129352.08399999999</v>
      </c>
      <c r="O43">
        <v>46786.923999999992</v>
      </c>
      <c r="P43">
        <v>-4081.1420000000003</v>
      </c>
      <c r="Q43">
        <v>-0.57567386480809901</v>
      </c>
    </row>
    <row r="44" spans="1:17" x14ac:dyDescent="0.2">
      <c r="A44">
        <v>816</v>
      </c>
      <c r="B44">
        <v>98</v>
      </c>
      <c r="C44" s="1">
        <v>45469</v>
      </c>
      <c r="D44">
        <v>2</v>
      </c>
      <c r="E44">
        <v>9</v>
      </c>
      <c r="F44">
        <v>7104.9888000000001</v>
      </c>
      <c r="G44" t="s">
        <v>110</v>
      </c>
      <c r="H44" t="s">
        <v>19</v>
      </c>
      <c r="I44">
        <v>4684.6080000000002</v>
      </c>
      <c r="J44">
        <v>7807.68</v>
      </c>
      <c r="K44">
        <v>3</v>
      </c>
      <c r="L44">
        <v>10076.761531847917</v>
      </c>
      <c r="M44">
        <v>6533.69</v>
      </c>
      <c r="N44">
        <v>14209.9776</v>
      </c>
      <c r="O44">
        <v>4840.7615999999998</v>
      </c>
      <c r="P44">
        <v>571.29880000000048</v>
      </c>
      <c r="Q44">
        <v>8.7438920426282929E-2</v>
      </c>
    </row>
    <row r="45" spans="1:17" x14ac:dyDescent="0.2">
      <c r="A45">
        <v>808</v>
      </c>
      <c r="B45">
        <v>141</v>
      </c>
      <c r="C45" s="1">
        <v>45419</v>
      </c>
      <c r="D45">
        <v>49</v>
      </c>
      <c r="E45">
        <v>8</v>
      </c>
      <c r="F45">
        <v>7235.9748</v>
      </c>
      <c r="G45" t="s">
        <v>153</v>
      </c>
      <c r="H45" t="s">
        <v>19</v>
      </c>
      <c r="I45">
        <v>4719.1139999999996</v>
      </c>
      <c r="J45">
        <v>7865.19</v>
      </c>
      <c r="K45">
        <v>5</v>
      </c>
      <c r="L45">
        <v>7949.1073826536312</v>
      </c>
      <c r="M45">
        <v>7586.8133333333344</v>
      </c>
      <c r="N45">
        <v>354562.76520000002</v>
      </c>
      <c r="O45">
        <v>123326.17920000001</v>
      </c>
      <c r="P45">
        <v>-350.83853333333445</v>
      </c>
      <c r="Q45">
        <v>-4.624320092230217E-2</v>
      </c>
    </row>
    <row r="46" spans="1:17" x14ac:dyDescent="0.2">
      <c r="A46">
        <v>800</v>
      </c>
      <c r="B46">
        <v>45</v>
      </c>
      <c r="C46" s="1">
        <v>45094</v>
      </c>
      <c r="D46">
        <v>41</v>
      </c>
      <c r="E46">
        <v>5</v>
      </c>
      <c r="F46">
        <v>5060.0704999999998</v>
      </c>
      <c r="G46" t="s">
        <v>57</v>
      </c>
      <c r="H46" t="s">
        <v>19</v>
      </c>
      <c r="I46">
        <v>3195.8340000000003</v>
      </c>
      <c r="J46">
        <v>5326.39</v>
      </c>
      <c r="K46">
        <v>1</v>
      </c>
      <c r="L46">
        <v>6906.5834371394167</v>
      </c>
      <c r="M46">
        <v>4436.1279999999997</v>
      </c>
      <c r="N46">
        <v>207462.89049999998</v>
      </c>
      <c r="O46">
        <v>76433.696499999976</v>
      </c>
      <c r="P46">
        <v>623.94250000000011</v>
      </c>
      <c r="Q46">
        <v>0.14065024724264047</v>
      </c>
    </row>
    <row r="47" spans="1:17" x14ac:dyDescent="0.2">
      <c r="A47">
        <v>786</v>
      </c>
      <c r="B47">
        <v>92</v>
      </c>
      <c r="C47" s="1">
        <v>45677</v>
      </c>
      <c r="D47">
        <v>13</v>
      </c>
      <c r="E47">
        <v>4</v>
      </c>
      <c r="F47">
        <v>3434.8991999999998</v>
      </c>
      <c r="G47" t="s">
        <v>104</v>
      </c>
      <c r="H47" t="s">
        <v>19</v>
      </c>
      <c r="I47">
        <v>2146.8119999999999</v>
      </c>
      <c r="J47">
        <v>3578.02</v>
      </c>
      <c r="K47">
        <v>5</v>
      </c>
      <c r="L47">
        <v>3943.7143659506992</v>
      </c>
      <c r="M47">
        <v>5387.83</v>
      </c>
      <c r="N47">
        <v>44653.689599999998</v>
      </c>
      <c r="O47">
        <v>16745.133600000001</v>
      </c>
      <c r="P47">
        <v>-1952.9308000000001</v>
      </c>
      <c r="Q47">
        <v>-0.36247075353157027</v>
      </c>
    </row>
    <row r="48" spans="1:17" x14ac:dyDescent="0.2">
      <c r="A48">
        <v>771</v>
      </c>
      <c r="B48">
        <v>42</v>
      </c>
      <c r="C48" s="1">
        <v>45913</v>
      </c>
      <c r="D48">
        <v>34</v>
      </c>
      <c r="E48">
        <v>8</v>
      </c>
      <c r="F48">
        <v>393.39200000000005</v>
      </c>
      <c r="G48" t="s">
        <v>54</v>
      </c>
      <c r="H48" t="s">
        <v>19</v>
      </c>
      <c r="I48">
        <v>256.56</v>
      </c>
      <c r="J48">
        <v>427.6</v>
      </c>
      <c r="K48">
        <v>2</v>
      </c>
      <c r="L48">
        <v>449.37714302831074</v>
      </c>
      <c r="M48">
        <v>513.45666666666671</v>
      </c>
      <c r="N48">
        <v>13375.328000000001</v>
      </c>
      <c r="O48">
        <v>4652.2880000000014</v>
      </c>
      <c r="P48">
        <v>-120.06466666666665</v>
      </c>
      <c r="Q48">
        <v>-0.23383602640923928</v>
      </c>
    </row>
    <row r="49" spans="1:17" x14ac:dyDescent="0.2">
      <c r="A49">
        <v>770</v>
      </c>
      <c r="B49">
        <v>133</v>
      </c>
      <c r="C49" s="1">
        <v>45290</v>
      </c>
      <c r="D49">
        <v>16</v>
      </c>
      <c r="E49">
        <v>4</v>
      </c>
      <c r="F49">
        <v>6340.7039999999997</v>
      </c>
      <c r="G49" t="s">
        <v>145</v>
      </c>
      <c r="H49" t="s">
        <v>19</v>
      </c>
      <c r="I49">
        <v>3962.9399999999996</v>
      </c>
      <c r="J49">
        <v>6604.9</v>
      </c>
      <c r="K49">
        <v>4</v>
      </c>
      <c r="L49">
        <v>7414.2505178236397</v>
      </c>
      <c r="M49">
        <v>4666.1933333333336</v>
      </c>
      <c r="N49">
        <v>101451.264</v>
      </c>
      <c r="O49">
        <v>38044.224000000002</v>
      </c>
      <c r="P49">
        <v>1674.5106666666661</v>
      </c>
      <c r="Q49">
        <v>0.3588601129543138</v>
      </c>
    </row>
    <row r="50" spans="1:17" x14ac:dyDescent="0.2">
      <c r="A50">
        <v>737</v>
      </c>
      <c r="B50">
        <v>140</v>
      </c>
      <c r="C50" s="1">
        <v>45423</v>
      </c>
      <c r="D50">
        <v>13</v>
      </c>
      <c r="E50">
        <v>5</v>
      </c>
      <c r="F50">
        <v>849.072</v>
      </c>
      <c r="G50" t="s">
        <v>152</v>
      </c>
      <c r="H50" t="s">
        <v>19</v>
      </c>
      <c r="I50">
        <v>536.25599999999997</v>
      </c>
      <c r="J50">
        <v>893.76</v>
      </c>
      <c r="K50">
        <v>3</v>
      </c>
      <c r="L50">
        <v>1095.6274075550746</v>
      </c>
      <c r="M50">
        <v>4472.5149999999994</v>
      </c>
      <c r="N50">
        <v>11037.936</v>
      </c>
      <c r="O50">
        <v>4066.6080000000002</v>
      </c>
      <c r="P50">
        <v>-3623.4429999999993</v>
      </c>
      <c r="Q50">
        <v>-0.81015781948187982</v>
      </c>
    </row>
    <row r="51" spans="1:17" x14ac:dyDescent="0.2">
      <c r="A51">
        <v>733</v>
      </c>
      <c r="B51">
        <v>73</v>
      </c>
      <c r="C51" s="1">
        <v>45211</v>
      </c>
      <c r="D51">
        <v>25</v>
      </c>
      <c r="E51">
        <v>10</v>
      </c>
      <c r="F51">
        <v>4082.0310000000004</v>
      </c>
      <c r="G51" t="s">
        <v>85</v>
      </c>
      <c r="H51" t="s">
        <v>19</v>
      </c>
      <c r="I51">
        <v>2721.3539999999998</v>
      </c>
      <c r="J51">
        <v>4535.59</v>
      </c>
      <c r="K51">
        <v>1</v>
      </c>
      <c r="L51">
        <v>5813.6935725347375</v>
      </c>
      <c r="M51">
        <v>5380.9516666666668</v>
      </c>
      <c r="N51">
        <v>102050.77500000001</v>
      </c>
      <c r="O51">
        <v>34016.925000000017</v>
      </c>
      <c r="P51">
        <v>-1298.9206666666664</v>
      </c>
      <c r="Q51">
        <v>-0.24139236832642053</v>
      </c>
    </row>
    <row r="52" spans="1:17" x14ac:dyDescent="0.2">
      <c r="A52">
        <v>51</v>
      </c>
      <c r="B52">
        <v>86</v>
      </c>
      <c r="C52" s="1">
        <v>45060</v>
      </c>
      <c r="D52">
        <v>4</v>
      </c>
      <c r="E52">
        <v>3</v>
      </c>
      <c r="F52">
        <v>3029.2226999999998</v>
      </c>
      <c r="G52" t="s">
        <v>98</v>
      </c>
      <c r="H52" t="s">
        <v>19</v>
      </c>
      <c r="I52">
        <v>1873.7459999999999</v>
      </c>
      <c r="J52">
        <v>3122.91</v>
      </c>
      <c r="K52">
        <v>4</v>
      </c>
      <c r="L52">
        <v>3941.7149074100921</v>
      </c>
      <c r="M52">
        <v>2919.076</v>
      </c>
      <c r="N52">
        <v>12116.890799999999</v>
      </c>
      <c r="O52">
        <v>4621.9067999999997</v>
      </c>
      <c r="P52">
        <v>110.14669999999978</v>
      </c>
      <c r="Q52">
        <v>3.7733412901890799E-2</v>
      </c>
    </row>
    <row r="53" spans="1:17" x14ac:dyDescent="0.2">
      <c r="A53">
        <v>52</v>
      </c>
      <c r="B53">
        <v>133</v>
      </c>
      <c r="C53" s="1">
        <v>45465</v>
      </c>
      <c r="D53">
        <v>22</v>
      </c>
      <c r="E53">
        <v>8</v>
      </c>
      <c r="F53">
        <v>6076.5079999999998</v>
      </c>
      <c r="G53" t="s">
        <v>145</v>
      </c>
      <c r="H53" t="s">
        <v>19</v>
      </c>
      <c r="I53">
        <v>3962.9399999999996</v>
      </c>
      <c r="J53">
        <v>6604.9</v>
      </c>
      <c r="K53">
        <v>4</v>
      </c>
      <c r="L53">
        <v>6922.120712923107</v>
      </c>
      <c r="M53">
        <v>4666.1933333333336</v>
      </c>
      <c r="N53">
        <v>133683.17600000001</v>
      </c>
      <c r="O53">
        <v>46498.496000000006</v>
      </c>
      <c r="P53">
        <v>1410.3146666666662</v>
      </c>
      <c r="Q53">
        <v>0.30224094158121739</v>
      </c>
    </row>
    <row r="54" spans="1:17" x14ac:dyDescent="0.2">
      <c r="A54">
        <v>724</v>
      </c>
      <c r="B54">
        <v>102</v>
      </c>
      <c r="C54" s="1">
        <v>45647</v>
      </c>
      <c r="D54">
        <v>24</v>
      </c>
      <c r="E54">
        <v>7</v>
      </c>
      <c r="F54">
        <v>3853.8641999999995</v>
      </c>
      <c r="G54" t="s">
        <v>114</v>
      </c>
      <c r="H54" t="s">
        <v>19</v>
      </c>
      <c r="I54">
        <v>2486.3639999999996</v>
      </c>
      <c r="J54">
        <v>4143.9399999999996</v>
      </c>
      <c r="K54">
        <v>4</v>
      </c>
      <c r="L54">
        <v>4276.7750438335916</v>
      </c>
      <c r="M54">
        <v>2740.84</v>
      </c>
      <c r="N54">
        <v>92492.740799999985</v>
      </c>
      <c r="O54">
        <v>32820.004799999995</v>
      </c>
      <c r="P54">
        <v>1113.0241999999994</v>
      </c>
      <c r="Q54">
        <v>0.40608871732753438</v>
      </c>
    </row>
    <row r="55" spans="1:17" x14ac:dyDescent="0.2">
      <c r="A55">
        <v>719</v>
      </c>
      <c r="B55">
        <v>89</v>
      </c>
      <c r="C55" s="1">
        <v>45615</v>
      </c>
      <c r="D55">
        <v>10</v>
      </c>
      <c r="E55">
        <v>5</v>
      </c>
      <c r="F55">
        <v>957.95150000000001</v>
      </c>
      <c r="G55" t="s">
        <v>101</v>
      </c>
      <c r="H55" t="s">
        <v>19</v>
      </c>
      <c r="I55">
        <v>605.02199999999993</v>
      </c>
      <c r="J55">
        <v>1008.37</v>
      </c>
      <c r="K55">
        <v>4</v>
      </c>
      <c r="L55">
        <v>1116.398304523048</v>
      </c>
      <c r="M55">
        <v>913.02</v>
      </c>
      <c r="N55">
        <v>9579.5149999999994</v>
      </c>
      <c r="O55">
        <v>3529.295000000001</v>
      </c>
      <c r="P55">
        <v>44.931500000000028</v>
      </c>
      <c r="Q55">
        <v>4.9211955926485758E-2</v>
      </c>
    </row>
    <row r="56" spans="1:17" x14ac:dyDescent="0.2">
      <c r="A56">
        <v>718</v>
      </c>
      <c r="B56">
        <v>73</v>
      </c>
      <c r="C56" s="1">
        <v>45301</v>
      </c>
      <c r="D56">
        <v>16</v>
      </c>
      <c r="E56">
        <v>4</v>
      </c>
      <c r="F56">
        <v>4354.1664000000001</v>
      </c>
      <c r="G56" t="s">
        <v>85</v>
      </c>
      <c r="H56" t="s">
        <v>19</v>
      </c>
      <c r="I56">
        <v>2721.3539999999998</v>
      </c>
      <c r="J56">
        <v>4535.59</v>
      </c>
      <c r="K56">
        <v>1</v>
      </c>
      <c r="L56">
        <v>5696.4923671298629</v>
      </c>
      <c r="M56">
        <v>5380.9516666666668</v>
      </c>
      <c r="N56">
        <v>69666.662400000001</v>
      </c>
      <c r="O56">
        <v>26124.998400000004</v>
      </c>
      <c r="P56">
        <v>-1026.7852666666668</v>
      </c>
      <c r="Q56">
        <v>-0.19081852621484863</v>
      </c>
    </row>
    <row r="57" spans="1:17" x14ac:dyDescent="0.2">
      <c r="A57">
        <v>716</v>
      </c>
      <c r="B57">
        <v>102</v>
      </c>
      <c r="C57" s="1">
        <v>45746</v>
      </c>
      <c r="D57">
        <v>11</v>
      </c>
      <c r="E57">
        <v>4</v>
      </c>
      <c r="F57">
        <v>3978.1823999999997</v>
      </c>
      <c r="G57" t="s">
        <v>114</v>
      </c>
      <c r="H57" t="s">
        <v>19</v>
      </c>
      <c r="I57">
        <v>2486.3639999999996</v>
      </c>
      <c r="J57">
        <v>4143.9399999999996</v>
      </c>
      <c r="K57">
        <v>4</v>
      </c>
      <c r="L57">
        <v>5109.1793585928999</v>
      </c>
      <c r="M57">
        <v>2740.84</v>
      </c>
      <c r="N57">
        <v>43760.006399999998</v>
      </c>
      <c r="O57">
        <v>16410.002400000001</v>
      </c>
      <c r="P57">
        <v>1237.3423999999995</v>
      </c>
      <c r="Q57">
        <v>0.45144641788648715</v>
      </c>
    </row>
    <row r="58" spans="1:17" x14ac:dyDescent="0.2">
      <c r="A58">
        <v>715</v>
      </c>
      <c r="B58">
        <v>69</v>
      </c>
      <c r="C58" s="1">
        <v>45768</v>
      </c>
      <c r="D58">
        <v>21</v>
      </c>
      <c r="E58">
        <v>3</v>
      </c>
      <c r="F58">
        <v>7234.9389999999994</v>
      </c>
      <c r="G58" t="s">
        <v>81</v>
      </c>
      <c r="H58" t="s">
        <v>19</v>
      </c>
      <c r="I58">
        <v>4475.2199999999993</v>
      </c>
      <c r="J58">
        <v>7458.7</v>
      </c>
      <c r="K58">
        <v>3</v>
      </c>
      <c r="L58">
        <v>7565.4758992973429</v>
      </c>
      <c r="M58">
        <v>809.57599999999991</v>
      </c>
      <c r="N58">
        <v>151933.71899999998</v>
      </c>
      <c r="O58">
        <v>57954.099000000002</v>
      </c>
      <c r="P58">
        <v>6425.3629999999994</v>
      </c>
      <c r="Q58">
        <v>7.9367014338369719</v>
      </c>
    </row>
    <row r="59" spans="1:17" x14ac:dyDescent="0.2">
      <c r="A59">
        <v>713</v>
      </c>
      <c r="B59">
        <v>150</v>
      </c>
      <c r="C59" s="1">
        <v>45413</v>
      </c>
      <c r="D59">
        <v>49</v>
      </c>
      <c r="E59">
        <v>7</v>
      </c>
      <c r="F59">
        <v>2129.4395999999997</v>
      </c>
      <c r="G59" t="s">
        <v>162</v>
      </c>
      <c r="H59" t="s">
        <v>19</v>
      </c>
      <c r="I59">
        <v>1373.8319999999999</v>
      </c>
      <c r="J59">
        <v>2289.7199999999998</v>
      </c>
      <c r="K59">
        <v>3</v>
      </c>
      <c r="L59">
        <v>2499.7113925790641</v>
      </c>
      <c r="M59">
        <v>1810.3166666666666</v>
      </c>
      <c r="N59">
        <v>104342.54039999998</v>
      </c>
      <c r="O59">
        <v>37024.772399999994</v>
      </c>
      <c r="P59">
        <v>319.12293333333309</v>
      </c>
      <c r="Q59">
        <v>0.17628017197727824</v>
      </c>
    </row>
    <row r="60" spans="1:17" x14ac:dyDescent="0.2">
      <c r="A60">
        <v>681</v>
      </c>
      <c r="B60">
        <v>50</v>
      </c>
      <c r="C60" s="1">
        <v>44984</v>
      </c>
      <c r="D60">
        <v>15</v>
      </c>
      <c r="E60">
        <v>10</v>
      </c>
      <c r="F60">
        <v>1221.03</v>
      </c>
      <c r="G60" t="s">
        <v>62</v>
      </c>
      <c r="H60" t="s">
        <v>19</v>
      </c>
      <c r="I60">
        <v>814.02</v>
      </c>
      <c r="J60">
        <v>1356.7</v>
      </c>
      <c r="K60">
        <v>3</v>
      </c>
      <c r="L60">
        <v>1437.0596368244217</v>
      </c>
      <c r="M60">
        <v>4909.6483333333335</v>
      </c>
      <c r="N60">
        <v>18315.45</v>
      </c>
      <c r="O60">
        <v>6105.15</v>
      </c>
      <c r="P60">
        <v>-3688.6183333333338</v>
      </c>
      <c r="Q60">
        <v>-0.75129990640877542</v>
      </c>
    </row>
    <row r="61" spans="1:17" x14ac:dyDescent="0.2">
      <c r="A61">
        <v>679</v>
      </c>
      <c r="B61">
        <v>46</v>
      </c>
      <c r="C61" s="1">
        <v>45601</v>
      </c>
      <c r="D61">
        <v>6</v>
      </c>
      <c r="E61">
        <v>9</v>
      </c>
      <c r="F61">
        <v>1472.9806000000001</v>
      </c>
      <c r="G61" t="s">
        <v>58</v>
      </c>
      <c r="H61" t="s">
        <v>19</v>
      </c>
      <c r="I61">
        <v>971.19600000000003</v>
      </c>
      <c r="J61">
        <v>1618.66</v>
      </c>
      <c r="K61">
        <v>4</v>
      </c>
      <c r="L61">
        <v>1944.8385466913862</v>
      </c>
      <c r="M61">
        <v>4497.6779999999999</v>
      </c>
      <c r="N61">
        <v>8837.883600000001</v>
      </c>
      <c r="O61">
        <v>3010.7076000000006</v>
      </c>
      <c r="P61">
        <v>-3024.6974</v>
      </c>
      <c r="Q61">
        <v>-0.67250198880400069</v>
      </c>
    </row>
    <row r="62" spans="1:17" x14ac:dyDescent="0.2">
      <c r="A62">
        <v>668</v>
      </c>
      <c r="B62">
        <v>34</v>
      </c>
      <c r="C62" s="1">
        <v>45977</v>
      </c>
      <c r="D62">
        <v>6</v>
      </c>
      <c r="E62">
        <v>5</v>
      </c>
      <c r="F62">
        <v>1238.2205000000001</v>
      </c>
      <c r="G62" t="s">
        <v>46</v>
      </c>
      <c r="H62" t="s">
        <v>19</v>
      </c>
      <c r="I62">
        <v>782.03399999999999</v>
      </c>
      <c r="J62">
        <v>1303.3900000000001</v>
      </c>
      <c r="K62">
        <v>2</v>
      </c>
      <c r="L62">
        <v>1438.4685351253179</v>
      </c>
      <c r="M62">
        <v>4145.4440000000004</v>
      </c>
      <c r="N62">
        <v>7429.3230000000003</v>
      </c>
      <c r="O62">
        <v>2737.1190000000006</v>
      </c>
      <c r="P62">
        <v>-2907.2235000000001</v>
      </c>
      <c r="Q62">
        <v>-0.70130569849695223</v>
      </c>
    </row>
    <row r="63" spans="1:17" x14ac:dyDescent="0.2">
      <c r="A63">
        <v>656</v>
      </c>
      <c r="B63">
        <v>86</v>
      </c>
      <c r="C63" s="1">
        <v>45801</v>
      </c>
      <c r="D63">
        <v>47</v>
      </c>
      <c r="E63">
        <v>6</v>
      </c>
      <c r="F63">
        <v>2935.5353999999998</v>
      </c>
      <c r="G63" t="s">
        <v>98</v>
      </c>
      <c r="H63" t="s">
        <v>19</v>
      </c>
      <c r="I63">
        <v>1873.7459999999999</v>
      </c>
      <c r="J63">
        <v>3122.91</v>
      </c>
      <c r="K63">
        <v>4</v>
      </c>
      <c r="L63">
        <v>3818.0477942257185</v>
      </c>
      <c r="M63">
        <v>2919.076</v>
      </c>
      <c r="N63">
        <v>137970.16379999998</v>
      </c>
      <c r="O63">
        <v>49904.101799999997</v>
      </c>
      <c r="P63">
        <v>16.459399999999732</v>
      </c>
      <c r="Q63">
        <v>5.6385650801828151E-3</v>
      </c>
    </row>
    <row r="64" spans="1:17" x14ac:dyDescent="0.2">
      <c r="A64">
        <v>648</v>
      </c>
      <c r="B64">
        <v>30</v>
      </c>
      <c r="C64" s="1">
        <v>45055</v>
      </c>
      <c r="D64">
        <v>35</v>
      </c>
      <c r="E64">
        <v>9</v>
      </c>
      <c r="F64">
        <v>1863.9894000000002</v>
      </c>
      <c r="G64" t="s">
        <v>42</v>
      </c>
      <c r="H64" t="s">
        <v>19</v>
      </c>
      <c r="I64">
        <v>1229.0040000000001</v>
      </c>
      <c r="J64">
        <v>2048.34</v>
      </c>
      <c r="K64">
        <v>1</v>
      </c>
      <c r="L64">
        <v>2223.213503622173</v>
      </c>
      <c r="M64">
        <v>4153.6075000000001</v>
      </c>
      <c r="N64">
        <v>65239.629000000008</v>
      </c>
      <c r="O64">
        <v>22224.489000000001</v>
      </c>
      <c r="P64">
        <v>-2289.6180999999997</v>
      </c>
      <c r="Q64">
        <v>-0.55123602795882842</v>
      </c>
    </row>
    <row r="65" spans="1:17" x14ac:dyDescent="0.2">
      <c r="A65">
        <v>64</v>
      </c>
      <c r="B65">
        <v>103</v>
      </c>
      <c r="C65" s="1">
        <v>45533</v>
      </c>
      <c r="D65">
        <v>6</v>
      </c>
      <c r="E65">
        <v>10</v>
      </c>
      <c r="F65">
        <v>5772.6450000000004</v>
      </c>
      <c r="G65" t="s">
        <v>115</v>
      </c>
      <c r="H65" t="s">
        <v>19</v>
      </c>
      <c r="I65">
        <v>3848.43</v>
      </c>
      <c r="J65">
        <v>6414.05</v>
      </c>
      <c r="K65">
        <v>4</v>
      </c>
      <c r="L65">
        <v>6417.5200217033835</v>
      </c>
      <c r="M65">
        <v>6457.8324999999995</v>
      </c>
      <c r="N65">
        <v>34635.870000000003</v>
      </c>
      <c r="O65">
        <v>11545.290000000005</v>
      </c>
      <c r="P65">
        <v>-685.18749999999909</v>
      </c>
      <c r="Q65">
        <v>-0.10610177640872524</v>
      </c>
    </row>
    <row r="66" spans="1:17" x14ac:dyDescent="0.2">
      <c r="A66">
        <v>646</v>
      </c>
      <c r="B66">
        <v>8</v>
      </c>
      <c r="C66" s="1">
        <v>45418</v>
      </c>
      <c r="D66">
        <v>13</v>
      </c>
      <c r="E66">
        <v>3</v>
      </c>
      <c r="F66">
        <v>5474.6217999999999</v>
      </c>
      <c r="G66" t="s">
        <v>18</v>
      </c>
      <c r="H66" t="s">
        <v>19</v>
      </c>
      <c r="I66">
        <v>3386.3639999999996</v>
      </c>
      <c r="J66">
        <v>5643.94</v>
      </c>
      <c r="K66">
        <v>2</v>
      </c>
      <c r="L66">
        <v>6211.4023021400917</v>
      </c>
      <c r="M66">
        <v>2853.6650000000004</v>
      </c>
      <c r="N66">
        <v>71170.083400000003</v>
      </c>
      <c r="O66">
        <v>27147.351400000003</v>
      </c>
      <c r="P66">
        <v>2620.9567999999995</v>
      </c>
      <c r="Q66">
        <v>0.91845286675205362</v>
      </c>
    </row>
    <row r="67" spans="1:17" x14ac:dyDescent="0.2">
      <c r="A67">
        <v>642</v>
      </c>
      <c r="B67">
        <v>106</v>
      </c>
      <c r="C67" s="1">
        <v>45885</v>
      </c>
      <c r="D67">
        <v>7</v>
      </c>
      <c r="E67">
        <v>2</v>
      </c>
      <c r="F67">
        <v>1405.3494000000001</v>
      </c>
      <c r="G67" t="s">
        <v>118</v>
      </c>
      <c r="H67" t="s">
        <v>19</v>
      </c>
      <c r="I67">
        <v>860.41800000000001</v>
      </c>
      <c r="J67">
        <v>1434.03</v>
      </c>
      <c r="K67">
        <v>2</v>
      </c>
      <c r="L67">
        <v>1711.5451298653054</v>
      </c>
      <c r="M67">
        <v>695.38400000000001</v>
      </c>
      <c r="N67">
        <v>9837.4458000000013</v>
      </c>
      <c r="O67">
        <v>3814.5198000000005</v>
      </c>
      <c r="P67">
        <v>709.96540000000005</v>
      </c>
      <c r="Q67">
        <v>1.0209688459901292</v>
      </c>
    </row>
    <row r="68" spans="1:17" x14ac:dyDescent="0.2">
      <c r="A68">
        <v>639</v>
      </c>
      <c r="B68">
        <v>133</v>
      </c>
      <c r="C68" s="1">
        <v>44944</v>
      </c>
      <c r="D68">
        <v>7</v>
      </c>
      <c r="E68">
        <v>8</v>
      </c>
      <c r="F68">
        <v>6076.5079999999998</v>
      </c>
      <c r="G68" t="s">
        <v>145</v>
      </c>
      <c r="H68" t="s">
        <v>19</v>
      </c>
      <c r="I68">
        <v>3962.9399999999996</v>
      </c>
      <c r="J68">
        <v>6604.9</v>
      </c>
      <c r="K68">
        <v>4</v>
      </c>
      <c r="L68">
        <v>7706.679884396096</v>
      </c>
      <c r="M68">
        <v>4666.1933333333336</v>
      </c>
      <c r="N68">
        <v>42535.555999999997</v>
      </c>
      <c r="O68">
        <v>14794.976000000002</v>
      </c>
      <c r="P68">
        <v>1410.3146666666662</v>
      </c>
      <c r="Q68">
        <v>0.30224094158121739</v>
      </c>
    </row>
    <row r="69" spans="1:17" x14ac:dyDescent="0.2">
      <c r="A69">
        <v>634</v>
      </c>
      <c r="B69">
        <v>92</v>
      </c>
      <c r="C69" s="1">
        <v>45901</v>
      </c>
      <c r="D69">
        <v>12</v>
      </c>
      <c r="E69">
        <v>8</v>
      </c>
      <c r="F69">
        <v>3291.7784000000001</v>
      </c>
      <c r="G69" t="s">
        <v>104</v>
      </c>
      <c r="H69" t="s">
        <v>19</v>
      </c>
      <c r="I69">
        <v>2146.8119999999999</v>
      </c>
      <c r="J69">
        <v>3578.02</v>
      </c>
      <c r="K69">
        <v>5</v>
      </c>
      <c r="L69">
        <v>3870.9729565039338</v>
      </c>
      <c r="M69">
        <v>5387.83</v>
      </c>
      <c r="N69">
        <v>39501.340800000005</v>
      </c>
      <c r="O69">
        <v>13739.596800000003</v>
      </c>
      <c r="P69">
        <v>-2096.0515999999998</v>
      </c>
      <c r="Q69">
        <v>-0.38903447213442144</v>
      </c>
    </row>
    <row r="70" spans="1:17" x14ac:dyDescent="0.2">
      <c r="A70">
        <v>628</v>
      </c>
      <c r="B70">
        <v>118</v>
      </c>
      <c r="C70" s="1">
        <v>45816</v>
      </c>
      <c r="D70">
        <v>18</v>
      </c>
      <c r="E70">
        <v>8</v>
      </c>
      <c r="F70">
        <v>2897.31</v>
      </c>
      <c r="G70" t="s">
        <v>130</v>
      </c>
      <c r="H70" t="s">
        <v>19</v>
      </c>
      <c r="I70">
        <v>1889.55</v>
      </c>
      <c r="J70">
        <v>3149.25</v>
      </c>
      <c r="K70">
        <v>5</v>
      </c>
      <c r="L70">
        <v>3381.9647923399052</v>
      </c>
      <c r="M70">
        <v>224.52399999999997</v>
      </c>
      <c r="N70">
        <v>52151.58</v>
      </c>
      <c r="O70">
        <v>18139.68</v>
      </c>
      <c r="P70">
        <v>2672.7860000000001</v>
      </c>
      <c r="Q70">
        <v>11.904232955051578</v>
      </c>
    </row>
    <row r="71" spans="1:17" x14ac:dyDescent="0.2">
      <c r="A71">
        <v>624</v>
      </c>
      <c r="B71">
        <v>11</v>
      </c>
      <c r="C71" s="1">
        <v>45988</v>
      </c>
      <c r="D71">
        <v>39</v>
      </c>
      <c r="E71">
        <v>5</v>
      </c>
      <c r="F71">
        <v>3040.1899999999996</v>
      </c>
      <c r="G71" t="s">
        <v>22</v>
      </c>
      <c r="H71" t="s">
        <v>19</v>
      </c>
      <c r="I71">
        <v>1920.12</v>
      </c>
      <c r="J71">
        <v>3200.2</v>
      </c>
      <c r="K71">
        <v>1</v>
      </c>
      <c r="L71">
        <v>3824.3137119791368</v>
      </c>
      <c r="M71">
        <v>7089.33</v>
      </c>
      <c r="N71">
        <v>118567.40999999999</v>
      </c>
      <c r="O71">
        <v>43682.729999999989</v>
      </c>
      <c r="P71">
        <v>-4049.1400000000003</v>
      </c>
      <c r="Q71">
        <v>-0.57115975698690857</v>
      </c>
    </row>
    <row r="72" spans="1:17" x14ac:dyDescent="0.2">
      <c r="A72">
        <v>613</v>
      </c>
      <c r="B72">
        <v>27</v>
      </c>
      <c r="C72" s="1">
        <v>44946</v>
      </c>
      <c r="D72">
        <v>20</v>
      </c>
      <c r="E72">
        <v>5</v>
      </c>
      <c r="F72">
        <v>1541.7550000000001</v>
      </c>
      <c r="G72" t="s">
        <v>39</v>
      </c>
      <c r="H72" t="s">
        <v>19</v>
      </c>
      <c r="I72">
        <v>973.74</v>
      </c>
      <c r="J72">
        <v>1622.9</v>
      </c>
      <c r="K72">
        <v>1</v>
      </c>
      <c r="L72">
        <v>1993.1531829873211</v>
      </c>
      <c r="M72">
        <v>4440.416666666667</v>
      </c>
      <c r="N72">
        <v>30835.100000000002</v>
      </c>
      <c r="O72">
        <v>11360.300000000003</v>
      </c>
      <c r="P72">
        <v>-2898.6616666666669</v>
      </c>
      <c r="Q72">
        <v>-0.65279046636013882</v>
      </c>
    </row>
    <row r="73" spans="1:17" x14ac:dyDescent="0.2">
      <c r="A73">
        <v>601</v>
      </c>
      <c r="B73">
        <v>50</v>
      </c>
      <c r="C73" s="1">
        <v>45926</v>
      </c>
      <c r="D73">
        <v>36</v>
      </c>
      <c r="E73">
        <v>9</v>
      </c>
      <c r="F73">
        <v>1234.597</v>
      </c>
      <c r="G73" t="s">
        <v>62</v>
      </c>
      <c r="H73" t="s">
        <v>19</v>
      </c>
      <c r="I73">
        <v>814.02</v>
      </c>
      <c r="J73">
        <v>1356.7</v>
      </c>
      <c r="K73">
        <v>3</v>
      </c>
      <c r="L73">
        <v>1526.6589991769015</v>
      </c>
      <c r="M73">
        <v>4909.6483333333335</v>
      </c>
      <c r="N73">
        <v>44445.491999999998</v>
      </c>
      <c r="O73">
        <v>15140.772000000001</v>
      </c>
      <c r="P73">
        <v>-3675.0513333333338</v>
      </c>
      <c r="Q73">
        <v>-0.74853657203553958</v>
      </c>
    </row>
    <row r="74" spans="1:17" x14ac:dyDescent="0.2">
      <c r="A74">
        <v>591</v>
      </c>
      <c r="B74">
        <v>8</v>
      </c>
      <c r="C74" s="1">
        <v>45667</v>
      </c>
      <c r="D74">
        <v>39</v>
      </c>
      <c r="E74">
        <v>9</v>
      </c>
      <c r="F74">
        <v>5135.9853999999996</v>
      </c>
      <c r="G74" t="s">
        <v>18</v>
      </c>
      <c r="H74" t="s">
        <v>19</v>
      </c>
      <c r="I74">
        <v>3386.3639999999996</v>
      </c>
      <c r="J74">
        <v>5643.94</v>
      </c>
      <c r="K74">
        <v>2</v>
      </c>
      <c r="L74">
        <v>6314.9231893732476</v>
      </c>
      <c r="M74">
        <v>2853.6650000000004</v>
      </c>
      <c r="N74">
        <v>200303.43059999999</v>
      </c>
      <c r="O74">
        <v>68235.234599999996</v>
      </c>
      <c r="P74">
        <v>2282.3203999999992</v>
      </c>
      <c r="Q74">
        <v>0.79978567911790588</v>
      </c>
    </row>
    <row r="75" spans="1:17" x14ac:dyDescent="0.2">
      <c r="A75">
        <v>588</v>
      </c>
      <c r="B75">
        <v>150</v>
      </c>
      <c r="C75" s="1">
        <v>46014</v>
      </c>
      <c r="D75">
        <v>6</v>
      </c>
      <c r="E75">
        <v>8</v>
      </c>
      <c r="F75">
        <v>2106.5423999999998</v>
      </c>
      <c r="G75" t="s">
        <v>162</v>
      </c>
      <c r="H75" t="s">
        <v>19</v>
      </c>
      <c r="I75">
        <v>1373.8319999999999</v>
      </c>
      <c r="J75">
        <v>2289.7199999999998</v>
      </c>
      <c r="K75">
        <v>3</v>
      </c>
      <c r="L75">
        <v>2632.5928977104932</v>
      </c>
      <c r="M75">
        <v>1810.3166666666666</v>
      </c>
      <c r="N75">
        <v>12639.254399999998</v>
      </c>
      <c r="O75">
        <v>4396.2623999999996</v>
      </c>
      <c r="P75">
        <v>296.22573333333321</v>
      </c>
      <c r="Q75">
        <v>0.16363199808504952</v>
      </c>
    </row>
    <row r="76" spans="1:17" x14ac:dyDescent="0.2">
      <c r="A76">
        <v>75</v>
      </c>
      <c r="B76">
        <v>116</v>
      </c>
      <c r="C76" s="1">
        <v>45828</v>
      </c>
      <c r="D76">
        <v>30</v>
      </c>
      <c r="E76">
        <v>9</v>
      </c>
      <c r="F76">
        <v>2150.4665</v>
      </c>
      <c r="G76" t="s">
        <v>128</v>
      </c>
      <c r="H76" t="s">
        <v>19</v>
      </c>
      <c r="I76">
        <v>1417.89</v>
      </c>
      <c r="J76">
        <v>2363.15</v>
      </c>
      <c r="K76">
        <v>5</v>
      </c>
      <c r="L76">
        <v>2681.421864678653</v>
      </c>
      <c r="M76">
        <v>4469.4999999999991</v>
      </c>
      <c r="N76">
        <v>64513.995000000003</v>
      </c>
      <c r="O76">
        <v>21977.294999999998</v>
      </c>
      <c r="P76">
        <v>-2319.0334999999991</v>
      </c>
      <c r="Q76">
        <v>-0.51885747846515262</v>
      </c>
    </row>
    <row r="77" spans="1:17" x14ac:dyDescent="0.2">
      <c r="A77">
        <v>585</v>
      </c>
      <c r="B77">
        <v>105</v>
      </c>
      <c r="C77" s="1">
        <v>45745</v>
      </c>
      <c r="D77">
        <v>39</v>
      </c>
      <c r="E77">
        <v>2</v>
      </c>
      <c r="F77">
        <v>4060.2183999999997</v>
      </c>
      <c r="G77" t="s">
        <v>117</v>
      </c>
      <c r="H77" t="s">
        <v>19</v>
      </c>
      <c r="I77">
        <v>2485.848</v>
      </c>
      <c r="J77">
        <v>4143.08</v>
      </c>
      <c r="K77">
        <v>3</v>
      </c>
      <c r="L77">
        <v>5208.7747845172089</v>
      </c>
      <c r="M77">
        <v>4778.8849999999993</v>
      </c>
      <c r="N77">
        <v>158348.51759999999</v>
      </c>
      <c r="O77">
        <v>61400.445599999992</v>
      </c>
      <c r="P77">
        <v>-718.66659999999956</v>
      </c>
      <c r="Q77">
        <v>-0.15038374014022093</v>
      </c>
    </row>
    <row r="78" spans="1:17" x14ac:dyDescent="0.2">
      <c r="A78">
        <v>77</v>
      </c>
      <c r="B78">
        <v>46</v>
      </c>
      <c r="C78" s="1">
        <v>44966</v>
      </c>
      <c r="D78">
        <v>48</v>
      </c>
      <c r="E78">
        <v>5</v>
      </c>
      <c r="F78">
        <v>1537.7270000000001</v>
      </c>
      <c r="G78" t="s">
        <v>58</v>
      </c>
      <c r="H78" t="s">
        <v>19</v>
      </c>
      <c r="I78">
        <v>971.19600000000003</v>
      </c>
      <c r="J78">
        <v>1618.66</v>
      </c>
      <c r="K78">
        <v>4</v>
      </c>
      <c r="L78">
        <v>2075.195926050892</v>
      </c>
      <c r="M78">
        <v>4497.6779999999999</v>
      </c>
      <c r="N78">
        <v>73810.896000000008</v>
      </c>
      <c r="O78">
        <v>27193.488000000005</v>
      </c>
      <c r="P78">
        <v>-2959.951</v>
      </c>
      <c r="Q78">
        <v>-0.65810647182835236</v>
      </c>
    </row>
    <row r="79" spans="1:17" x14ac:dyDescent="0.2">
      <c r="A79">
        <v>582</v>
      </c>
      <c r="B79">
        <v>116</v>
      </c>
      <c r="C79" s="1">
        <v>45726</v>
      </c>
      <c r="D79">
        <v>37</v>
      </c>
      <c r="E79">
        <v>7</v>
      </c>
      <c r="F79">
        <v>2197.7294999999999</v>
      </c>
      <c r="G79" t="s">
        <v>128</v>
      </c>
      <c r="H79" t="s">
        <v>19</v>
      </c>
      <c r="I79">
        <v>1417.89</v>
      </c>
      <c r="J79">
        <v>2363.15</v>
      </c>
      <c r="K79">
        <v>5</v>
      </c>
      <c r="L79">
        <v>2568.8907863390168</v>
      </c>
      <c r="M79">
        <v>4469.4999999999991</v>
      </c>
      <c r="N79">
        <v>81315.991500000004</v>
      </c>
      <c r="O79">
        <v>28854.061499999993</v>
      </c>
      <c r="P79">
        <v>-2271.7704999999992</v>
      </c>
      <c r="Q79">
        <v>-0.50828291755229882</v>
      </c>
    </row>
    <row r="80" spans="1:17" x14ac:dyDescent="0.2">
      <c r="A80">
        <v>578</v>
      </c>
      <c r="B80">
        <v>34</v>
      </c>
      <c r="C80" s="1">
        <v>45030</v>
      </c>
      <c r="D80">
        <v>48</v>
      </c>
      <c r="E80">
        <v>7</v>
      </c>
      <c r="F80">
        <v>1212.1527000000001</v>
      </c>
      <c r="G80" t="s">
        <v>46</v>
      </c>
      <c r="H80" t="s">
        <v>19</v>
      </c>
      <c r="I80">
        <v>782.03399999999999</v>
      </c>
      <c r="J80">
        <v>1303.3900000000001</v>
      </c>
      <c r="K80">
        <v>2</v>
      </c>
      <c r="L80">
        <v>1336.4061253183895</v>
      </c>
      <c r="M80">
        <v>4145.4440000000004</v>
      </c>
      <c r="N80">
        <v>58183.329600000005</v>
      </c>
      <c r="O80">
        <v>20645.697600000007</v>
      </c>
      <c r="P80">
        <v>-2933.2913000000003</v>
      </c>
      <c r="Q80">
        <v>-0.70759399958122704</v>
      </c>
    </row>
    <row r="81" spans="1:17" x14ac:dyDescent="0.2">
      <c r="A81">
        <v>573</v>
      </c>
      <c r="B81">
        <v>141</v>
      </c>
      <c r="C81" s="1">
        <v>45459</v>
      </c>
      <c r="D81">
        <v>10</v>
      </c>
      <c r="E81">
        <v>3</v>
      </c>
      <c r="F81">
        <v>7629.2342999999992</v>
      </c>
      <c r="G81" t="s">
        <v>153</v>
      </c>
      <c r="H81" t="s">
        <v>19</v>
      </c>
      <c r="I81">
        <v>4719.1139999999996</v>
      </c>
      <c r="J81">
        <v>7865.19</v>
      </c>
      <c r="K81">
        <v>5</v>
      </c>
      <c r="L81">
        <v>9972.5913841888578</v>
      </c>
      <c r="M81">
        <v>7586.8133333333344</v>
      </c>
      <c r="N81">
        <v>76292.342999999993</v>
      </c>
      <c r="O81">
        <v>29101.202999999994</v>
      </c>
      <c r="P81">
        <v>42.420966666664754</v>
      </c>
      <c r="Q81">
        <v>5.5914077232247818E-3</v>
      </c>
    </row>
    <row r="82" spans="1:17" x14ac:dyDescent="0.2">
      <c r="A82">
        <v>572</v>
      </c>
      <c r="B82">
        <v>116</v>
      </c>
      <c r="C82" s="1">
        <v>44927</v>
      </c>
      <c r="D82">
        <v>1</v>
      </c>
      <c r="E82">
        <v>7</v>
      </c>
      <c r="F82">
        <v>2197.7294999999999</v>
      </c>
      <c r="G82" t="s">
        <v>128</v>
      </c>
      <c r="H82" t="s">
        <v>19</v>
      </c>
      <c r="I82">
        <v>1417.89</v>
      </c>
      <c r="J82">
        <v>2363.15</v>
      </c>
      <c r="K82">
        <v>5</v>
      </c>
      <c r="L82">
        <v>2515.7158855875973</v>
      </c>
      <c r="M82">
        <v>4469.4999999999991</v>
      </c>
      <c r="N82">
        <v>2197.7294999999999</v>
      </c>
      <c r="O82">
        <v>779.83949999999982</v>
      </c>
      <c r="P82">
        <v>-2271.7704999999992</v>
      </c>
      <c r="Q82">
        <v>-0.50828291755229882</v>
      </c>
    </row>
    <row r="83" spans="1:17" x14ac:dyDescent="0.2">
      <c r="A83">
        <v>570</v>
      </c>
      <c r="B83">
        <v>69</v>
      </c>
      <c r="C83" s="1">
        <v>45961</v>
      </c>
      <c r="D83">
        <v>37</v>
      </c>
      <c r="E83">
        <v>2</v>
      </c>
      <c r="F83">
        <v>7309.5259999999998</v>
      </c>
      <c r="G83" t="s">
        <v>81</v>
      </c>
      <c r="H83" t="s">
        <v>19</v>
      </c>
      <c r="I83">
        <v>4475.2199999999993</v>
      </c>
      <c r="J83">
        <v>7458.7</v>
      </c>
      <c r="K83">
        <v>3</v>
      </c>
      <c r="L83">
        <v>9120.192515018025</v>
      </c>
      <c r="M83">
        <v>809.57599999999991</v>
      </c>
      <c r="N83">
        <v>270452.462</v>
      </c>
      <c r="O83">
        <v>104869.32200000001</v>
      </c>
      <c r="P83">
        <v>6499.95</v>
      </c>
      <c r="Q83">
        <v>8.028832376453849</v>
      </c>
    </row>
    <row r="84" spans="1:17" x14ac:dyDescent="0.2">
      <c r="A84">
        <v>569</v>
      </c>
      <c r="B84">
        <v>133</v>
      </c>
      <c r="C84" s="1">
        <v>45114</v>
      </c>
      <c r="D84">
        <v>13</v>
      </c>
      <c r="E84">
        <v>8</v>
      </c>
      <c r="F84">
        <v>6076.5079999999998</v>
      </c>
      <c r="G84" t="s">
        <v>145</v>
      </c>
      <c r="H84" t="s">
        <v>19</v>
      </c>
      <c r="I84">
        <v>3962.9399999999996</v>
      </c>
      <c r="J84">
        <v>6604.9</v>
      </c>
      <c r="K84">
        <v>4</v>
      </c>
      <c r="L84">
        <v>7252.1719004369088</v>
      </c>
      <c r="M84">
        <v>4666.1933333333336</v>
      </c>
      <c r="N84">
        <v>78994.603999999992</v>
      </c>
      <c r="O84">
        <v>27476.384000000002</v>
      </c>
      <c r="P84">
        <v>1410.3146666666662</v>
      </c>
      <c r="Q84">
        <v>0.30224094158121739</v>
      </c>
    </row>
    <row r="85" spans="1:17" x14ac:dyDescent="0.2">
      <c r="A85">
        <v>565</v>
      </c>
      <c r="B85">
        <v>89</v>
      </c>
      <c r="C85" s="1">
        <v>45834</v>
      </c>
      <c r="D85">
        <v>41</v>
      </c>
      <c r="E85">
        <v>10</v>
      </c>
      <c r="F85">
        <v>907.53300000000002</v>
      </c>
      <c r="G85" t="s">
        <v>101</v>
      </c>
      <c r="H85" t="s">
        <v>19</v>
      </c>
      <c r="I85">
        <v>605.02199999999993</v>
      </c>
      <c r="J85">
        <v>1008.37</v>
      </c>
      <c r="K85">
        <v>4</v>
      </c>
      <c r="L85">
        <v>1104.0543261799555</v>
      </c>
      <c r="M85">
        <v>913.02</v>
      </c>
      <c r="N85">
        <v>37208.853000000003</v>
      </c>
      <c r="O85">
        <v>12402.951000000003</v>
      </c>
      <c r="P85">
        <v>-5.4869999999999663</v>
      </c>
      <c r="Q85">
        <v>-6.0097259643819047E-3</v>
      </c>
    </row>
    <row r="86" spans="1:17" x14ac:dyDescent="0.2">
      <c r="A86">
        <v>564</v>
      </c>
      <c r="B86">
        <v>42</v>
      </c>
      <c r="C86" s="1">
        <v>44942</v>
      </c>
      <c r="D86">
        <v>1</v>
      </c>
      <c r="E86">
        <v>3</v>
      </c>
      <c r="F86">
        <v>414.77199999999999</v>
      </c>
      <c r="G86" t="s">
        <v>54</v>
      </c>
      <c r="H86" t="s">
        <v>19</v>
      </c>
      <c r="I86">
        <v>256.56</v>
      </c>
      <c r="J86">
        <v>427.6</v>
      </c>
      <c r="K86">
        <v>2</v>
      </c>
      <c r="L86">
        <v>451.44925497845514</v>
      </c>
      <c r="M86">
        <v>513.45666666666671</v>
      </c>
      <c r="N86">
        <v>414.77199999999999</v>
      </c>
      <c r="O86">
        <v>158.21199999999999</v>
      </c>
      <c r="P86">
        <v>-98.684666666666715</v>
      </c>
      <c r="Q86">
        <v>-0.1921966800184372</v>
      </c>
    </row>
    <row r="87" spans="1:17" x14ac:dyDescent="0.2">
      <c r="A87">
        <v>86</v>
      </c>
      <c r="B87">
        <v>150</v>
      </c>
      <c r="C87" s="1">
        <v>45060</v>
      </c>
      <c r="D87">
        <v>22</v>
      </c>
      <c r="E87">
        <v>8</v>
      </c>
      <c r="F87">
        <v>2106.5423999999998</v>
      </c>
      <c r="G87" t="s">
        <v>162</v>
      </c>
      <c r="H87" t="s">
        <v>19</v>
      </c>
      <c r="I87">
        <v>1373.8319999999999</v>
      </c>
      <c r="J87">
        <v>2289.7199999999998</v>
      </c>
      <c r="K87">
        <v>3</v>
      </c>
      <c r="L87">
        <v>2694.6149007741824</v>
      </c>
      <c r="M87">
        <v>1810.3166666666666</v>
      </c>
      <c r="N87">
        <v>46343.932799999995</v>
      </c>
      <c r="O87">
        <v>16119.628799999999</v>
      </c>
      <c r="P87">
        <v>296.22573333333321</v>
      </c>
      <c r="Q87">
        <v>0.16363199808504952</v>
      </c>
    </row>
    <row r="88" spans="1:17" x14ac:dyDescent="0.2">
      <c r="A88">
        <v>551</v>
      </c>
      <c r="B88">
        <v>86</v>
      </c>
      <c r="C88" s="1">
        <v>45740</v>
      </c>
      <c r="D88">
        <v>29</v>
      </c>
      <c r="E88">
        <v>9</v>
      </c>
      <c r="F88">
        <v>2841.8481000000002</v>
      </c>
      <c r="G88" t="s">
        <v>98</v>
      </c>
      <c r="H88" t="s">
        <v>19</v>
      </c>
      <c r="I88">
        <v>1873.7459999999999</v>
      </c>
      <c r="J88">
        <v>3122.91</v>
      </c>
      <c r="K88">
        <v>4</v>
      </c>
      <c r="L88">
        <v>3143.4719278045072</v>
      </c>
      <c r="M88">
        <v>2919.076</v>
      </c>
      <c r="N88">
        <v>82413.594900000011</v>
      </c>
      <c r="O88">
        <v>28074.960900000009</v>
      </c>
      <c r="P88">
        <v>-77.227899999999863</v>
      </c>
      <c r="Q88">
        <v>-2.6456282741525009E-2</v>
      </c>
    </row>
    <row r="89" spans="1:17" x14ac:dyDescent="0.2">
      <c r="A89">
        <v>549</v>
      </c>
      <c r="B89">
        <v>102</v>
      </c>
      <c r="C89" s="1">
        <v>45521</v>
      </c>
      <c r="D89">
        <v>50</v>
      </c>
      <c r="E89">
        <v>8</v>
      </c>
      <c r="F89">
        <v>3812.4247999999998</v>
      </c>
      <c r="G89" t="s">
        <v>114</v>
      </c>
      <c r="H89" t="s">
        <v>19</v>
      </c>
      <c r="I89">
        <v>2486.3639999999996</v>
      </c>
      <c r="J89">
        <v>4143.9399999999996</v>
      </c>
      <c r="K89">
        <v>4</v>
      </c>
      <c r="L89">
        <v>4864.6278860442335</v>
      </c>
      <c r="M89">
        <v>2740.84</v>
      </c>
      <c r="N89">
        <v>190621.24</v>
      </c>
      <c r="O89">
        <v>66303.040000000008</v>
      </c>
      <c r="P89">
        <v>1071.5847999999996</v>
      </c>
      <c r="Q89">
        <v>0.39096948380788354</v>
      </c>
    </row>
    <row r="90" spans="1:17" x14ac:dyDescent="0.2">
      <c r="A90">
        <v>545</v>
      </c>
      <c r="B90">
        <v>150</v>
      </c>
      <c r="C90" s="1">
        <v>45435</v>
      </c>
      <c r="D90">
        <v>10</v>
      </c>
      <c r="E90">
        <v>5</v>
      </c>
      <c r="F90">
        <v>2175.2339999999999</v>
      </c>
      <c r="G90" t="s">
        <v>162</v>
      </c>
      <c r="H90" t="s">
        <v>19</v>
      </c>
      <c r="I90">
        <v>1373.8319999999999</v>
      </c>
      <c r="J90">
        <v>2289.7199999999998</v>
      </c>
      <c r="K90">
        <v>3</v>
      </c>
      <c r="L90">
        <v>2809.8304760530887</v>
      </c>
      <c r="M90">
        <v>1810.3166666666666</v>
      </c>
      <c r="N90">
        <v>21752.34</v>
      </c>
      <c r="O90">
        <v>8014.02</v>
      </c>
      <c r="P90">
        <v>364.91733333333332</v>
      </c>
      <c r="Q90">
        <v>0.20157651976173596</v>
      </c>
    </row>
    <row r="91" spans="1:17" x14ac:dyDescent="0.2">
      <c r="A91">
        <v>543</v>
      </c>
      <c r="B91">
        <v>42</v>
      </c>
      <c r="C91" s="1">
        <v>45508</v>
      </c>
      <c r="D91">
        <v>31</v>
      </c>
      <c r="E91">
        <v>5</v>
      </c>
      <c r="F91">
        <v>406.22</v>
      </c>
      <c r="G91" t="s">
        <v>54</v>
      </c>
      <c r="H91" t="s">
        <v>19</v>
      </c>
      <c r="I91">
        <v>256.56</v>
      </c>
      <c r="J91">
        <v>427.6</v>
      </c>
      <c r="K91">
        <v>2</v>
      </c>
      <c r="L91">
        <v>443.54900614723215</v>
      </c>
      <c r="M91">
        <v>513.45666666666671</v>
      </c>
      <c r="N91">
        <v>12592.820000000002</v>
      </c>
      <c r="O91">
        <v>4639.4600000000009</v>
      </c>
      <c r="P91">
        <v>-107.23666666666668</v>
      </c>
      <c r="Q91">
        <v>-0.20885241857475803</v>
      </c>
    </row>
    <row r="92" spans="1:17" x14ac:dyDescent="0.2">
      <c r="A92">
        <v>541</v>
      </c>
      <c r="B92">
        <v>98</v>
      </c>
      <c r="C92" s="1">
        <v>44929</v>
      </c>
      <c r="D92">
        <v>9</v>
      </c>
      <c r="E92">
        <v>10</v>
      </c>
      <c r="F92">
        <v>7026.9120000000003</v>
      </c>
      <c r="G92" t="s">
        <v>110</v>
      </c>
      <c r="H92" t="s">
        <v>19</v>
      </c>
      <c r="I92">
        <v>4684.6080000000002</v>
      </c>
      <c r="J92">
        <v>7807.68</v>
      </c>
      <c r="K92">
        <v>3</v>
      </c>
      <c r="L92">
        <v>9394.8444427656996</v>
      </c>
      <c r="M92">
        <v>6533.69</v>
      </c>
      <c r="N92">
        <v>63242.207999999999</v>
      </c>
      <c r="O92">
        <v>21080.736000000001</v>
      </c>
      <c r="P92">
        <v>493.22200000000066</v>
      </c>
      <c r="Q92">
        <v>7.5489042179840288E-2</v>
      </c>
    </row>
    <row r="93" spans="1:17" x14ac:dyDescent="0.2">
      <c r="A93">
        <v>539</v>
      </c>
      <c r="B93">
        <v>118</v>
      </c>
      <c r="C93" s="1">
        <v>45025</v>
      </c>
      <c r="D93">
        <v>41</v>
      </c>
      <c r="E93">
        <v>2</v>
      </c>
      <c r="F93">
        <v>3086.2649999999999</v>
      </c>
      <c r="G93" t="s">
        <v>130</v>
      </c>
      <c r="H93" t="s">
        <v>19</v>
      </c>
      <c r="I93">
        <v>1889.55</v>
      </c>
      <c r="J93">
        <v>3149.25</v>
      </c>
      <c r="K93">
        <v>5</v>
      </c>
      <c r="L93">
        <v>3700.3995500681235</v>
      </c>
      <c r="M93">
        <v>224.52399999999997</v>
      </c>
      <c r="N93">
        <v>126536.86499999999</v>
      </c>
      <c r="O93">
        <v>49065.314999999995</v>
      </c>
      <c r="P93">
        <v>2861.741</v>
      </c>
      <c r="Q93">
        <v>12.745813365163636</v>
      </c>
    </row>
    <row r="94" spans="1:17" x14ac:dyDescent="0.2">
      <c r="A94">
        <v>93</v>
      </c>
      <c r="B94">
        <v>45</v>
      </c>
      <c r="C94" s="1">
        <v>45617</v>
      </c>
      <c r="D94">
        <v>14</v>
      </c>
      <c r="E94">
        <v>8</v>
      </c>
      <c r="F94">
        <v>4900.278800000001</v>
      </c>
      <c r="G94" t="s">
        <v>57</v>
      </c>
      <c r="H94" t="s">
        <v>19</v>
      </c>
      <c r="I94">
        <v>3195.8340000000003</v>
      </c>
      <c r="J94">
        <v>5326.39</v>
      </c>
      <c r="K94">
        <v>1</v>
      </c>
      <c r="L94">
        <v>5348.2147774767363</v>
      </c>
      <c r="M94">
        <v>4436.1279999999997</v>
      </c>
      <c r="N94">
        <v>68603.903200000015</v>
      </c>
      <c r="O94">
        <v>23862.227200000008</v>
      </c>
      <c r="P94">
        <v>464.15080000000125</v>
      </c>
      <c r="Q94">
        <v>0.10462971311918892</v>
      </c>
    </row>
    <row r="95" spans="1:17" x14ac:dyDescent="0.2">
      <c r="A95">
        <v>94</v>
      </c>
      <c r="B95">
        <v>27</v>
      </c>
      <c r="C95" s="1">
        <v>45810</v>
      </c>
      <c r="D95">
        <v>49</v>
      </c>
      <c r="E95">
        <v>4</v>
      </c>
      <c r="F95">
        <v>1557.9839999999999</v>
      </c>
      <c r="G95" t="s">
        <v>39</v>
      </c>
      <c r="H95" t="s">
        <v>19</v>
      </c>
      <c r="I95">
        <v>973.74</v>
      </c>
      <c r="J95">
        <v>1622.9</v>
      </c>
      <c r="K95">
        <v>1</v>
      </c>
      <c r="L95">
        <v>1676.3666361518494</v>
      </c>
      <c r="M95">
        <v>4440.416666666667</v>
      </c>
      <c r="N95">
        <v>76341.216</v>
      </c>
      <c r="O95">
        <v>28627.955999999995</v>
      </c>
      <c r="P95">
        <v>-2882.432666666667</v>
      </c>
      <c r="Q95">
        <v>-0.64913562916392986</v>
      </c>
    </row>
    <row r="96" spans="1:17" x14ac:dyDescent="0.2">
      <c r="A96">
        <v>537</v>
      </c>
      <c r="B96">
        <v>92</v>
      </c>
      <c r="C96" s="1">
        <v>45326</v>
      </c>
      <c r="D96">
        <v>25</v>
      </c>
      <c r="E96">
        <v>4</v>
      </c>
      <c r="F96">
        <v>3434.8991999999998</v>
      </c>
      <c r="G96" t="s">
        <v>104</v>
      </c>
      <c r="H96" t="s">
        <v>19</v>
      </c>
      <c r="I96">
        <v>2146.8119999999999</v>
      </c>
      <c r="J96">
        <v>3578.02</v>
      </c>
      <c r="K96">
        <v>5</v>
      </c>
      <c r="L96">
        <v>4267.5033549857499</v>
      </c>
      <c r="M96">
        <v>5387.83</v>
      </c>
      <c r="N96">
        <v>85872.48</v>
      </c>
      <c r="O96">
        <v>32202.18</v>
      </c>
      <c r="P96">
        <v>-1952.9308000000001</v>
      </c>
      <c r="Q96">
        <v>-0.36247075353157027</v>
      </c>
    </row>
    <row r="97" spans="1:17" x14ac:dyDescent="0.2">
      <c r="A97">
        <v>512</v>
      </c>
      <c r="B97">
        <v>30</v>
      </c>
      <c r="C97" s="1">
        <v>45323</v>
      </c>
      <c r="D97">
        <v>26</v>
      </c>
      <c r="E97">
        <v>7</v>
      </c>
      <c r="F97">
        <v>1904.9562000000001</v>
      </c>
      <c r="G97" t="s">
        <v>42</v>
      </c>
      <c r="H97" t="s">
        <v>19</v>
      </c>
      <c r="I97">
        <v>1229.0040000000001</v>
      </c>
      <c r="J97">
        <v>2048.34</v>
      </c>
      <c r="K97">
        <v>1</v>
      </c>
      <c r="L97">
        <v>2632.1009133792591</v>
      </c>
      <c r="M97">
        <v>4153.6075000000001</v>
      </c>
      <c r="N97">
        <v>49528.861199999999</v>
      </c>
      <c r="O97">
        <v>17574.7572</v>
      </c>
      <c r="P97">
        <v>-2248.6513</v>
      </c>
      <c r="Q97">
        <v>-0.54137308351836322</v>
      </c>
    </row>
    <row r="98" spans="1:17" x14ac:dyDescent="0.2">
      <c r="A98">
        <v>511</v>
      </c>
      <c r="B98">
        <v>143</v>
      </c>
      <c r="C98" s="1">
        <v>45563</v>
      </c>
      <c r="D98">
        <v>23</v>
      </c>
      <c r="E98">
        <v>10</v>
      </c>
      <c r="F98">
        <v>270.26100000000002</v>
      </c>
      <c r="G98" t="s">
        <v>155</v>
      </c>
      <c r="H98" t="s">
        <v>19</v>
      </c>
      <c r="I98">
        <v>180.17400000000001</v>
      </c>
      <c r="J98">
        <v>300.29000000000002</v>
      </c>
      <c r="K98">
        <v>5</v>
      </c>
      <c r="L98">
        <v>331.91505353148239</v>
      </c>
      <c r="M98">
        <v>2883.9133333333339</v>
      </c>
      <c r="N98">
        <v>6216.0030000000006</v>
      </c>
      <c r="O98">
        <v>2072.0010000000002</v>
      </c>
      <c r="P98">
        <v>-2613.6523333333339</v>
      </c>
      <c r="Q98">
        <v>-0.90628671226828361</v>
      </c>
    </row>
    <row r="99" spans="1:17" x14ac:dyDescent="0.2">
      <c r="A99">
        <v>509</v>
      </c>
      <c r="B99">
        <v>30</v>
      </c>
      <c r="C99" s="1">
        <v>45140</v>
      </c>
      <c r="D99">
        <v>12</v>
      </c>
      <c r="E99">
        <v>9</v>
      </c>
      <c r="F99">
        <v>1863.9894000000002</v>
      </c>
      <c r="G99" t="s">
        <v>42</v>
      </c>
      <c r="H99" t="s">
        <v>19</v>
      </c>
      <c r="I99">
        <v>1229.0040000000001</v>
      </c>
      <c r="J99">
        <v>2048.34</v>
      </c>
      <c r="K99">
        <v>1</v>
      </c>
      <c r="L99">
        <v>2164.3488504155825</v>
      </c>
      <c r="M99">
        <v>4153.6075000000001</v>
      </c>
      <c r="N99">
        <v>22367.872800000001</v>
      </c>
      <c r="O99">
        <v>7619.8248000000003</v>
      </c>
      <c r="P99">
        <v>-2289.6180999999997</v>
      </c>
      <c r="Q99">
        <v>-0.55123602795882842</v>
      </c>
    </row>
    <row r="100" spans="1:17" x14ac:dyDescent="0.2">
      <c r="A100">
        <v>506</v>
      </c>
      <c r="B100">
        <v>46</v>
      </c>
      <c r="C100" s="1">
        <v>45631</v>
      </c>
      <c r="D100">
        <v>32</v>
      </c>
      <c r="E100">
        <v>10</v>
      </c>
      <c r="F100">
        <v>1456.7940000000001</v>
      </c>
      <c r="G100" t="s">
        <v>58</v>
      </c>
      <c r="H100" t="s">
        <v>19</v>
      </c>
      <c r="I100">
        <v>971.19600000000003</v>
      </c>
      <c r="J100">
        <v>1618.66</v>
      </c>
      <c r="K100">
        <v>4</v>
      </c>
      <c r="L100">
        <v>2091.2112947778714</v>
      </c>
      <c r="M100">
        <v>4497.6779999999999</v>
      </c>
      <c r="N100">
        <v>46617.408000000003</v>
      </c>
      <c r="O100">
        <v>15539.136000000002</v>
      </c>
      <c r="P100">
        <v>-3040.884</v>
      </c>
      <c r="Q100">
        <v>-0.6761008680479127</v>
      </c>
    </row>
    <row r="101" spans="1:17" x14ac:dyDescent="0.2">
      <c r="A101">
        <v>496</v>
      </c>
      <c r="B101">
        <v>103</v>
      </c>
      <c r="C101" s="1">
        <v>45180</v>
      </c>
      <c r="D101">
        <v>8</v>
      </c>
      <c r="E101">
        <v>5</v>
      </c>
      <c r="F101">
        <v>6093.3474999999999</v>
      </c>
      <c r="G101" t="s">
        <v>115</v>
      </c>
      <c r="H101" t="s">
        <v>19</v>
      </c>
      <c r="I101">
        <v>3848.43</v>
      </c>
      <c r="J101">
        <v>6414.05</v>
      </c>
      <c r="K101">
        <v>4</v>
      </c>
      <c r="L101">
        <v>7833.8076619348749</v>
      </c>
      <c r="M101">
        <v>6457.8324999999995</v>
      </c>
      <c r="N101">
        <v>48746.78</v>
      </c>
      <c r="O101">
        <v>17959.34</v>
      </c>
      <c r="P101">
        <v>-364.48499999999967</v>
      </c>
      <c r="Q101">
        <v>-5.6440763986987851E-2</v>
      </c>
    </row>
    <row r="102" spans="1:17" x14ac:dyDescent="0.2">
      <c r="A102">
        <v>486</v>
      </c>
      <c r="B102">
        <v>45</v>
      </c>
      <c r="C102" s="1">
        <v>45810</v>
      </c>
      <c r="D102">
        <v>25</v>
      </c>
      <c r="E102">
        <v>2</v>
      </c>
      <c r="F102">
        <v>5219.8622000000005</v>
      </c>
      <c r="G102" t="s">
        <v>57</v>
      </c>
      <c r="H102" t="s">
        <v>19</v>
      </c>
      <c r="I102">
        <v>3195.8340000000003</v>
      </c>
      <c r="J102">
        <v>5326.39</v>
      </c>
      <c r="K102">
        <v>1</v>
      </c>
      <c r="L102">
        <v>6405.3903145499989</v>
      </c>
      <c r="M102">
        <v>4436.1279999999997</v>
      </c>
      <c r="N102">
        <v>130496.55500000001</v>
      </c>
      <c r="O102">
        <v>50600.705000000002</v>
      </c>
      <c r="P102">
        <v>783.73420000000078</v>
      </c>
      <c r="Q102">
        <v>0.17667078136609243</v>
      </c>
    </row>
    <row r="103" spans="1:17" x14ac:dyDescent="0.2">
      <c r="A103">
        <v>102</v>
      </c>
      <c r="B103">
        <v>106</v>
      </c>
      <c r="C103" s="1">
        <v>45495</v>
      </c>
      <c r="D103">
        <v>50</v>
      </c>
      <c r="E103">
        <v>5</v>
      </c>
      <c r="F103">
        <v>1362.3284999999998</v>
      </c>
      <c r="G103" t="s">
        <v>118</v>
      </c>
      <c r="H103" t="s">
        <v>19</v>
      </c>
      <c r="I103">
        <v>860.41800000000001</v>
      </c>
      <c r="J103">
        <v>1434.03</v>
      </c>
      <c r="K103">
        <v>2</v>
      </c>
      <c r="L103">
        <v>1449.2246498436778</v>
      </c>
      <c r="M103">
        <v>695.38400000000001</v>
      </c>
      <c r="N103">
        <v>68116.424999999988</v>
      </c>
      <c r="O103">
        <v>25095.524999999991</v>
      </c>
      <c r="P103">
        <v>666.94449999999983</v>
      </c>
      <c r="Q103">
        <v>0.95910245274553318</v>
      </c>
    </row>
    <row r="104" spans="1:17" x14ac:dyDescent="0.2">
      <c r="A104">
        <v>470</v>
      </c>
      <c r="B104">
        <v>105</v>
      </c>
      <c r="C104" s="1">
        <v>45846</v>
      </c>
      <c r="D104">
        <v>38</v>
      </c>
      <c r="E104">
        <v>5</v>
      </c>
      <c r="F104">
        <v>3935.9259999999999</v>
      </c>
      <c r="G104" t="s">
        <v>117</v>
      </c>
      <c r="H104" t="s">
        <v>19</v>
      </c>
      <c r="I104">
        <v>2485.848</v>
      </c>
      <c r="J104">
        <v>4143.08</v>
      </c>
      <c r="K104">
        <v>3</v>
      </c>
      <c r="L104">
        <v>5157.4278338130434</v>
      </c>
      <c r="M104">
        <v>4778.8849999999993</v>
      </c>
      <c r="N104">
        <v>149565.18799999999</v>
      </c>
      <c r="O104">
        <v>55102.964</v>
      </c>
      <c r="P104">
        <v>-842.95899999999938</v>
      </c>
      <c r="Q104">
        <v>-0.17639240115633656</v>
      </c>
    </row>
    <row r="105" spans="1:17" x14ac:dyDescent="0.2">
      <c r="A105">
        <v>456</v>
      </c>
      <c r="B105">
        <v>92</v>
      </c>
      <c r="C105" s="1">
        <v>45371</v>
      </c>
      <c r="D105">
        <v>22</v>
      </c>
      <c r="E105">
        <v>8</v>
      </c>
      <c r="F105">
        <v>3291.7784000000001</v>
      </c>
      <c r="G105" t="s">
        <v>104</v>
      </c>
      <c r="H105" t="s">
        <v>19</v>
      </c>
      <c r="I105">
        <v>2146.8119999999999</v>
      </c>
      <c r="J105">
        <v>3578.02</v>
      </c>
      <c r="K105">
        <v>5</v>
      </c>
      <c r="L105">
        <v>4032.623227504997</v>
      </c>
      <c r="M105">
        <v>5387.83</v>
      </c>
      <c r="N105">
        <v>72419.124800000005</v>
      </c>
      <c r="O105">
        <v>25189.260800000004</v>
      </c>
      <c r="P105">
        <v>-2096.0515999999998</v>
      </c>
      <c r="Q105">
        <v>-0.38903447213442144</v>
      </c>
    </row>
    <row r="106" spans="1:17" x14ac:dyDescent="0.2">
      <c r="A106">
        <v>444</v>
      </c>
      <c r="B106">
        <v>140</v>
      </c>
      <c r="C106" s="1">
        <v>45752</v>
      </c>
      <c r="D106">
        <v>47</v>
      </c>
      <c r="E106">
        <v>7</v>
      </c>
      <c r="F106">
        <v>831.19679999999994</v>
      </c>
      <c r="G106" t="s">
        <v>152</v>
      </c>
      <c r="H106" t="s">
        <v>19</v>
      </c>
      <c r="I106">
        <v>536.25599999999997</v>
      </c>
      <c r="J106">
        <v>893.76</v>
      </c>
      <c r="K106">
        <v>3</v>
      </c>
      <c r="L106">
        <v>1009.218235919499</v>
      </c>
      <c r="M106">
        <v>4472.5149999999994</v>
      </c>
      <c r="N106">
        <v>39066.249599999996</v>
      </c>
      <c r="O106">
        <v>13862.217599999998</v>
      </c>
      <c r="P106">
        <v>-3641.3181999999997</v>
      </c>
      <c r="Q106">
        <v>-0.81415449696647191</v>
      </c>
    </row>
    <row r="107" spans="1:17" x14ac:dyDescent="0.2">
      <c r="A107">
        <v>441</v>
      </c>
      <c r="B107">
        <v>102</v>
      </c>
      <c r="C107" s="1">
        <v>45977</v>
      </c>
      <c r="D107">
        <v>1</v>
      </c>
      <c r="E107">
        <v>4</v>
      </c>
      <c r="F107">
        <v>3978.1823999999997</v>
      </c>
      <c r="G107" t="s">
        <v>114</v>
      </c>
      <c r="H107" t="s">
        <v>19</v>
      </c>
      <c r="I107">
        <v>2486.3639999999996</v>
      </c>
      <c r="J107">
        <v>4143.9399999999996</v>
      </c>
      <c r="K107">
        <v>4</v>
      </c>
      <c r="L107">
        <v>5266.1026492580058</v>
      </c>
      <c r="M107">
        <v>2740.84</v>
      </c>
      <c r="N107">
        <v>3978.1823999999997</v>
      </c>
      <c r="O107">
        <v>1491.8184000000001</v>
      </c>
      <c r="P107">
        <v>1237.3423999999995</v>
      </c>
      <c r="Q107">
        <v>0.45144641788648715</v>
      </c>
    </row>
    <row r="108" spans="1:17" x14ac:dyDescent="0.2">
      <c r="A108">
        <v>435</v>
      </c>
      <c r="B108">
        <v>141</v>
      </c>
      <c r="C108" s="1">
        <v>45374</v>
      </c>
      <c r="D108">
        <v>18</v>
      </c>
      <c r="E108">
        <v>7</v>
      </c>
      <c r="F108">
        <v>7314.6266999999989</v>
      </c>
      <c r="G108" t="s">
        <v>153</v>
      </c>
      <c r="H108" t="s">
        <v>19</v>
      </c>
      <c r="I108">
        <v>4719.1139999999996</v>
      </c>
      <c r="J108">
        <v>7865.19</v>
      </c>
      <c r="K108">
        <v>5</v>
      </c>
      <c r="L108">
        <v>9636.6847603592632</v>
      </c>
      <c r="M108">
        <v>7586.8133333333344</v>
      </c>
      <c r="N108">
        <v>131663.28059999997</v>
      </c>
      <c r="O108">
        <v>46719.228599999988</v>
      </c>
      <c r="P108">
        <v>-272.18663333333552</v>
      </c>
      <c r="Q108">
        <v>-3.58762791931969E-2</v>
      </c>
    </row>
    <row r="109" spans="1:17" x14ac:dyDescent="0.2">
      <c r="A109">
        <v>413</v>
      </c>
      <c r="B109">
        <v>118</v>
      </c>
      <c r="C109" s="1">
        <v>45827</v>
      </c>
      <c r="D109">
        <v>35</v>
      </c>
      <c r="E109">
        <v>10</v>
      </c>
      <c r="F109">
        <v>2834.3250000000003</v>
      </c>
      <c r="G109" t="s">
        <v>130</v>
      </c>
      <c r="H109" t="s">
        <v>19</v>
      </c>
      <c r="I109">
        <v>1889.55</v>
      </c>
      <c r="J109">
        <v>3149.25</v>
      </c>
      <c r="K109">
        <v>5</v>
      </c>
      <c r="L109">
        <v>3252.9138205417726</v>
      </c>
      <c r="M109">
        <v>224.52399999999997</v>
      </c>
      <c r="N109">
        <v>99201.375000000015</v>
      </c>
      <c r="O109">
        <v>33067.125000000015</v>
      </c>
      <c r="P109">
        <v>2609.8010000000004</v>
      </c>
      <c r="Q109">
        <v>11.623706151680892</v>
      </c>
    </row>
    <row r="110" spans="1:17" x14ac:dyDescent="0.2">
      <c r="A110">
        <v>408</v>
      </c>
      <c r="B110">
        <v>11</v>
      </c>
      <c r="C110" s="1">
        <v>45640</v>
      </c>
      <c r="D110">
        <v>3</v>
      </c>
      <c r="E110">
        <v>4</v>
      </c>
      <c r="F110">
        <v>3072.1919999999996</v>
      </c>
      <c r="G110" t="s">
        <v>22</v>
      </c>
      <c r="H110" t="s">
        <v>19</v>
      </c>
      <c r="I110">
        <v>1920.12</v>
      </c>
      <c r="J110">
        <v>3200.2</v>
      </c>
      <c r="K110">
        <v>1</v>
      </c>
      <c r="L110">
        <v>3955.8073186369566</v>
      </c>
      <c r="M110">
        <v>7089.33</v>
      </c>
      <c r="N110">
        <v>9216.5759999999991</v>
      </c>
      <c r="O110">
        <v>3456.215999999999</v>
      </c>
      <c r="P110">
        <v>-4017.1380000000004</v>
      </c>
      <c r="Q110">
        <v>-0.56664564916571813</v>
      </c>
    </row>
    <row r="111" spans="1:17" x14ac:dyDescent="0.2">
      <c r="A111">
        <v>401</v>
      </c>
      <c r="B111">
        <v>150</v>
      </c>
      <c r="C111" s="1">
        <v>45029</v>
      </c>
      <c r="D111">
        <v>7</v>
      </c>
      <c r="E111">
        <v>2</v>
      </c>
      <c r="F111">
        <v>2243.9255999999996</v>
      </c>
      <c r="G111" t="s">
        <v>162</v>
      </c>
      <c r="H111" t="s">
        <v>19</v>
      </c>
      <c r="I111">
        <v>1373.8319999999999</v>
      </c>
      <c r="J111">
        <v>2289.7199999999998</v>
      </c>
      <c r="K111">
        <v>3</v>
      </c>
      <c r="L111">
        <v>2680.2219303624552</v>
      </c>
      <c r="M111">
        <v>1810.3166666666666</v>
      </c>
      <c r="N111">
        <v>15707.479199999998</v>
      </c>
      <c r="O111">
        <v>6090.6551999999974</v>
      </c>
      <c r="P111">
        <v>433.60893333333297</v>
      </c>
      <c r="Q111">
        <v>0.23952104143842218</v>
      </c>
    </row>
    <row r="112" spans="1:17" x14ac:dyDescent="0.2">
      <c r="A112">
        <v>399</v>
      </c>
      <c r="B112">
        <v>143</v>
      </c>
      <c r="C112" s="1">
        <v>45425</v>
      </c>
      <c r="D112">
        <v>5</v>
      </c>
      <c r="E112">
        <v>5</v>
      </c>
      <c r="F112">
        <v>285.27550000000002</v>
      </c>
      <c r="G112" t="s">
        <v>155</v>
      </c>
      <c r="H112" t="s">
        <v>19</v>
      </c>
      <c r="I112">
        <v>180.17400000000001</v>
      </c>
      <c r="J112">
        <v>300.29000000000002</v>
      </c>
      <c r="K112">
        <v>5</v>
      </c>
      <c r="L112">
        <v>371.59993493300379</v>
      </c>
      <c r="M112">
        <v>2883.9133333333339</v>
      </c>
      <c r="N112">
        <v>1426.3775000000001</v>
      </c>
      <c r="O112">
        <v>525.50750000000005</v>
      </c>
      <c r="P112">
        <v>-2598.6378333333337</v>
      </c>
      <c r="Q112">
        <v>-0.90108041850541043</v>
      </c>
    </row>
    <row r="113" spans="1:17" x14ac:dyDescent="0.2">
      <c r="A113">
        <v>397</v>
      </c>
      <c r="B113">
        <v>30</v>
      </c>
      <c r="C113" s="1">
        <v>45599</v>
      </c>
      <c r="D113">
        <v>14</v>
      </c>
      <c r="E113">
        <v>8</v>
      </c>
      <c r="F113">
        <v>1884.4728000000002</v>
      </c>
      <c r="G113" t="s">
        <v>42</v>
      </c>
      <c r="H113" t="s">
        <v>19</v>
      </c>
      <c r="I113">
        <v>1229.0040000000001</v>
      </c>
      <c r="J113">
        <v>2048.34</v>
      </c>
      <c r="K113">
        <v>1</v>
      </c>
      <c r="L113">
        <v>2403.1008388106484</v>
      </c>
      <c r="M113">
        <v>4153.6075000000001</v>
      </c>
      <c r="N113">
        <v>26382.619200000005</v>
      </c>
      <c r="O113">
        <v>9176.5632000000005</v>
      </c>
      <c r="P113">
        <v>-2269.1346999999996</v>
      </c>
      <c r="Q113">
        <v>-0.54630455573859582</v>
      </c>
    </row>
    <row r="114" spans="1:17" x14ac:dyDescent="0.2">
      <c r="A114">
        <v>386</v>
      </c>
      <c r="B114">
        <v>50</v>
      </c>
      <c r="C114" s="1">
        <v>45523</v>
      </c>
      <c r="D114">
        <v>50</v>
      </c>
      <c r="E114">
        <v>2</v>
      </c>
      <c r="F114">
        <v>1329.566</v>
      </c>
      <c r="G114" t="s">
        <v>62</v>
      </c>
      <c r="H114" t="s">
        <v>19</v>
      </c>
      <c r="I114">
        <v>814.02</v>
      </c>
      <c r="J114">
        <v>1356.7</v>
      </c>
      <c r="K114">
        <v>3</v>
      </c>
      <c r="L114">
        <v>1648.8015248893357</v>
      </c>
      <c r="M114">
        <v>4909.6483333333335</v>
      </c>
      <c r="N114">
        <v>66478.3</v>
      </c>
      <c r="O114">
        <v>25777.300000000003</v>
      </c>
      <c r="P114">
        <v>-3580.0823333333337</v>
      </c>
      <c r="Q114">
        <v>-0.72919323142288883</v>
      </c>
    </row>
    <row r="115" spans="1:17" x14ac:dyDescent="0.2">
      <c r="A115">
        <v>384</v>
      </c>
      <c r="B115">
        <v>8</v>
      </c>
      <c r="C115" s="1">
        <v>45134</v>
      </c>
      <c r="D115">
        <v>44</v>
      </c>
      <c r="E115">
        <v>2</v>
      </c>
      <c r="F115">
        <v>5531.0611999999992</v>
      </c>
      <c r="G115" t="s">
        <v>18</v>
      </c>
      <c r="H115" t="s">
        <v>19</v>
      </c>
      <c r="I115">
        <v>3386.3639999999996</v>
      </c>
      <c r="J115">
        <v>5643.94</v>
      </c>
      <c r="K115">
        <v>2</v>
      </c>
      <c r="L115">
        <v>6172.4228866417725</v>
      </c>
      <c r="M115">
        <v>2853.6650000000004</v>
      </c>
      <c r="N115">
        <v>243366.69279999996</v>
      </c>
      <c r="O115">
        <v>94366.676799999987</v>
      </c>
      <c r="P115">
        <v>2677.3961999999988</v>
      </c>
      <c r="Q115">
        <v>0.9382307313577446</v>
      </c>
    </row>
    <row r="116" spans="1:17" x14ac:dyDescent="0.2">
      <c r="A116">
        <v>372</v>
      </c>
      <c r="B116">
        <v>133</v>
      </c>
      <c r="C116" s="1">
        <v>45445</v>
      </c>
      <c r="D116">
        <v>14</v>
      </c>
      <c r="E116">
        <v>10</v>
      </c>
      <c r="F116">
        <v>5944.41</v>
      </c>
      <c r="G116" t="s">
        <v>145</v>
      </c>
      <c r="H116" t="s">
        <v>19</v>
      </c>
      <c r="I116">
        <v>3962.9399999999996</v>
      </c>
      <c r="J116">
        <v>6604.9</v>
      </c>
      <c r="K116">
        <v>4</v>
      </c>
      <c r="L116">
        <v>6809.7276159075764</v>
      </c>
      <c r="M116">
        <v>4666.1933333333336</v>
      </c>
      <c r="N116">
        <v>83221.739999999991</v>
      </c>
      <c r="O116">
        <v>27740.58</v>
      </c>
      <c r="P116">
        <v>1278.2166666666662</v>
      </c>
      <c r="Q116">
        <v>0.27393135589466922</v>
      </c>
    </row>
    <row r="117" spans="1:17" x14ac:dyDescent="0.2">
      <c r="A117">
        <v>369</v>
      </c>
      <c r="B117">
        <v>133</v>
      </c>
      <c r="C117" s="1">
        <v>45720</v>
      </c>
      <c r="D117">
        <v>30</v>
      </c>
      <c r="E117">
        <v>8</v>
      </c>
      <c r="F117">
        <v>6076.5079999999998</v>
      </c>
      <c r="G117" t="s">
        <v>145</v>
      </c>
      <c r="H117" t="s">
        <v>19</v>
      </c>
      <c r="I117">
        <v>3962.9399999999996</v>
      </c>
      <c r="J117">
        <v>6604.9</v>
      </c>
      <c r="K117">
        <v>4</v>
      </c>
      <c r="L117">
        <v>7417.7808812720659</v>
      </c>
      <c r="M117">
        <v>4666.1933333333336</v>
      </c>
      <c r="N117">
        <v>182295.24</v>
      </c>
      <c r="O117">
        <v>63407.040000000008</v>
      </c>
      <c r="P117">
        <v>1410.3146666666662</v>
      </c>
      <c r="Q117">
        <v>0.30224094158121739</v>
      </c>
    </row>
    <row r="118" spans="1:17" x14ac:dyDescent="0.2">
      <c r="A118">
        <v>367</v>
      </c>
      <c r="B118">
        <v>8</v>
      </c>
      <c r="C118" s="1">
        <v>45411</v>
      </c>
      <c r="D118">
        <v>13</v>
      </c>
      <c r="E118">
        <v>2</v>
      </c>
      <c r="F118">
        <v>5531.0611999999992</v>
      </c>
      <c r="G118" t="s">
        <v>18</v>
      </c>
      <c r="H118" t="s">
        <v>19</v>
      </c>
      <c r="I118">
        <v>3386.3639999999996</v>
      </c>
      <c r="J118">
        <v>5643.94</v>
      </c>
      <c r="K118">
        <v>2</v>
      </c>
      <c r="L118">
        <v>7068.9304026971458</v>
      </c>
      <c r="M118">
        <v>2853.6650000000004</v>
      </c>
      <c r="N118">
        <v>71903.795599999983</v>
      </c>
      <c r="O118">
        <v>27881.063599999994</v>
      </c>
      <c r="P118">
        <v>2677.3961999999988</v>
      </c>
      <c r="Q118">
        <v>0.9382307313577446</v>
      </c>
    </row>
    <row r="119" spans="1:17" x14ac:dyDescent="0.2">
      <c r="A119">
        <v>364</v>
      </c>
      <c r="B119">
        <v>133</v>
      </c>
      <c r="C119" s="1">
        <v>45567</v>
      </c>
      <c r="D119">
        <v>6</v>
      </c>
      <c r="E119">
        <v>10</v>
      </c>
      <c r="F119">
        <v>5944.41</v>
      </c>
      <c r="G119" t="s">
        <v>145</v>
      </c>
      <c r="H119" t="s">
        <v>19</v>
      </c>
      <c r="I119">
        <v>3962.9399999999996</v>
      </c>
      <c r="J119">
        <v>6604.9</v>
      </c>
      <c r="K119">
        <v>4</v>
      </c>
      <c r="L119">
        <v>7490.369950452372</v>
      </c>
      <c r="M119">
        <v>4666.1933333333336</v>
      </c>
      <c r="N119">
        <v>35666.46</v>
      </c>
      <c r="O119">
        <v>11888.820000000002</v>
      </c>
      <c r="P119">
        <v>1278.2166666666662</v>
      </c>
      <c r="Q119">
        <v>0.27393135589466922</v>
      </c>
    </row>
    <row r="120" spans="1:17" x14ac:dyDescent="0.2">
      <c r="A120">
        <v>362</v>
      </c>
      <c r="B120">
        <v>11</v>
      </c>
      <c r="C120" s="1">
        <v>45970</v>
      </c>
      <c r="D120">
        <v>31</v>
      </c>
      <c r="E120">
        <v>2</v>
      </c>
      <c r="F120">
        <v>3136.1959999999999</v>
      </c>
      <c r="G120" t="s">
        <v>22</v>
      </c>
      <c r="H120" t="s">
        <v>19</v>
      </c>
      <c r="I120">
        <v>1920.12</v>
      </c>
      <c r="J120">
        <v>3200.2</v>
      </c>
      <c r="K120">
        <v>1</v>
      </c>
      <c r="L120">
        <v>3978.6518158433187</v>
      </c>
      <c r="M120">
        <v>7089.33</v>
      </c>
      <c r="N120">
        <v>97222.076000000001</v>
      </c>
      <c r="O120">
        <v>37698.356</v>
      </c>
      <c r="P120">
        <v>-3953.134</v>
      </c>
      <c r="Q120">
        <v>-0.55761743352333715</v>
      </c>
    </row>
    <row r="121" spans="1:17" x14ac:dyDescent="0.2">
      <c r="A121">
        <v>360</v>
      </c>
      <c r="B121">
        <v>42</v>
      </c>
      <c r="C121" s="1">
        <v>45465</v>
      </c>
      <c r="D121">
        <v>1</v>
      </c>
      <c r="E121">
        <v>4</v>
      </c>
      <c r="F121">
        <v>410.49599999999998</v>
      </c>
      <c r="G121" t="s">
        <v>54</v>
      </c>
      <c r="H121" t="s">
        <v>19</v>
      </c>
      <c r="I121">
        <v>256.56</v>
      </c>
      <c r="J121">
        <v>427.6</v>
      </c>
      <c r="K121">
        <v>2</v>
      </c>
      <c r="L121">
        <v>449.67471765432214</v>
      </c>
      <c r="M121">
        <v>513.45666666666671</v>
      </c>
      <c r="N121">
        <v>410.49599999999998</v>
      </c>
      <c r="O121">
        <v>153.93599999999998</v>
      </c>
      <c r="P121">
        <v>-102.96066666666673</v>
      </c>
      <c r="Q121">
        <v>-0.20052454929659766</v>
      </c>
    </row>
    <row r="122" spans="1:17" x14ac:dyDescent="0.2">
      <c r="A122">
        <v>354</v>
      </c>
      <c r="B122">
        <v>34</v>
      </c>
      <c r="C122" s="1">
        <v>45018</v>
      </c>
      <c r="D122">
        <v>46</v>
      </c>
      <c r="E122">
        <v>4</v>
      </c>
      <c r="F122">
        <v>1251.2544</v>
      </c>
      <c r="G122" t="s">
        <v>46</v>
      </c>
      <c r="H122" t="s">
        <v>19</v>
      </c>
      <c r="I122">
        <v>782.03399999999999</v>
      </c>
      <c r="J122">
        <v>1303.3900000000001</v>
      </c>
      <c r="K122">
        <v>2</v>
      </c>
      <c r="L122">
        <v>1538.3115974362981</v>
      </c>
      <c r="M122">
        <v>4145.4440000000004</v>
      </c>
      <c r="N122">
        <v>57557.702400000002</v>
      </c>
      <c r="O122">
        <v>21584.138400000003</v>
      </c>
      <c r="P122">
        <v>-2894.1896000000006</v>
      </c>
      <c r="Q122">
        <v>-0.698161547954815</v>
      </c>
    </row>
    <row r="123" spans="1:17" x14ac:dyDescent="0.2">
      <c r="A123">
        <v>348</v>
      </c>
      <c r="B123">
        <v>98</v>
      </c>
      <c r="C123" s="1">
        <v>45853</v>
      </c>
      <c r="D123">
        <v>13</v>
      </c>
      <c r="E123">
        <v>4</v>
      </c>
      <c r="F123">
        <v>7495.3728000000001</v>
      </c>
      <c r="G123" t="s">
        <v>110</v>
      </c>
      <c r="H123" t="s">
        <v>19</v>
      </c>
      <c r="I123">
        <v>4684.6080000000002</v>
      </c>
      <c r="J123">
        <v>7807.68</v>
      </c>
      <c r="K123">
        <v>3</v>
      </c>
      <c r="L123">
        <v>8195.3201144189807</v>
      </c>
      <c r="M123">
        <v>6533.69</v>
      </c>
      <c r="N123">
        <v>97439.846399999995</v>
      </c>
      <c r="O123">
        <v>36539.9424</v>
      </c>
      <c r="P123">
        <v>961.6828000000005</v>
      </c>
      <c r="Q123">
        <v>0.14718831165849627</v>
      </c>
    </row>
    <row r="124" spans="1:17" x14ac:dyDescent="0.2">
      <c r="A124">
        <v>336</v>
      </c>
      <c r="B124">
        <v>30</v>
      </c>
      <c r="C124" s="1">
        <v>45994</v>
      </c>
      <c r="D124">
        <v>37</v>
      </c>
      <c r="E124">
        <v>6</v>
      </c>
      <c r="F124">
        <v>1925.4395999999999</v>
      </c>
      <c r="G124" t="s">
        <v>42</v>
      </c>
      <c r="H124" t="s">
        <v>19</v>
      </c>
      <c r="I124">
        <v>1229.0040000000001</v>
      </c>
      <c r="J124">
        <v>2048.34</v>
      </c>
      <c r="K124">
        <v>1</v>
      </c>
      <c r="L124">
        <v>2148.177865295123</v>
      </c>
      <c r="M124">
        <v>4153.6075000000001</v>
      </c>
      <c r="N124">
        <v>71241.265199999994</v>
      </c>
      <c r="O124">
        <v>25768.117199999993</v>
      </c>
      <c r="P124">
        <v>-2228.1679000000004</v>
      </c>
      <c r="Q124">
        <v>-0.53644161129813073</v>
      </c>
    </row>
    <row r="125" spans="1:17" x14ac:dyDescent="0.2">
      <c r="A125">
        <v>334</v>
      </c>
      <c r="B125">
        <v>116</v>
      </c>
      <c r="C125" s="1">
        <v>45522</v>
      </c>
      <c r="D125">
        <v>22</v>
      </c>
      <c r="E125">
        <v>7</v>
      </c>
      <c r="F125">
        <v>2197.7294999999999</v>
      </c>
      <c r="G125" t="s">
        <v>128</v>
      </c>
      <c r="H125" t="s">
        <v>19</v>
      </c>
      <c r="I125">
        <v>1417.89</v>
      </c>
      <c r="J125">
        <v>2363.15</v>
      </c>
      <c r="K125">
        <v>5</v>
      </c>
      <c r="L125">
        <v>2496.1949238483821</v>
      </c>
      <c r="M125">
        <v>4469.4999999999991</v>
      </c>
      <c r="N125">
        <v>48350.048999999999</v>
      </c>
      <c r="O125">
        <v>17156.468999999997</v>
      </c>
      <c r="P125">
        <v>-2271.7704999999992</v>
      </c>
      <c r="Q125">
        <v>-0.50828291755229882</v>
      </c>
    </row>
    <row r="126" spans="1:17" x14ac:dyDescent="0.2">
      <c r="A126">
        <v>327</v>
      </c>
      <c r="B126">
        <v>8</v>
      </c>
      <c r="C126" s="1">
        <v>45298</v>
      </c>
      <c r="D126">
        <v>36</v>
      </c>
      <c r="E126">
        <v>9</v>
      </c>
      <c r="F126">
        <v>5135.9853999999996</v>
      </c>
      <c r="G126" t="s">
        <v>18</v>
      </c>
      <c r="H126" t="s">
        <v>19</v>
      </c>
      <c r="I126">
        <v>3386.3639999999996</v>
      </c>
      <c r="J126">
        <v>5643.94</v>
      </c>
      <c r="K126">
        <v>2</v>
      </c>
      <c r="L126">
        <v>6414.1918547767673</v>
      </c>
      <c r="M126">
        <v>2853.6650000000004</v>
      </c>
      <c r="N126">
        <v>184895.47439999998</v>
      </c>
      <c r="O126">
        <v>62986.3704</v>
      </c>
      <c r="P126">
        <v>2282.3203999999992</v>
      </c>
      <c r="Q126">
        <v>0.79978567911790588</v>
      </c>
    </row>
    <row r="127" spans="1:17" x14ac:dyDescent="0.2">
      <c r="A127">
        <v>322</v>
      </c>
      <c r="B127">
        <v>69</v>
      </c>
      <c r="C127" s="1">
        <v>45002</v>
      </c>
      <c r="D127">
        <v>15</v>
      </c>
      <c r="E127">
        <v>9</v>
      </c>
      <c r="F127">
        <v>6787.4170000000004</v>
      </c>
      <c r="G127" t="s">
        <v>81</v>
      </c>
      <c r="H127" t="s">
        <v>19</v>
      </c>
      <c r="I127">
        <v>4475.2199999999993</v>
      </c>
      <c r="J127">
        <v>7458.7</v>
      </c>
      <c r="K127">
        <v>3</v>
      </c>
      <c r="L127">
        <v>9411.7248280297881</v>
      </c>
      <c r="M127">
        <v>809.57599999999991</v>
      </c>
      <c r="N127">
        <v>101811.255</v>
      </c>
      <c r="O127">
        <v>34682.955000000016</v>
      </c>
      <c r="P127">
        <v>5977.8410000000003</v>
      </c>
      <c r="Q127">
        <v>7.3839157781357168</v>
      </c>
    </row>
    <row r="128" spans="1:17" x14ac:dyDescent="0.2">
      <c r="A128">
        <v>127</v>
      </c>
      <c r="B128">
        <v>73</v>
      </c>
      <c r="C128" s="1">
        <v>46005</v>
      </c>
      <c r="D128">
        <v>28</v>
      </c>
      <c r="E128">
        <v>7</v>
      </c>
      <c r="F128">
        <v>4218.0986999999996</v>
      </c>
      <c r="G128" t="s">
        <v>85</v>
      </c>
      <c r="H128" t="s">
        <v>19</v>
      </c>
      <c r="I128">
        <v>2721.3539999999998</v>
      </c>
      <c r="J128">
        <v>4535.59</v>
      </c>
      <c r="K128">
        <v>1</v>
      </c>
      <c r="L128">
        <v>5595.4253765184258</v>
      </c>
      <c r="M128">
        <v>5380.9516666666668</v>
      </c>
      <c r="N128">
        <v>118106.76359999999</v>
      </c>
      <c r="O128">
        <v>41908.851599999995</v>
      </c>
      <c r="P128">
        <v>-1162.8529666666673</v>
      </c>
      <c r="Q128">
        <v>-0.21610544727063469</v>
      </c>
    </row>
    <row r="129" spans="1:17" x14ac:dyDescent="0.2">
      <c r="A129">
        <v>128</v>
      </c>
      <c r="B129">
        <v>46</v>
      </c>
      <c r="C129" s="1">
        <v>45721</v>
      </c>
      <c r="D129">
        <v>45</v>
      </c>
      <c r="E129">
        <v>3</v>
      </c>
      <c r="F129">
        <v>1570.1002000000001</v>
      </c>
      <c r="G129" t="s">
        <v>58</v>
      </c>
      <c r="H129" t="s">
        <v>19</v>
      </c>
      <c r="I129">
        <v>971.19600000000003</v>
      </c>
      <c r="J129">
        <v>1618.66</v>
      </c>
      <c r="K129">
        <v>4</v>
      </c>
      <c r="L129">
        <v>1765.804741807219</v>
      </c>
      <c r="M129">
        <v>4497.6779999999999</v>
      </c>
      <c r="N129">
        <v>70654.509000000005</v>
      </c>
      <c r="O129">
        <v>26950.689000000002</v>
      </c>
      <c r="P129">
        <v>-2927.5778</v>
      </c>
      <c r="Q129">
        <v>-0.65090871334052813</v>
      </c>
    </row>
    <row r="130" spans="1:17" x14ac:dyDescent="0.2">
      <c r="A130">
        <v>319</v>
      </c>
      <c r="B130">
        <v>42</v>
      </c>
      <c r="C130" s="1">
        <v>45245</v>
      </c>
      <c r="D130">
        <v>38</v>
      </c>
      <c r="E130">
        <v>2</v>
      </c>
      <c r="F130">
        <v>419.048</v>
      </c>
      <c r="G130" t="s">
        <v>54</v>
      </c>
      <c r="H130" t="s">
        <v>19</v>
      </c>
      <c r="I130">
        <v>256.56</v>
      </c>
      <c r="J130">
        <v>427.6</v>
      </c>
      <c r="K130">
        <v>2</v>
      </c>
      <c r="L130">
        <v>491.60483810484624</v>
      </c>
      <c r="M130">
        <v>513.45666666666671</v>
      </c>
      <c r="N130">
        <v>15923.824000000001</v>
      </c>
      <c r="O130">
        <v>6174.5439999999999</v>
      </c>
      <c r="P130">
        <v>-94.408666666666704</v>
      </c>
      <c r="Q130">
        <v>-0.18386881074027675</v>
      </c>
    </row>
    <row r="131" spans="1:17" x14ac:dyDescent="0.2">
      <c r="A131">
        <v>130</v>
      </c>
      <c r="B131">
        <v>116</v>
      </c>
      <c r="C131" s="1">
        <v>45234</v>
      </c>
      <c r="D131">
        <v>29</v>
      </c>
      <c r="E131">
        <v>9</v>
      </c>
      <c r="F131">
        <v>2150.4665</v>
      </c>
      <c r="G131" t="s">
        <v>128</v>
      </c>
      <c r="H131" t="s">
        <v>19</v>
      </c>
      <c r="I131">
        <v>1417.89</v>
      </c>
      <c r="J131">
        <v>2363.15</v>
      </c>
      <c r="K131">
        <v>5</v>
      </c>
      <c r="L131">
        <v>2796.3804908417233</v>
      </c>
      <c r="M131">
        <v>4469.4999999999991</v>
      </c>
      <c r="N131">
        <v>62363.5285</v>
      </c>
      <c r="O131">
        <v>21244.718499999995</v>
      </c>
      <c r="P131">
        <v>-2319.0334999999991</v>
      </c>
      <c r="Q131">
        <v>-0.51885747846515262</v>
      </c>
    </row>
    <row r="132" spans="1:17" x14ac:dyDescent="0.2">
      <c r="A132">
        <v>316</v>
      </c>
      <c r="B132">
        <v>118</v>
      </c>
      <c r="C132" s="1">
        <v>45679</v>
      </c>
      <c r="D132">
        <v>29</v>
      </c>
      <c r="E132">
        <v>6</v>
      </c>
      <c r="F132">
        <v>2960.2949999999996</v>
      </c>
      <c r="G132" t="s">
        <v>130</v>
      </c>
      <c r="H132" t="s">
        <v>19</v>
      </c>
      <c r="I132">
        <v>1889.55</v>
      </c>
      <c r="J132">
        <v>3149.25</v>
      </c>
      <c r="K132">
        <v>5</v>
      </c>
      <c r="L132">
        <v>3329.8682580649843</v>
      </c>
      <c r="M132">
        <v>224.52399999999997</v>
      </c>
      <c r="N132">
        <v>85848.554999999993</v>
      </c>
      <c r="O132">
        <v>31051.604999999989</v>
      </c>
      <c r="P132">
        <v>2735.7709999999997</v>
      </c>
      <c r="Q132">
        <v>12.184759758422263</v>
      </c>
    </row>
    <row r="133" spans="1:17" x14ac:dyDescent="0.2">
      <c r="A133">
        <v>314</v>
      </c>
      <c r="B133">
        <v>34</v>
      </c>
      <c r="C133" s="1">
        <v>45227</v>
      </c>
      <c r="D133">
        <v>4</v>
      </c>
      <c r="E133">
        <v>4</v>
      </c>
      <c r="F133">
        <v>1251.2544</v>
      </c>
      <c r="G133" t="s">
        <v>46</v>
      </c>
      <c r="H133" t="s">
        <v>19</v>
      </c>
      <c r="I133">
        <v>782.03399999999999</v>
      </c>
      <c r="J133">
        <v>1303.3900000000001</v>
      </c>
      <c r="K133">
        <v>2</v>
      </c>
      <c r="L133">
        <v>1618.0989992639982</v>
      </c>
      <c r="M133">
        <v>4145.4440000000004</v>
      </c>
      <c r="N133">
        <v>5005.0176000000001</v>
      </c>
      <c r="O133">
        <v>1876.8816000000002</v>
      </c>
      <c r="P133">
        <v>-2894.1896000000006</v>
      </c>
      <c r="Q133">
        <v>-0.698161547954815</v>
      </c>
    </row>
    <row r="134" spans="1:17" x14ac:dyDescent="0.2">
      <c r="A134">
        <v>306</v>
      </c>
      <c r="B134">
        <v>103</v>
      </c>
      <c r="C134" s="1">
        <v>45683</v>
      </c>
      <c r="D134">
        <v>8</v>
      </c>
      <c r="E134">
        <v>10</v>
      </c>
      <c r="F134">
        <v>5772.6450000000004</v>
      </c>
      <c r="G134" t="s">
        <v>115</v>
      </c>
      <c r="H134" t="s">
        <v>19</v>
      </c>
      <c r="I134">
        <v>3848.43</v>
      </c>
      <c r="J134">
        <v>6414.05</v>
      </c>
      <c r="K134">
        <v>4</v>
      </c>
      <c r="L134">
        <v>7720.1605010445328</v>
      </c>
      <c r="M134">
        <v>6457.8324999999995</v>
      </c>
      <c r="N134">
        <v>46181.16</v>
      </c>
      <c r="O134">
        <v>15393.720000000005</v>
      </c>
      <c r="P134">
        <v>-685.18749999999909</v>
      </c>
      <c r="Q134">
        <v>-0.10610177640872524</v>
      </c>
    </row>
    <row r="135" spans="1:17" x14ac:dyDescent="0.2">
      <c r="A135">
        <v>134</v>
      </c>
      <c r="B135">
        <v>105</v>
      </c>
      <c r="C135" s="1">
        <v>45908</v>
      </c>
      <c r="D135">
        <v>29</v>
      </c>
      <c r="E135">
        <v>6</v>
      </c>
      <c r="F135">
        <v>3894.4951999999998</v>
      </c>
      <c r="G135" t="s">
        <v>117</v>
      </c>
      <c r="H135" t="s">
        <v>19</v>
      </c>
      <c r="I135">
        <v>2485.848</v>
      </c>
      <c r="J135">
        <v>4143.08</v>
      </c>
      <c r="K135">
        <v>3</v>
      </c>
      <c r="L135">
        <v>5354.9779214739037</v>
      </c>
      <c r="M135">
        <v>4778.8849999999993</v>
      </c>
      <c r="N135">
        <v>112940.36079999999</v>
      </c>
      <c r="O135">
        <v>40850.768799999998</v>
      </c>
      <c r="P135">
        <v>-884.38979999999947</v>
      </c>
      <c r="Q135">
        <v>-0.18506195482837515</v>
      </c>
    </row>
    <row r="136" spans="1:17" x14ac:dyDescent="0.2">
      <c r="A136">
        <v>135</v>
      </c>
      <c r="B136">
        <v>141</v>
      </c>
      <c r="C136" s="1">
        <v>45715</v>
      </c>
      <c r="D136">
        <v>33</v>
      </c>
      <c r="E136">
        <v>3</v>
      </c>
      <c r="F136">
        <v>7629.2342999999992</v>
      </c>
      <c r="G136" t="s">
        <v>153</v>
      </c>
      <c r="H136" t="s">
        <v>19</v>
      </c>
      <c r="I136">
        <v>4719.1139999999996</v>
      </c>
      <c r="J136">
        <v>7865.19</v>
      </c>
      <c r="K136">
        <v>5</v>
      </c>
      <c r="L136">
        <v>8883.6060969308855</v>
      </c>
      <c r="M136">
        <v>7586.8133333333344</v>
      </c>
      <c r="N136">
        <v>251764.73189999998</v>
      </c>
      <c r="O136">
        <v>96033.969899999982</v>
      </c>
      <c r="P136">
        <v>42.420966666664754</v>
      </c>
      <c r="Q136">
        <v>5.5914077232247818E-3</v>
      </c>
    </row>
    <row r="137" spans="1:17" x14ac:dyDescent="0.2">
      <c r="A137">
        <v>298</v>
      </c>
      <c r="B137">
        <v>50</v>
      </c>
      <c r="C137" s="1">
        <v>45606</v>
      </c>
      <c r="D137">
        <v>34</v>
      </c>
      <c r="E137">
        <v>7</v>
      </c>
      <c r="F137">
        <v>1261.731</v>
      </c>
      <c r="G137" t="s">
        <v>62</v>
      </c>
      <c r="H137" t="s">
        <v>19</v>
      </c>
      <c r="I137">
        <v>814.02</v>
      </c>
      <c r="J137">
        <v>1356.7</v>
      </c>
      <c r="K137">
        <v>3</v>
      </c>
      <c r="L137">
        <v>1620.4363870484283</v>
      </c>
      <c r="M137">
        <v>4909.6483333333335</v>
      </c>
      <c r="N137">
        <v>42898.853999999999</v>
      </c>
      <c r="O137">
        <v>15222.174000000001</v>
      </c>
      <c r="P137">
        <v>-3647.9173333333338</v>
      </c>
      <c r="Q137">
        <v>-0.74300990328906791</v>
      </c>
    </row>
    <row r="138" spans="1:17" x14ac:dyDescent="0.2">
      <c r="A138">
        <v>289</v>
      </c>
      <c r="B138">
        <v>86</v>
      </c>
      <c r="C138" s="1">
        <v>45587</v>
      </c>
      <c r="D138">
        <v>11</v>
      </c>
      <c r="E138">
        <v>4</v>
      </c>
      <c r="F138">
        <v>2997.9935999999998</v>
      </c>
      <c r="G138" t="s">
        <v>98</v>
      </c>
      <c r="H138" t="s">
        <v>19</v>
      </c>
      <c r="I138">
        <v>1873.7459999999999</v>
      </c>
      <c r="J138">
        <v>3122.91</v>
      </c>
      <c r="K138">
        <v>4</v>
      </c>
      <c r="L138">
        <v>4053.5625487818593</v>
      </c>
      <c r="M138">
        <v>2919.076</v>
      </c>
      <c r="N138">
        <v>32977.929599999996</v>
      </c>
      <c r="O138">
        <v>12366.723599999999</v>
      </c>
      <c r="P138">
        <v>78.917599999999766</v>
      </c>
      <c r="Q138">
        <v>2.7035130294654805E-2</v>
      </c>
    </row>
    <row r="139" spans="1:17" x14ac:dyDescent="0.2">
      <c r="A139">
        <v>138</v>
      </c>
      <c r="B139">
        <v>92</v>
      </c>
      <c r="C139" s="1">
        <v>45263</v>
      </c>
      <c r="D139">
        <v>35</v>
      </c>
      <c r="E139">
        <v>10</v>
      </c>
      <c r="F139">
        <v>3220.2179999999998</v>
      </c>
      <c r="G139" t="s">
        <v>104</v>
      </c>
      <c r="H139" t="s">
        <v>19</v>
      </c>
      <c r="I139">
        <v>2146.8119999999999</v>
      </c>
      <c r="J139">
        <v>3578.02</v>
      </c>
      <c r="K139">
        <v>5</v>
      </c>
      <c r="L139">
        <v>3836.5910804032846</v>
      </c>
      <c r="M139">
        <v>5387.83</v>
      </c>
      <c r="N139">
        <v>112707.62999999999</v>
      </c>
      <c r="O139">
        <v>37569.21</v>
      </c>
      <c r="P139">
        <v>-2167.6120000000001</v>
      </c>
      <c r="Q139">
        <v>-0.40231633143584711</v>
      </c>
    </row>
    <row r="140" spans="1:17" x14ac:dyDescent="0.2">
      <c r="A140">
        <v>139</v>
      </c>
      <c r="B140">
        <v>46</v>
      </c>
      <c r="C140" s="1">
        <v>45888</v>
      </c>
      <c r="D140">
        <v>8</v>
      </c>
      <c r="E140">
        <v>8</v>
      </c>
      <c r="F140">
        <v>1489.1672000000001</v>
      </c>
      <c r="G140" t="s">
        <v>58</v>
      </c>
      <c r="H140" t="s">
        <v>19</v>
      </c>
      <c r="I140">
        <v>971.19600000000003</v>
      </c>
      <c r="J140">
        <v>1618.66</v>
      </c>
      <c r="K140">
        <v>4</v>
      </c>
      <c r="L140">
        <v>1716.9367958175808</v>
      </c>
      <c r="M140">
        <v>4497.6779999999999</v>
      </c>
      <c r="N140">
        <v>11913.337600000001</v>
      </c>
      <c r="O140">
        <v>4143.7696000000005</v>
      </c>
      <c r="P140">
        <v>-3008.5108</v>
      </c>
      <c r="Q140">
        <v>-0.66890310956008858</v>
      </c>
    </row>
    <row r="141" spans="1:17" x14ac:dyDescent="0.2">
      <c r="A141">
        <v>286</v>
      </c>
      <c r="B141">
        <v>30</v>
      </c>
      <c r="C141" s="1">
        <v>45383</v>
      </c>
      <c r="D141">
        <v>28</v>
      </c>
      <c r="E141">
        <v>5</v>
      </c>
      <c r="F141">
        <v>1945.923</v>
      </c>
      <c r="G141" t="s">
        <v>42</v>
      </c>
      <c r="H141" t="s">
        <v>19</v>
      </c>
      <c r="I141">
        <v>1229.0040000000001</v>
      </c>
      <c r="J141">
        <v>2048.34</v>
      </c>
      <c r="K141">
        <v>1</v>
      </c>
      <c r="L141">
        <v>2140.7056424833154</v>
      </c>
      <c r="M141">
        <v>4153.6075000000001</v>
      </c>
      <c r="N141">
        <v>54485.843999999997</v>
      </c>
      <c r="O141">
        <v>20073.731999999996</v>
      </c>
      <c r="P141">
        <v>-2207.6845000000003</v>
      </c>
      <c r="Q141">
        <v>-0.53151013907789801</v>
      </c>
    </row>
    <row r="142" spans="1:17" x14ac:dyDescent="0.2">
      <c r="A142">
        <v>265</v>
      </c>
      <c r="B142">
        <v>98</v>
      </c>
      <c r="C142" s="1">
        <v>45270</v>
      </c>
      <c r="D142">
        <v>47</v>
      </c>
      <c r="E142">
        <v>10</v>
      </c>
      <c r="F142">
        <v>7026.9120000000003</v>
      </c>
      <c r="G142" t="s">
        <v>110</v>
      </c>
      <c r="H142" t="s">
        <v>19</v>
      </c>
      <c r="I142">
        <v>4684.6080000000002</v>
      </c>
      <c r="J142">
        <v>7807.68</v>
      </c>
      <c r="K142">
        <v>3</v>
      </c>
      <c r="L142">
        <v>8783.4100924812883</v>
      </c>
      <c r="M142">
        <v>6533.69</v>
      </c>
      <c r="N142">
        <v>330264.864</v>
      </c>
      <c r="O142">
        <v>110088.288</v>
      </c>
      <c r="P142">
        <v>493.22200000000066</v>
      </c>
      <c r="Q142">
        <v>7.5489042179840288E-2</v>
      </c>
    </row>
    <row r="143" spans="1:17" x14ac:dyDescent="0.2">
      <c r="A143">
        <v>142</v>
      </c>
      <c r="B143">
        <v>116</v>
      </c>
      <c r="C143" s="1">
        <v>45036</v>
      </c>
      <c r="D143">
        <v>44</v>
      </c>
      <c r="E143">
        <v>4</v>
      </c>
      <c r="F143">
        <v>2268.6239999999998</v>
      </c>
      <c r="G143" t="s">
        <v>128</v>
      </c>
      <c r="H143" t="s">
        <v>19</v>
      </c>
      <c r="I143">
        <v>1417.89</v>
      </c>
      <c r="J143">
        <v>2363.15</v>
      </c>
      <c r="K143">
        <v>5</v>
      </c>
      <c r="L143">
        <v>2596.0878239540257</v>
      </c>
      <c r="M143">
        <v>4469.4999999999991</v>
      </c>
      <c r="N143">
        <v>99819.455999999991</v>
      </c>
      <c r="O143">
        <v>37432.295999999988</v>
      </c>
      <c r="P143">
        <v>-2200.8759999999993</v>
      </c>
      <c r="Q143">
        <v>-0.49242107618301817</v>
      </c>
    </row>
    <row r="144" spans="1:17" x14ac:dyDescent="0.2">
      <c r="A144">
        <v>264</v>
      </c>
      <c r="B144">
        <v>30</v>
      </c>
      <c r="C144" s="1">
        <v>45053</v>
      </c>
      <c r="D144">
        <v>39</v>
      </c>
      <c r="E144">
        <v>6</v>
      </c>
      <c r="F144">
        <v>1925.4395999999999</v>
      </c>
      <c r="G144" t="s">
        <v>42</v>
      </c>
      <c r="H144" t="s">
        <v>19</v>
      </c>
      <c r="I144">
        <v>1229.0040000000001</v>
      </c>
      <c r="J144">
        <v>2048.34</v>
      </c>
      <c r="K144">
        <v>1</v>
      </c>
      <c r="L144">
        <v>2361.3754310087097</v>
      </c>
      <c r="M144">
        <v>4153.6075000000001</v>
      </c>
      <c r="N144">
        <v>75092.14439999999</v>
      </c>
      <c r="O144">
        <v>27160.988399999991</v>
      </c>
      <c r="P144">
        <v>-2228.1679000000004</v>
      </c>
      <c r="Q144">
        <v>-0.53644161129813073</v>
      </c>
    </row>
    <row r="145" spans="1:17" x14ac:dyDescent="0.2">
      <c r="A145">
        <v>258</v>
      </c>
      <c r="B145">
        <v>92</v>
      </c>
      <c r="C145" s="1">
        <v>45255</v>
      </c>
      <c r="D145">
        <v>22</v>
      </c>
      <c r="E145">
        <v>9</v>
      </c>
      <c r="F145">
        <v>3255.9982</v>
      </c>
      <c r="G145" t="s">
        <v>104</v>
      </c>
      <c r="H145" t="s">
        <v>19</v>
      </c>
      <c r="I145">
        <v>2146.8119999999999</v>
      </c>
      <c r="J145">
        <v>3578.02</v>
      </c>
      <c r="K145">
        <v>5</v>
      </c>
      <c r="L145">
        <v>4012.78545881234</v>
      </c>
      <c r="M145">
        <v>5387.83</v>
      </c>
      <c r="N145">
        <v>71631.960399999996</v>
      </c>
      <c r="O145">
        <v>24402.096400000002</v>
      </c>
      <c r="P145">
        <v>-2131.8317999999999</v>
      </c>
      <c r="Q145">
        <v>-0.39567540178513427</v>
      </c>
    </row>
    <row r="146" spans="1:17" x14ac:dyDescent="0.2">
      <c r="A146">
        <v>145</v>
      </c>
      <c r="B146">
        <v>140</v>
      </c>
      <c r="C146" s="1">
        <v>45001</v>
      </c>
      <c r="D146">
        <v>42</v>
      </c>
      <c r="E146">
        <v>9</v>
      </c>
      <c r="F146">
        <v>813.32159999999999</v>
      </c>
      <c r="G146" t="s">
        <v>152</v>
      </c>
      <c r="H146" t="s">
        <v>19</v>
      </c>
      <c r="I146">
        <v>536.25599999999997</v>
      </c>
      <c r="J146">
        <v>893.76</v>
      </c>
      <c r="K146">
        <v>3</v>
      </c>
      <c r="L146">
        <v>1082.2847234535923</v>
      </c>
      <c r="M146">
        <v>4472.5149999999994</v>
      </c>
      <c r="N146">
        <v>34159.5072</v>
      </c>
      <c r="O146">
        <v>11636.755200000001</v>
      </c>
      <c r="P146">
        <v>-3659.1933999999992</v>
      </c>
      <c r="Q146">
        <v>-0.81815117445106378</v>
      </c>
    </row>
    <row r="147" spans="1:17" x14ac:dyDescent="0.2">
      <c r="A147">
        <v>251</v>
      </c>
      <c r="B147">
        <v>8</v>
      </c>
      <c r="C147" s="1">
        <v>46017</v>
      </c>
      <c r="D147">
        <v>39</v>
      </c>
      <c r="E147">
        <v>10</v>
      </c>
      <c r="F147">
        <v>5079.5459999999994</v>
      </c>
      <c r="G147" t="s">
        <v>18</v>
      </c>
      <c r="H147" t="s">
        <v>19</v>
      </c>
      <c r="I147">
        <v>3386.3639999999996</v>
      </c>
      <c r="J147">
        <v>5643.94</v>
      </c>
      <c r="K147">
        <v>2</v>
      </c>
      <c r="L147">
        <v>6157.0373921784594</v>
      </c>
      <c r="M147">
        <v>2853.6650000000004</v>
      </c>
      <c r="N147">
        <v>198102.29399999997</v>
      </c>
      <c r="O147">
        <v>66034.097999999998</v>
      </c>
      <c r="P147">
        <v>2225.8809999999989</v>
      </c>
      <c r="Q147">
        <v>0.78000781451221446</v>
      </c>
    </row>
    <row r="148" spans="1:17" x14ac:dyDescent="0.2">
      <c r="A148">
        <v>249</v>
      </c>
      <c r="B148">
        <v>133</v>
      </c>
      <c r="C148" s="1">
        <v>45677</v>
      </c>
      <c r="D148">
        <v>2</v>
      </c>
      <c r="E148">
        <v>5</v>
      </c>
      <c r="F148">
        <v>6274.6549999999997</v>
      </c>
      <c r="G148" t="s">
        <v>145</v>
      </c>
      <c r="H148" t="s">
        <v>19</v>
      </c>
      <c r="I148">
        <v>3962.9399999999996</v>
      </c>
      <c r="J148">
        <v>6604.9</v>
      </c>
      <c r="K148">
        <v>4</v>
      </c>
      <c r="L148">
        <v>8584.1948181794469</v>
      </c>
      <c r="M148">
        <v>4666.1933333333336</v>
      </c>
      <c r="N148">
        <v>12549.31</v>
      </c>
      <c r="O148">
        <v>4623.43</v>
      </c>
      <c r="P148">
        <v>1608.4616666666661</v>
      </c>
      <c r="Q148">
        <v>0.34470532011103971</v>
      </c>
    </row>
    <row r="149" spans="1:17" x14ac:dyDescent="0.2">
      <c r="A149">
        <v>148</v>
      </c>
      <c r="B149">
        <v>92</v>
      </c>
      <c r="C149" s="1">
        <v>45486</v>
      </c>
      <c r="D149">
        <v>37</v>
      </c>
      <c r="E149">
        <v>6</v>
      </c>
      <c r="F149">
        <v>3363.3388</v>
      </c>
      <c r="G149" t="s">
        <v>104</v>
      </c>
      <c r="H149" t="s">
        <v>19</v>
      </c>
      <c r="I149">
        <v>2146.8119999999999</v>
      </c>
      <c r="J149">
        <v>3578.02</v>
      </c>
      <c r="K149">
        <v>5</v>
      </c>
      <c r="L149">
        <v>4096.6057218766773</v>
      </c>
      <c r="M149">
        <v>5387.83</v>
      </c>
      <c r="N149">
        <v>124443.5356</v>
      </c>
      <c r="O149">
        <v>45011.491600000001</v>
      </c>
      <c r="P149">
        <v>-2024.4911999999999</v>
      </c>
      <c r="Q149">
        <v>-0.37575261283299582</v>
      </c>
    </row>
    <row r="150" spans="1:17" x14ac:dyDescent="0.2">
      <c r="A150">
        <v>246</v>
      </c>
      <c r="B150">
        <v>106</v>
      </c>
      <c r="C150" s="1">
        <v>45226</v>
      </c>
      <c r="D150">
        <v>7</v>
      </c>
      <c r="E150">
        <v>7</v>
      </c>
      <c r="F150">
        <v>1333.6478999999999</v>
      </c>
      <c r="G150" t="s">
        <v>118</v>
      </c>
      <c r="H150" t="s">
        <v>19</v>
      </c>
      <c r="I150">
        <v>860.41800000000001</v>
      </c>
      <c r="J150">
        <v>1434.03</v>
      </c>
      <c r="K150">
        <v>2</v>
      </c>
      <c r="L150">
        <v>1724.3612793567027</v>
      </c>
      <c r="M150">
        <v>695.38400000000001</v>
      </c>
      <c r="N150">
        <v>9335.5352999999996</v>
      </c>
      <c r="O150">
        <v>3312.6092999999996</v>
      </c>
      <c r="P150">
        <v>638.26389999999992</v>
      </c>
      <c r="Q150">
        <v>0.91785819058246942</v>
      </c>
    </row>
    <row r="151" spans="1:17" x14ac:dyDescent="0.2">
      <c r="A151">
        <v>245</v>
      </c>
      <c r="B151">
        <v>141</v>
      </c>
      <c r="C151" s="1">
        <v>45626</v>
      </c>
      <c r="D151">
        <v>40</v>
      </c>
      <c r="E151">
        <v>3</v>
      </c>
      <c r="F151">
        <v>7629.2342999999992</v>
      </c>
      <c r="G151" t="s">
        <v>153</v>
      </c>
      <c r="H151" t="s">
        <v>19</v>
      </c>
      <c r="I151">
        <v>4719.1139999999996</v>
      </c>
      <c r="J151">
        <v>7865.19</v>
      </c>
      <c r="K151">
        <v>5</v>
      </c>
      <c r="L151">
        <v>8383.0061378157243</v>
      </c>
      <c r="M151">
        <v>7586.8133333333344</v>
      </c>
      <c r="N151">
        <v>305169.37199999997</v>
      </c>
      <c r="O151">
        <v>116404.81199999998</v>
      </c>
      <c r="P151">
        <v>42.420966666664754</v>
      </c>
      <c r="Q151">
        <v>5.5914077232247818E-3</v>
      </c>
    </row>
    <row r="152" spans="1:17" x14ac:dyDescent="0.2">
      <c r="A152">
        <v>151</v>
      </c>
      <c r="B152">
        <v>27</v>
      </c>
      <c r="C152" s="1">
        <v>45806</v>
      </c>
      <c r="D152">
        <v>27</v>
      </c>
      <c r="E152">
        <v>8</v>
      </c>
      <c r="F152">
        <v>1493.0680000000002</v>
      </c>
      <c r="G152" t="s">
        <v>39</v>
      </c>
      <c r="H152" t="s">
        <v>19</v>
      </c>
      <c r="I152">
        <v>973.74</v>
      </c>
      <c r="J152">
        <v>1622.9</v>
      </c>
      <c r="K152">
        <v>1</v>
      </c>
      <c r="L152">
        <v>1875.5060367988328</v>
      </c>
      <c r="M152">
        <v>4440.416666666667</v>
      </c>
      <c r="N152">
        <v>40312.836000000003</v>
      </c>
      <c r="O152">
        <v>14021.856000000005</v>
      </c>
      <c r="P152">
        <v>-2947.3486666666668</v>
      </c>
      <c r="Q152">
        <v>-0.66375497794876603</v>
      </c>
    </row>
    <row r="153" spans="1:17" x14ac:dyDescent="0.2">
      <c r="A153">
        <v>240</v>
      </c>
      <c r="B153">
        <v>8</v>
      </c>
      <c r="C153" s="1">
        <v>45819</v>
      </c>
      <c r="D153">
        <v>41</v>
      </c>
      <c r="E153">
        <v>6</v>
      </c>
      <c r="F153">
        <v>5305.3035999999993</v>
      </c>
      <c r="G153" t="s">
        <v>18</v>
      </c>
      <c r="H153" t="s">
        <v>19</v>
      </c>
      <c r="I153">
        <v>3386.3639999999996</v>
      </c>
      <c r="J153">
        <v>5643.94</v>
      </c>
      <c r="K153">
        <v>2</v>
      </c>
      <c r="L153">
        <v>6659.4547452889592</v>
      </c>
      <c r="M153">
        <v>2853.6650000000004</v>
      </c>
      <c r="N153">
        <v>217517.44759999996</v>
      </c>
      <c r="O153">
        <v>78676.523599999986</v>
      </c>
      <c r="P153">
        <v>2451.6385999999989</v>
      </c>
      <c r="Q153">
        <v>0.85911927293497958</v>
      </c>
    </row>
    <row r="154" spans="1:17" x14ac:dyDescent="0.2">
      <c r="A154">
        <v>230</v>
      </c>
      <c r="B154">
        <v>103</v>
      </c>
      <c r="C154" s="1">
        <v>45291</v>
      </c>
      <c r="D154">
        <v>39</v>
      </c>
      <c r="E154">
        <v>6</v>
      </c>
      <c r="F154">
        <v>6029.2069999999994</v>
      </c>
      <c r="G154" t="s">
        <v>115</v>
      </c>
      <c r="H154" t="s">
        <v>19</v>
      </c>
      <c r="I154">
        <v>3848.43</v>
      </c>
      <c r="J154">
        <v>6414.05</v>
      </c>
      <c r="K154">
        <v>4</v>
      </c>
      <c r="L154">
        <v>7756.2411495792057</v>
      </c>
      <c r="M154">
        <v>6457.8324999999995</v>
      </c>
      <c r="N154">
        <v>235139.07299999997</v>
      </c>
      <c r="O154">
        <v>85050.302999999985</v>
      </c>
      <c r="P154">
        <v>-428.6255000000001</v>
      </c>
      <c r="Q154">
        <v>-6.6372966471335407E-2</v>
      </c>
    </row>
    <row r="155" spans="1:17" x14ac:dyDescent="0.2">
      <c r="A155">
        <v>227</v>
      </c>
      <c r="B155">
        <v>133</v>
      </c>
      <c r="C155" s="1">
        <v>44968</v>
      </c>
      <c r="D155">
        <v>50</v>
      </c>
      <c r="E155">
        <v>4</v>
      </c>
      <c r="F155">
        <v>6340.7039999999997</v>
      </c>
      <c r="G155" t="s">
        <v>145</v>
      </c>
      <c r="H155" t="s">
        <v>19</v>
      </c>
      <c r="I155">
        <v>3962.9399999999996</v>
      </c>
      <c r="J155">
        <v>6604.9</v>
      </c>
      <c r="K155">
        <v>4</v>
      </c>
      <c r="L155">
        <v>8195.4156699201612</v>
      </c>
      <c r="M155">
        <v>4666.1933333333336</v>
      </c>
      <c r="N155">
        <v>317035.2</v>
      </c>
      <c r="O155">
        <v>118888.20000000001</v>
      </c>
      <c r="P155">
        <v>1674.5106666666661</v>
      </c>
      <c r="Q155">
        <v>0.3588601129543138</v>
      </c>
    </row>
    <row r="156" spans="1:17" x14ac:dyDescent="0.2">
      <c r="A156">
        <v>226</v>
      </c>
      <c r="B156">
        <v>11</v>
      </c>
      <c r="C156" s="1">
        <v>45273</v>
      </c>
      <c r="D156">
        <v>21</v>
      </c>
      <c r="E156">
        <v>8</v>
      </c>
      <c r="F156">
        <v>2944.1839999999997</v>
      </c>
      <c r="G156" t="s">
        <v>22</v>
      </c>
      <c r="H156" t="s">
        <v>19</v>
      </c>
      <c r="I156">
        <v>1920.12</v>
      </c>
      <c r="J156">
        <v>3200.2</v>
      </c>
      <c r="K156">
        <v>1</v>
      </c>
      <c r="L156">
        <v>3489.7583812907492</v>
      </c>
      <c r="M156">
        <v>7089.33</v>
      </c>
      <c r="N156">
        <v>61827.863999999994</v>
      </c>
      <c r="O156">
        <v>21505.343999999997</v>
      </c>
      <c r="P156">
        <v>-4145.1460000000006</v>
      </c>
      <c r="Q156">
        <v>-0.58470208045047989</v>
      </c>
    </row>
    <row r="157" spans="1:17" x14ac:dyDescent="0.2">
      <c r="A157">
        <v>221</v>
      </c>
      <c r="B157">
        <v>45</v>
      </c>
      <c r="C157" s="1">
        <v>45948</v>
      </c>
      <c r="D157">
        <v>37</v>
      </c>
      <c r="E157">
        <v>6</v>
      </c>
      <c r="F157">
        <v>5006.8065999999999</v>
      </c>
      <c r="G157" t="s">
        <v>57</v>
      </c>
      <c r="H157" t="s">
        <v>19</v>
      </c>
      <c r="I157">
        <v>3195.8340000000003</v>
      </c>
      <c r="J157">
        <v>5326.39</v>
      </c>
      <c r="K157">
        <v>1</v>
      </c>
      <c r="L157">
        <v>5978.1563660073216</v>
      </c>
      <c r="M157">
        <v>4436.1279999999997</v>
      </c>
      <c r="N157">
        <v>185251.84419999999</v>
      </c>
      <c r="O157">
        <v>67005.986199999985</v>
      </c>
      <c r="P157">
        <v>570.67860000000019</v>
      </c>
      <c r="Q157">
        <v>0.1286434025348232</v>
      </c>
    </row>
    <row r="158" spans="1:17" x14ac:dyDescent="0.2">
      <c r="A158">
        <v>220</v>
      </c>
      <c r="B158">
        <v>150</v>
      </c>
      <c r="C158" s="1">
        <v>44969</v>
      </c>
      <c r="D158">
        <v>16</v>
      </c>
      <c r="E158">
        <v>3</v>
      </c>
      <c r="F158">
        <v>2221.0283999999997</v>
      </c>
      <c r="G158" t="s">
        <v>162</v>
      </c>
      <c r="H158" t="s">
        <v>19</v>
      </c>
      <c r="I158">
        <v>1373.8319999999999</v>
      </c>
      <c r="J158">
        <v>2289.7199999999998</v>
      </c>
      <c r="K158">
        <v>3</v>
      </c>
      <c r="L158">
        <v>2781.6113452899558</v>
      </c>
      <c r="M158">
        <v>1810.3166666666666</v>
      </c>
      <c r="N158">
        <v>35536.454399999995</v>
      </c>
      <c r="O158">
        <v>13555.142399999997</v>
      </c>
      <c r="P158">
        <v>410.71173333333309</v>
      </c>
      <c r="Q158">
        <v>0.22687286754619346</v>
      </c>
    </row>
    <row r="159" spans="1:17" x14ac:dyDescent="0.2">
      <c r="A159">
        <v>158</v>
      </c>
      <c r="B159">
        <v>34</v>
      </c>
      <c r="C159" s="1">
        <v>45496</v>
      </c>
      <c r="D159">
        <v>36</v>
      </c>
      <c r="E159">
        <v>9</v>
      </c>
      <c r="F159">
        <v>1186.0849000000001</v>
      </c>
      <c r="G159" t="s">
        <v>46</v>
      </c>
      <c r="H159" t="s">
        <v>19</v>
      </c>
      <c r="I159">
        <v>782.03399999999999</v>
      </c>
      <c r="J159">
        <v>1303.3900000000001</v>
      </c>
      <c r="K159">
        <v>2</v>
      </c>
      <c r="L159">
        <v>1430.4187916177145</v>
      </c>
      <c r="M159">
        <v>4145.4440000000004</v>
      </c>
      <c r="N159">
        <v>42699.056400000001</v>
      </c>
      <c r="O159">
        <v>14545.832400000003</v>
      </c>
      <c r="P159">
        <v>-2959.3591000000006</v>
      </c>
      <c r="Q159">
        <v>-0.71388230066550173</v>
      </c>
    </row>
    <row r="160" spans="1:17" x14ac:dyDescent="0.2">
      <c r="A160">
        <v>218</v>
      </c>
      <c r="B160">
        <v>8</v>
      </c>
      <c r="C160" s="1">
        <v>45709</v>
      </c>
      <c r="D160">
        <v>13</v>
      </c>
      <c r="E160">
        <v>6</v>
      </c>
      <c r="F160">
        <v>5305.3035999999993</v>
      </c>
      <c r="G160" t="s">
        <v>18</v>
      </c>
      <c r="H160" t="s">
        <v>19</v>
      </c>
      <c r="I160">
        <v>3386.3639999999996</v>
      </c>
      <c r="J160">
        <v>5643.94</v>
      </c>
      <c r="K160">
        <v>2</v>
      </c>
      <c r="L160">
        <v>5685.2141897654346</v>
      </c>
      <c r="M160">
        <v>2853.6650000000004</v>
      </c>
      <c r="N160">
        <v>68968.946799999991</v>
      </c>
      <c r="O160">
        <v>24946.214799999994</v>
      </c>
      <c r="P160">
        <v>2451.6385999999989</v>
      </c>
      <c r="Q160">
        <v>0.85911927293497958</v>
      </c>
    </row>
    <row r="161" spans="1:17" x14ac:dyDescent="0.2">
      <c r="A161">
        <v>200</v>
      </c>
      <c r="B161">
        <v>89</v>
      </c>
      <c r="C161" s="1">
        <v>45415</v>
      </c>
      <c r="D161">
        <v>44</v>
      </c>
      <c r="E161">
        <v>10</v>
      </c>
      <c r="F161">
        <v>907.53300000000002</v>
      </c>
      <c r="G161" t="s">
        <v>101</v>
      </c>
      <c r="H161" t="s">
        <v>19</v>
      </c>
      <c r="I161">
        <v>605.02199999999993</v>
      </c>
      <c r="J161">
        <v>1008.37</v>
      </c>
      <c r="K161">
        <v>4</v>
      </c>
      <c r="L161">
        <v>1274.3835263001329</v>
      </c>
      <c r="M161">
        <v>913.02</v>
      </c>
      <c r="N161">
        <v>39931.451999999997</v>
      </c>
      <c r="O161">
        <v>13310.484000000004</v>
      </c>
      <c r="P161">
        <v>-5.4869999999999663</v>
      </c>
      <c r="Q161">
        <v>-6.0097259643819047E-3</v>
      </c>
    </row>
    <row r="162" spans="1:17" x14ac:dyDescent="0.2">
      <c r="A162">
        <v>174</v>
      </c>
      <c r="B162">
        <v>69</v>
      </c>
      <c r="C162" s="1">
        <v>45970</v>
      </c>
      <c r="D162">
        <v>38</v>
      </c>
      <c r="E162">
        <v>4</v>
      </c>
      <c r="F162">
        <v>7160.3519999999999</v>
      </c>
      <c r="G162" t="s">
        <v>81</v>
      </c>
      <c r="H162" t="s">
        <v>19</v>
      </c>
      <c r="I162">
        <v>4475.2199999999993</v>
      </c>
      <c r="J162">
        <v>7458.7</v>
      </c>
      <c r="K162">
        <v>3</v>
      </c>
      <c r="L162">
        <v>8908.4237599322551</v>
      </c>
      <c r="M162">
        <v>809.57599999999991</v>
      </c>
      <c r="N162">
        <v>272093.37599999999</v>
      </c>
      <c r="O162">
        <v>102035.01600000002</v>
      </c>
      <c r="P162">
        <v>6350.7759999999998</v>
      </c>
      <c r="Q162">
        <v>7.8445704912200958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1"/>
  <sheetViews>
    <sheetView workbookViewId="0">
      <selection activeCell="E22" sqref="E22"/>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 min="7" max="7" width="16.140625" customWidth="1"/>
    <col min="8" max="8" width="11" customWidth="1"/>
    <col min="9" max="9" width="12.28515625" customWidth="1"/>
    <col min="10" max="10" width="13" customWidth="1"/>
    <col min="11" max="11" width="9.5703125" customWidth="1"/>
    <col min="12" max="12" width="18.42578125" customWidth="1"/>
    <col min="13" max="13" width="18" customWidth="1"/>
    <col min="14" max="14" width="11.140625" customWidth="1"/>
    <col min="16" max="16" width="17.7109375" customWidth="1"/>
    <col min="17" max="17" width="19.7109375" customWidth="1"/>
  </cols>
  <sheetData>
    <row r="1" spans="1:17" x14ac:dyDescent="0.2">
      <c r="A1" t="s">
        <v>163</v>
      </c>
      <c r="B1" t="s">
        <v>164</v>
      </c>
      <c r="C1" t="s">
        <v>165</v>
      </c>
      <c r="D1" t="s">
        <v>166</v>
      </c>
      <c r="E1" t="s">
        <v>167</v>
      </c>
      <c r="F1" t="s">
        <v>168</v>
      </c>
      <c r="G1" t="s">
        <v>1</v>
      </c>
      <c r="H1" t="s">
        <v>2</v>
      </c>
      <c r="I1" t="s">
        <v>3</v>
      </c>
      <c r="J1" t="s">
        <v>4</v>
      </c>
      <c r="K1" t="s">
        <v>170</v>
      </c>
      <c r="L1" t="s">
        <v>173</v>
      </c>
      <c r="M1" t="s">
        <v>185</v>
      </c>
      <c r="N1" t="s">
        <v>186</v>
      </c>
      <c r="O1" t="s">
        <v>187</v>
      </c>
      <c r="P1" t="s">
        <v>188</v>
      </c>
      <c r="Q1" t="s">
        <v>189</v>
      </c>
    </row>
    <row r="2" spans="1:17" x14ac:dyDescent="0.2">
      <c r="A2">
        <v>982</v>
      </c>
      <c r="B2">
        <v>61</v>
      </c>
      <c r="C2" s="1">
        <v>45078</v>
      </c>
      <c r="D2">
        <v>41</v>
      </c>
      <c r="E2">
        <v>9</v>
      </c>
      <c r="F2">
        <v>2222.4384</v>
      </c>
      <c r="G2" t="s">
        <v>73</v>
      </c>
      <c r="H2" t="s">
        <v>6</v>
      </c>
      <c r="I2">
        <v>1465.3439999999998</v>
      </c>
      <c r="J2">
        <v>2442.2399999999998</v>
      </c>
      <c r="K2">
        <v>5</v>
      </c>
      <c r="L2">
        <v>2491.9872419620101</v>
      </c>
      <c r="M2">
        <v>411.75600000000003</v>
      </c>
      <c r="N2">
        <v>91119.974400000006</v>
      </c>
      <c r="O2">
        <v>31040.870400000007</v>
      </c>
      <c r="P2">
        <v>1810.6823999999999</v>
      </c>
      <c r="Q2">
        <v>4.3974645178212333</v>
      </c>
    </row>
    <row r="3" spans="1:17" x14ac:dyDescent="0.2">
      <c r="A3">
        <v>980</v>
      </c>
      <c r="B3">
        <v>1</v>
      </c>
      <c r="C3" s="1">
        <v>45258</v>
      </c>
      <c r="D3">
        <v>16</v>
      </c>
      <c r="E3">
        <v>3</v>
      </c>
      <c r="F3">
        <v>1853.6215</v>
      </c>
      <c r="G3" t="s">
        <v>5</v>
      </c>
      <c r="H3" t="s">
        <v>6</v>
      </c>
      <c r="I3">
        <v>1146.57</v>
      </c>
      <c r="J3">
        <v>1910.95</v>
      </c>
      <c r="K3">
        <v>1</v>
      </c>
      <c r="L3">
        <v>2243.4941730060668</v>
      </c>
      <c r="M3">
        <v>4785.0083333333332</v>
      </c>
      <c r="N3">
        <v>29657.944</v>
      </c>
      <c r="O3">
        <v>11312.824000000001</v>
      </c>
      <c r="P3">
        <v>-2931.386833333333</v>
      </c>
      <c r="Q3">
        <v>-0.61261896095618085</v>
      </c>
    </row>
    <row r="4" spans="1:17" x14ac:dyDescent="0.2">
      <c r="A4">
        <v>975</v>
      </c>
      <c r="B4">
        <v>1</v>
      </c>
      <c r="C4" s="1">
        <v>45460</v>
      </c>
      <c r="D4">
        <v>20</v>
      </c>
      <c r="E4">
        <v>4</v>
      </c>
      <c r="F4">
        <v>1834.5119999999999</v>
      </c>
      <c r="G4" t="s">
        <v>5</v>
      </c>
      <c r="H4" t="s">
        <v>6</v>
      </c>
      <c r="I4">
        <v>1146.57</v>
      </c>
      <c r="J4">
        <v>1910.95</v>
      </c>
      <c r="K4">
        <v>1</v>
      </c>
      <c r="L4">
        <v>2061.9135878663574</v>
      </c>
      <c r="M4">
        <v>4785.0083333333332</v>
      </c>
      <c r="N4">
        <v>36690.239999999998</v>
      </c>
      <c r="O4">
        <v>13758.84</v>
      </c>
      <c r="P4">
        <v>-2950.4963333333335</v>
      </c>
      <c r="Q4">
        <v>-0.61661257991539553</v>
      </c>
    </row>
    <row r="5" spans="1:17" x14ac:dyDescent="0.2">
      <c r="A5">
        <v>954</v>
      </c>
      <c r="B5">
        <v>113</v>
      </c>
      <c r="C5" s="1">
        <v>45737</v>
      </c>
      <c r="D5">
        <v>10</v>
      </c>
      <c r="E5">
        <v>5</v>
      </c>
      <c r="F5">
        <v>4587.7019999999993</v>
      </c>
      <c r="G5" t="s">
        <v>125</v>
      </c>
      <c r="H5" t="s">
        <v>6</v>
      </c>
      <c r="I5">
        <v>2897.4959999999996</v>
      </c>
      <c r="J5">
        <v>4829.16</v>
      </c>
      <c r="K5">
        <v>1</v>
      </c>
      <c r="L5">
        <v>5774.4479568792822</v>
      </c>
      <c r="M5">
        <v>4302.05</v>
      </c>
      <c r="N5">
        <v>45877.01999999999</v>
      </c>
      <c r="O5">
        <v>16902.059999999998</v>
      </c>
      <c r="P5">
        <v>285.65199999999913</v>
      </c>
      <c r="Q5">
        <v>6.6399042317034696E-2</v>
      </c>
    </row>
    <row r="6" spans="1:17" x14ac:dyDescent="0.2">
      <c r="A6">
        <v>930</v>
      </c>
      <c r="B6">
        <v>58</v>
      </c>
      <c r="C6" s="1">
        <v>44948</v>
      </c>
      <c r="D6">
        <v>41</v>
      </c>
      <c r="E6">
        <v>6</v>
      </c>
      <c r="F6">
        <v>1070.2651999999998</v>
      </c>
      <c r="G6" t="s">
        <v>70</v>
      </c>
      <c r="H6" t="s">
        <v>6</v>
      </c>
      <c r="I6">
        <v>683.14799999999991</v>
      </c>
      <c r="J6">
        <v>1138.58</v>
      </c>
      <c r="K6">
        <v>2</v>
      </c>
      <c r="L6">
        <v>1345.0390619188779</v>
      </c>
      <c r="M6">
        <v>1439.8525</v>
      </c>
      <c r="N6">
        <v>43880.873199999995</v>
      </c>
      <c r="O6">
        <v>15871.805199999997</v>
      </c>
      <c r="P6">
        <v>-369.58730000000014</v>
      </c>
      <c r="Q6">
        <v>-0.25668413952123581</v>
      </c>
    </row>
    <row r="7" spans="1:17" x14ac:dyDescent="0.2">
      <c r="A7">
        <v>926</v>
      </c>
      <c r="B7">
        <v>62</v>
      </c>
      <c r="C7" s="1">
        <v>45531</v>
      </c>
      <c r="D7">
        <v>6</v>
      </c>
      <c r="E7">
        <v>4</v>
      </c>
      <c r="F7">
        <v>3319.6223999999997</v>
      </c>
      <c r="G7" t="s">
        <v>74</v>
      </c>
      <c r="H7" t="s">
        <v>6</v>
      </c>
      <c r="I7">
        <v>2074.7640000000001</v>
      </c>
      <c r="J7">
        <v>3457.94</v>
      </c>
      <c r="K7">
        <v>4</v>
      </c>
      <c r="L7">
        <v>3640.220492158362</v>
      </c>
      <c r="M7">
        <v>5560.3266666666668</v>
      </c>
      <c r="N7">
        <v>19917.734399999998</v>
      </c>
      <c r="O7">
        <v>7469.1503999999977</v>
      </c>
      <c r="P7">
        <v>-2240.7042666666671</v>
      </c>
      <c r="Q7">
        <v>-0.40298068818498678</v>
      </c>
    </row>
    <row r="8" spans="1:17" x14ac:dyDescent="0.2">
      <c r="A8">
        <v>923</v>
      </c>
      <c r="B8">
        <v>37</v>
      </c>
      <c r="C8" s="1">
        <v>45742</v>
      </c>
      <c r="D8">
        <v>49</v>
      </c>
      <c r="E8">
        <v>5</v>
      </c>
      <c r="F8">
        <v>3668.3964999999998</v>
      </c>
      <c r="G8" t="s">
        <v>49</v>
      </c>
      <c r="H8" t="s">
        <v>6</v>
      </c>
      <c r="I8">
        <v>2316.8819999999996</v>
      </c>
      <c r="J8">
        <v>3861.47</v>
      </c>
      <c r="K8">
        <v>1</v>
      </c>
      <c r="L8">
        <v>4944.6298461431052</v>
      </c>
      <c r="M8">
        <v>2618.5759999999996</v>
      </c>
      <c r="N8">
        <v>179751.42849999998</v>
      </c>
      <c r="O8">
        <v>66224.210500000016</v>
      </c>
      <c r="P8">
        <v>1049.8205000000003</v>
      </c>
      <c r="Q8">
        <v>0.40091274799738502</v>
      </c>
    </row>
    <row r="9" spans="1:17" x14ac:dyDescent="0.2">
      <c r="A9">
        <v>916</v>
      </c>
      <c r="B9">
        <v>119</v>
      </c>
      <c r="C9" s="1">
        <v>45275</v>
      </c>
      <c r="D9">
        <v>50</v>
      </c>
      <c r="E9">
        <v>10</v>
      </c>
      <c r="F9">
        <v>1747.7190000000001</v>
      </c>
      <c r="G9" t="s">
        <v>131</v>
      </c>
      <c r="H9" t="s">
        <v>6</v>
      </c>
      <c r="I9">
        <v>1165.146</v>
      </c>
      <c r="J9">
        <v>1941.91</v>
      </c>
      <c r="K9">
        <v>4</v>
      </c>
      <c r="L9">
        <v>2205.6526165522168</v>
      </c>
      <c r="M9">
        <v>4902.3539999999994</v>
      </c>
      <c r="N9">
        <v>87385.95</v>
      </c>
      <c r="O9">
        <v>29128.650000000005</v>
      </c>
      <c r="P9">
        <v>-3154.6349999999993</v>
      </c>
      <c r="Q9">
        <v>-0.64349392149159357</v>
      </c>
    </row>
    <row r="10" spans="1:17" x14ac:dyDescent="0.2">
      <c r="A10">
        <v>910</v>
      </c>
      <c r="B10">
        <v>41</v>
      </c>
      <c r="C10" s="1">
        <v>45027</v>
      </c>
      <c r="D10">
        <v>6</v>
      </c>
      <c r="E10">
        <v>5</v>
      </c>
      <c r="F10">
        <v>2927.3964999999998</v>
      </c>
      <c r="G10" t="s">
        <v>53</v>
      </c>
      <c r="H10" t="s">
        <v>6</v>
      </c>
      <c r="I10">
        <v>1848.8819999999998</v>
      </c>
      <c r="J10">
        <v>3081.47</v>
      </c>
      <c r="K10">
        <v>1</v>
      </c>
      <c r="L10">
        <v>3224.1138314308155</v>
      </c>
      <c r="M10">
        <v>1589.1249999999998</v>
      </c>
      <c r="N10">
        <v>17564.379000000001</v>
      </c>
      <c r="O10">
        <v>6471.0869999999995</v>
      </c>
      <c r="P10">
        <v>1338.2715000000001</v>
      </c>
      <c r="Q10">
        <v>0.84214363250216329</v>
      </c>
    </row>
    <row r="11" spans="1:17" x14ac:dyDescent="0.2">
      <c r="A11">
        <v>907</v>
      </c>
      <c r="B11">
        <v>61</v>
      </c>
      <c r="C11" s="1">
        <v>45786</v>
      </c>
      <c r="D11">
        <v>2</v>
      </c>
      <c r="E11">
        <v>7</v>
      </c>
      <c r="F11">
        <v>2271.2831999999999</v>
      </c>
      <c r="G11" t="s">
        <v>73</v>
      </c>
      <c r="H11" t="s">
        <v>6</v>
      </c>
      <c r="I11">
        <v>1465.3439999999998</v>
      </c>
      <c r="J11">
        <v>2442.2399999999998</v>
      </c>
      <c r="K11">
        <v>5</v>
      </c>
      <c r="L11">
        <v>2777.3915195572581</v>
      </c>
      <c r="M11">
        <v>411.75600000000003</v>
      </c>
      <c r="N11">
        <v>4542.5663999999997</v>
      </c>
      <c r="O11">
        <v>1611.8784000000001</v>
      </c>
      <c r="P11">
        <v>1859.5271999999998</v>
      </c>
      <c r="Q11">
        <v>4.5160901116195022</v>
      </c>
    </row>
    <row r="12" spans="1:17" x14ac:dyDescent="0.2">
      <c r="A12">
        <v>905</v>
      </c>
      <c r="B12">
        <v>119</v>
      </c>
      <c r="C12" s="1">
        <v>45325</v>
      </c>
      <c r="D12">
        <v>26</v>
      </c>
      <c r="E12">
        <v>3</v>
      </c>
      <c r="F12">
        <v>1883.6527000000001</v>
      </c>
      <c r="G12" t="s">
        <v>131</v>
      </c>
      <c r="H12" t="s">
        <v>6</v>
      </c>
      <c r="I12">
        <v>1165.146</v>
      </c>
      <c r="J12">
        <v>1941.91</v>
      </c>
      <c r="K12">
        <v>4</v>
      </c>
      <c r="L12">
        <v>2491.0344333117068</v>
      </c>
      <c r="M12">
        <v>4902.3539999999994</v>
      </c>
      <c r="N12">
        <v>48974.970200000003</v>
      </c>
      <c r="O12">
        <v>18681.174200000005</v>
      </c>
      <c r="P12">
        <v>-3018.7012999999993</v>
      </c>
      <c r="Q12">
        <v>-0.6157656709409397</v>
      </c>
    </row>
    <row r="13" spans="1:17" x14ac:dyDescent="0.2">
      <c r="A13">
        <v>901</v>
      </c>
      <c r="B13">
        <v>24</v>
      </c>
      <c r="C13" s="1">
        <v>45760</v>
      </c>
      <c r="D13">
        <v>35</v>
      </c>
      <c r="E13">
        <v>6</v>
      </c>
      <c r="F13">
        <v>3756.7287999999999</v>
      </c>
      <c r="G13" t="s">
        <v>36</v>
      </c>
      <c r="H13" t="s">
        <v>6</v>
      </c>
      <c r="I13">
        <v>2397.9119999999998</v>
      </c>
      <c r="J13">
        <v>3996.52</v>
      </c>
      <c r="K13">
        <v>4</v>
      </c>
      <c r="L13">
        <v>5142.8718552580476</v>
      </c>
      <c r="M13">
        <v>3028.7733333333331</v>
      </c>
      <c r="N13">
        <v>131485.508</v>
      </c>
      <c r="O13">
        <v>47558.588000000003</v>
      </c>
      <c r="P13">
        <v>727.95546666666678</v>
      </c>
      <c r="Q13">
        <v>0.24034663097931841</v>
      </c>
    </row>
    <row r="14" spans="1:17" x14ac:dyDescent="0.2">
      <c r="A14">
        <v>899</v>
      </c>
      <c r="B14">
        <v>37</v>
      </c>
      <c r="C14" s="1">
        <v>45674</v>
      </c>
      <c r="D14">
        <v>23</v>
      </c>
      <c r="E14">
        <v>10</v>
      </c>
      <c r="F14">
        <v>3475.3229999999999</v>
      </c>
      <c r="G14" t="s">
        <v>49</v>
      </c>
      <c r="H14" t="s">
        <v>6</v>
      </c>
      <c r="I14">
        <v>2316.8819999999996</v>
      </c>
      <c r="J14">
        <v>3861.47</v>
      </c>
      <c r="K14">
        <v>1</v>
      </c>
      <c r="L14">
        <v>4654.6891540579227</v>
      </c>
      <c r="M14">
        <v>2618.5759999999996</v>
      </c>
      <c r="N14">
        <v>79932.429000000004</v>
      </c>
      <c r="O14">
        <v>26644.143000000007</v>
      </c>
      <c r="P14">
        <v>856.7470000000003</v>
      </c>
      <c r="Q14">
        <v>0.32718049810278582</v>
      </c>
    </row>
    <row r="15" spans="1:17" x14ac:dyDescent="0.2">
      <c r="A15">
        <v>877</v>
      </c>
      <c r="B15">
        <v>113</v>
      </c>
      <c r="C15" s="1">
        <v>45306</v>
      </c>
      <c r="D15">
        <v>42</v>
      </c>
      <c r="E15">
        <v>10</v>
      </c>
      <c r="F15">
        <v>4346.2439999999997</v>
      </c>
      <c r="G15" t="s">
        <v>125</v>
      </c>
      <c r="H15" t="s">
        <v>6</v>
      </c>
      <c r="I15">
        <v>2897.4959999999996</v>
      </c>
      <c r="J15">
        <v>4829.16</v>
      </c>
      <c r="K15">
        <v>1</v>
      </c>
      <c r="L15">
        <v>5789.9857238138802</v>
      </c>
      <c r="M15">
        <v>4302.05</v>
      </c>
      <c r="N15">
        <v>182542.24799999999</v>
      </c>
      <c r="O15">
        <v>60847.416000000005</v>
      </c>
      <c r="P15">
        <v>44.193999999999505</v>
      </c>
      <c r="Q15">
        <v>1.0272776931927687E-2</v>
      </c>
    </row>
    <row r="16" spans="1:17" x14ac:dyDescent="0.2">
      <c r="A16">
        <v>876</v>
      </c>
      <c r="B16">
        <v>77</v>
      </c>
      <c r="C16" s="1">
        <v>45194</v>
      </c>
      <c r="D16">
        <v>24</v>
      </c>
      <c r="E16">
        <v>8</v>
      </c>
      <c r="F16">
        <v>1845.5016000000001</v>
      </c>
      <c r="G16" t="s">
        <v>89</v>
      </c>
      <c r="H16" t="s">
        <v>6</v>
      </c>
      <c r="I16">
        <v>1203.588</v>
      </c>
      <c r="J16">
        <v>2005.98</v>
      </c>
      <c r="K16">
        <v>1</v>
      </c>
      <c r="L16">
        <v>2057.3263372131546</v>
      </c>
      <c r="M16">
        <v>4139.2699999999995</v>
      </c>
      <c r="N16">
        <v>44292.038400000005</v>
      </c>
      <c r="O16">
        <v>15405.926400000002</v>
      </c>
      <c r="P16">
        <v>-2293.7683999999995</v>
      </c>
      <c r="Q16">
        <v>-0.55414805026006997</v>
      </c>
    </row>
    <row r="17" spans="1:17" x14ac:dyDescent="0.2">
      <c r="A17">
        <v>849</v>
      </c>
      <c r="B17">
        <v>20</v>
      </c>
      <c r="C17" s="1">
        <v>45765</v>
      </c>
      <c r="D17">
        <v>18</v>
      </c>
      <c r="E17">
        <v>10</v>
      </c>
      <c r="F17">
        <v>2728.0619999999999</v>
      </c>
      <c r="G17" t="s">
        <v>31</v>
      </c>
      <c r="H17" t="s">
        <v>6</v>
      </c>
      <c r="I17">
        <v>1818.7079999999999</v>
      </c>
      <c r="J17">
        <v>3031.18</v>
      </c>
      <c r="K17">
        <v>4</v>
      </c>
      <c r="L17">
        <v>3628.8913767032109</v>
      </c>
      <c r="M17">
        <v>4553.9966666666669</v>
      </c>
      <c r="N17">
        <v>49105.115999999995</v>
      </c>
      <c r="O17">
        <v>16368.372000000001</v>
      </c>
      <c r="P17">
        <v>-1825.934666666667</v>
      </c>
      <c r="Q17">
        <v>-0.40095213069252728</v>
      </c>
    </row>
    <row r="18" spans="1:17" x14ac:dyDescent="0.2">
      <c r="A18">
        <v>837</v>
      </c>
      <c r="B18">
        <v>70</v>
      </c>
      <c r="C18" s="1">
        <v>45253</v>
      </c>
      <c r="D18">
        <v>21</v>
      </c>
      <c r="E18">
        <v>9</v>
      </c>
      <c r="F18">
        <v>3667.0725000000002</v>
      </c>
      <c r="G18" t="s">
        <v>82</v>
      </c>
      <c r="H18" t="s">
        <v>6</v>
      </c>
      <c r="I18">
        <v>2417.85</v>
      </c>
      <c r="J18">
        <v>4029.75</v>
      </c>
      <c r="K18">
        <v>1</v>
      </c>
      <c r="L18">
        <v>4629.537688387386</v>
      </c>
      <c r="M18">
        <v>2158.7083333333335</v>
      </c>
      <c r="N18">
        <v>77008.522500000006</v>
      </c>
      <c r="O18">
        <v>26233.672500000008</v>
      </c>
      <c r="P18">
        <v>1508.3641666666667</v>
      </c>
      <c r="Q18">
        <v>0.69873458279449518</v>
      </c>
    </row>
    <row r="19" spans="1:17" x14ac:dyDescent="0.2">
      <c r="A19">
        <v>815</v>
      </c>
      <c r="B19">
        <v>119</v>
      </c>
      <c r="C19" s="1">
        <v>46015</v>
      </c>
      <c r="D19">
        <v>25</v>
      </c>
      <c r="E19">
        <v>10</v>
      </c>
      <c r="F19">
        <v>1747.7190000000001</v>
      </c>
      <c r="G19" t="s">
        <v>131</v>
      </c>
      <c r="H19" t="s">
        <v>6</v>
      </c>
      <c r="I19">
        <v>1165.146</v>
      </c>
      <c r="J19">
        <v>1941.91</v>
      </c>
      <c r="K19">
        <v>4</v>
      </c>
      <c r="L19">
        <v>2307.3864907942998</v>
      </c>
      <c r="M19">
        <v>4902.3539999999994</v>
      </c>
      <c r="N19">
        <v>43692.974999999999</v>
      </c>
      <c r="O19">
        <v>14564.325000000003</v>
      </c>
      <c r="P19">
        <v>-3154.6349999999993</v>
      </c>
      <c r="Q19">
        <v>-0.64349392149159357</v>
      </c>
    </row>
    <row r="20" spans="1:17" x14ac:dyDescent="0.2">
      <c r="A20">
        <v>809</v>
      </c>
      <c r="B20">
        <v>18</v>
      </c>
      <c r="C20" s="1">
        <v>45086</v>
      </c>
      <c r="D20">
        <v>14</v>
      </c>
      <c r="E20">
        <v>9</v>
      </c>
      <c r="F20">
        <v>7676.714500000001</v>
      </c>
      <c r="G20" t="s">
        <v>29</v>
      </c>
      <c r="H20" t="s">
        <v>6</v>
      </c>
      <c r="I20">
        <v>5061.5700000000006</v>
      </c>
      <c r="J20">
        <v>8435.9500000000007</v>
      </c>
      <c r="K20">
        <v>3</v>
      </c>
      <c r="L20">
        <v>9985.3490093160108</v>
      </c>
      <c r="M20">
        <v>1552.9240000000002</v>
      </c>
      <c r="N20">
        <v>107474.00300000001</v>
      </c>
      <c r="O20">
        <v>36612.023000000001</v>
      </c>
      <c r="P20">
        <v>6123.790500000001</v>
      </c>
      <c r="Q20">
        <v>3.9433935595045218</v>
      </c>
    </row>
    <row r="21" spans="1:17" x14ac:dyDescent="0.2">
      <c r="A21">
        <v>807</v>
      </c>
      <c r="B21">
        <v>18</v>
      </c>
      <c r="C21" s="1">
        <v>45136</v>
      </c>
      <c r="D21">
        <v>42</v>
      </c>
      <c r="E21">
        <v>8</v>
      </c>
      <c r="F21">
        <v>7761.0740000000014</v>
      </c>
      <c r="G21" t="s">
        <v>29</v>
      </c>
      <c r="H21" t="s">
        <v>6</v>
      </c>
      <c r="I21">
        <v>5061.5700000000006</v>
      </c>
      <c r="J21">
        <v>8435.9500000000007</v>
      </c>
      <c r="K21">
        <v>3</v>
      </c>
      <c r="L21">
        <v>9251.1437607765802</v>
      </c>
      <c r="M21">
        <v>1552.9240000000002</v>
      </c>
      <c r="N21">
        <v>325965.10800000007</v>
      </c>
      <c r="O21">
        <v>113379.16800000003</v>
      </c>
      <c r="P21">
        <v>6208.1500000000015</v>
      </c>
      <c r="Q21">
        <v>3.9977165656529237</v>
      </c>
    </row>
    <row r="22" spans="1:17" x14ac:dyDescent="0.2">
      <c r="A22">
        <v>802</v>
      </c>
      <c r="B22">
        <v>58</v>
      </c>
      <c r="C22" s="1">
        <v>45509</v>
      </c>
      <c r="D22">
        <v>47</v>
      </c>
      <c r="E22">
        <v>2</v>
      </c>
      <c r="F22">
        <v>1115.8083999999999</v>
      </c>
      <c r="G22" t="s">
        <v>70</v>
      </c>
      <c r="H22" t="s">
        <v>6</v>
      </c>
      <c r="I22">
        <v>683.14799999999991</v>
      </c>
      <c r="J22">
        <v>1138.58</v>
      </c>
      <c r="K22">
        <v>2</v>
      </c>
      <c r="L22">
        <v>1145.9840312898091</v>
      </c>
      <c r="M22">
        <v>1439.8525</v>
      </c>
      <c r="N22">
        <v>52442.994799999993</v>
      </c>
      <c r="O22">
        <v>20335.038799999998</v>
      </c>
      <c r="P22">
        <v>-324.04410000000007</v>
      </c>
      <c r="Q22">
        <v>-0.22505367737320323</v>
      </c>
    </row>
    <row r="23" spans="1:17" x14ac:dyDescent="0.2">
      <c r="A23">
        <v>792</v>
      </c>
      <c r="B23">
        <v>24</v>
      </c>
      <c r="C23" s="1">
        <v>45701</v>
      </c>
      <c r="D23">
        <v>25</v>
      </c>
      <c r="E23">
        <v>3</v>
      </c>
      <c r="F23">
        <v>3876.6243999999997</v>
      </c>
      <c r="G23" t="s">
        <v>36</v>
      </c>
      <c r="H23" t="s">
        <v>6</v>
      </c>
      <c r="I23">
        <v>2397.9119999999998</v>
      </c>
      <c r="J23">
        <v>3996.52</v>
      </c>
      <c r="K23">
        <v>4</v>
      </c>
      <c r="L23">
        <v>4348.9372478114074</v>
      </c>
      <c r="M23">
        <v>3028.7733333333331</v>
      </c>
      <c r="N23">
        <v>96915.609999999986</v>
      </c>
      <c r="O23">
        <v>36967.81</v>
      </c>
      <c r="P23">
        <v>847.85106666666661</v>
      </c>
      <c r="Q23">
        <v>0.27993216175525404</v>
      </c>
    </row>
    <row r="24" spans="1:17" x14ac:dyDescent="0.2">
      <c r="A24">
        <v>759</v>
      </c>
      <c r="B24">
        <v>18</v>
      </c>
      <c r="C24" s="1">
        <v>45165</v>
      </c>
      <c r="D24">
        <v>43</v>
      </c>
      <c r="E24">
        <v>2</v>
      </c>
      <c r="F24">
        <v>8267.2309999999998</v>
      </c>
      <c r="G24" t="s">
        <v>29</v>
      </c>
      <c r="H24" t="s">
        <v>6</v>
      </c>
      <c r="I24">
        <v>5061.5700000000006</v>
      </c>
      <c r="J24">
        <v>8435.9500000000007</v>
      </c>
      <c r="K24">
        <v>3</v>
      </c>
      <c r="L24">
        <v>9463.9007704780233</v>
      </c>
      <c r="M24">
        <v>1552.9240000000002</v>
      </c>
      <c r="N24">
        <v>355490.93299999996</v>
      </c>
      <c r="O24">
        <v>137843.42299999995</v>
      </c>
      <c r="P24">
        <v>6714.3069999999998</v>
      </c>
      <c r="Q24">
        <v>4.3236546025433302</v>
      </c>
    </row>
    <row r="25" spans="1:17" x14ac:dyDescent="0.2">
      <c r="A25">
        <v>758</v>
      </c>
      <c r="B25">
        <v>61</v>
      </c>
      <c r="C25" s="1">
        <v>45571</v>
      </c>
      <c r="D25">
        <v>9</v>
      </c>
      <c r="E25">
        <v>8</v>
      </c>
      <c r="F25">
        <v>2246.8607999999999</v>
      </c>
      <c r="G25" t="s">
        <v>73</v>
      </c>
      <c r="H25" t="s">
        <v>6</v>
      </c>
      <c r="I25">
        <v>1465.3439999999998</v>
      </c>
      <c r="J25">
        <v>2442.2399999999998</v>
      </c>
      <c r="K25">
        <v>5</v>
      </c>
      <c r="L25">
        <v>2648.3965535890679</v>
      </c>
      <c r="M25">
        <v>411.75600000000003</v>
      </c>
      <c r="N25">
        <v>20221.747199999998</v>
      </c>
      <c r="O25">
        <v>7033.6512000000012</v>
      </c>
      <c r="P25">
        <v>1835.1047999999998</v>
      </c>
      <c r="Q25">
        <v>4.4567773147203678</v>
      </c>
    </row>
    <row r="26" spans="1:17" x14ac:dyDescent="0.2">
      <c r="A26">
        <v>745</v>
      </c>
      <c r="B26">
        <v>41</v>
      </c>
      <c r="C26" s="1">
        <v>45786</v>
      </c>
      <c r="D26">
        <v>20</v>
      </c>
      <c r="E26">
        <v>7</v>
      </c>
      <c r="F26">
        <v>2865.7670999999996</v>
      </c>
      <c r="G26" t="s">
        <v>53</v>
      </c>
      <c r="H26" t="s">
        <v>6</v>
      </c>
      <c r="I26">
        <v>1848.8819999999998</v>
      </c>
      <c r="J26">
        <v>3081.47</v>
      </c>
      <c r="K26">
        <v>1</v>
      </c>
      <c r="L26">
        <v>3934.3135933429899</v>
      </c>
      <c r="M26">
        <v>1589.1249999999998</v>
      </c>
      <c r="N26">
        <v>57315.34199999999</v>
      </c>
      <c r="O26">
        <v>20337.701999999994</v>
      </c>
      <c r="P26">
        <v>1276.6420999999998</v>
      </c>
      <c r="Q26">
        <v>0.80336166129159126</v>
      </c>
    </row>
    <row r="27" spans="1:17" x14ac:dyDescent="0.2">
      <c r="A27">
        <v>742</v>
      </c>
      <c r="B27">
        <v>18</v>
      </c>
      <c r="C27" s="1">
        <v>44936</v>
      </c>
      <c r="D27">
        <v>17</v>
      </c>
      <c r="E27">
        <v>9</v>
      </c>
      <c r="F27">
        <v>7676.714500000001</v>
      </c>
      <c r="G27" t="s">
        <v>29</v>
      </c>
      <c r="H27" t="s">
        <v>6</v>
      </c>
      <c r="I27">
        <v>5061.5700000000006</v>
      </c>
      <c r="J27">
        <v>8435.9500000000007</v>
      </c>
      <c r="K27">
        <v>3</v>
      </c>
      <c r="L27">
        <v>10325.956352636169</v>
      </c>
      <c r="M27">
        <v>1552.9240000000002</v>
      </c>
      <c r="N27">
        <v>130504.14650000002</v>
      </c>
      <c r="O27">
        <v>44457.456500000008</v>
      </c>
      <c r="P27">
        <v>6123.790500000001</v>
      </c>
      <c r="Q27">
        <v>3.9433935595045218</v>
      </c>
    </row>
    <row r="28" spans="1:17" x14ac:dyDescent="0.2">
      <c r="A28">
        <v>734</v>
      </c>
      <c r="B28">
        <v>58</v>
      </c>
      <c r="C28" s="1">
        <v>45356</v>
      </c>
      <c r="D28">
        <v>27</v>
      </c>
      <c r="E28">
        <v>6</v>
      </c>
      <c r="F28">
        <v>1070.2651999999998</v>
      </c>
      <c r="G28" t="s">
        <v>70</v>
      </c>
      <c r="H28" t="s">
        <v>6</v>
      </c>
      <c r="I28">
        <v>683.14799999999991</v>
      </c>
      <c r="J28">
        <v>1138.58</v>
      </c>
      <c r="K28">
        <v>2</v>
      </c>
      <c r="L28">
        <v>1234.5456713227345</v>
      </c>
      <c r="M28">
        <v>1439.8525</v>
      </c>
      <c r="N28">
        <v>28897.160399999993</v>
      </c>
      <c r="O28">
        <v>10452.164399999998</v>
      </c>
      <c r="P28">
        <v>-369.58730000000014</v>
      </c>
      <c r="Q28">
        <v>-0.25668413952123581</v>
      </c>
    </row>
    <row r="29" spans="1:17" x14ac:dyDescent="0.2">
      <c r="A29">
        <v>728</v>
      </c>
      <c r="B29">
        <v>44</v>
      </c>
      <c r="C29" s="1">
        <v>45967</v>
      </c>
      <c r="D29">
        <v>42</v>
      </c>
      <c r="E29">
        <v>5</v>
      </c>
      <c r="F29">
        <v>335.92</v>
      </c>
      <c r="G29" t="s">
        <v>56</v>
      </c>
      <c r="H29" t="s">
        <v>6</v>
      </c>
      <c r="I29">
        <v>212.16</v>
      </c>
      <c r="J29">
        <v>353.6</v>
      </c>
      <c r="K29">
        <v>4</v>
      </c>
      <c r="L29">
        <v>420.99996740093752</v>
      </c>
      <c r="M29">
        <v>4064.8233333333333</v>
      </c>
      <c r="N29">
        <v>14108.640000000001</v>
      </c>
      <c r="O29">
        <v>5197.920000000001</v>
      </c>
      <c r="P29">
        <v>-3728.9033333333332</v>
      </c>
      <c r="Q29">
        <v>-0.91735926202614793</v>
      </c>
    </row>
    <row r="30" spans="1:17" x14ac:dyDescent="0.2">
      <c r="A30">
        <v>727</v>
      </c>
      <c r="B30">
        <v>62</v>
      </c>
      <c r="C30" s="1">
        <v>45240</v>
      </c>
      <c r="D30">
        <v>48</v>
      </c>
      <c r="E30">
        <v>8</v>
      </c>
      <c r="F30">
        <v>3181.3048000000003</v>
      </c>
      <c r="G30" t="s">
        <v>74</v>
      </c>
      <c r="H30" t="s">
        <v>6</v>
      </c>
      <c r="I30">
        <v>2074.7640000000001</v>
      </c>
      <c r="J30">
        <v>3457.94</v>
      </c>
      <c r="K30">
        <v>4</v>
      </c>
      <c r="L30">
        <v>4422.7884207238621</v>
      </c>
      <c r="M30">
        <v>5560.3266666666668</v>
      </c>
      <c r="N30">
        <v>152702.63040000002</v>
      </c>
      <c r="O30">
        <v>53113.95840000001</v>
      </c>
      <c r="P30">
        <v>-2379.0218666666665</v>
      </c>
      <c r="Q30">
        <v>-0.42785649284394556</v>
      </c>
    </row>
    <row r="31" spans="1:17" x14ac:dyDescent="0.2">
      <c r="A31">
        <v>721</v>
      </c>
      <c r="B31">
        <v>63</v>
      </c>
      <c r="C31" s="1">
        <v>45096</v>
      </c>
      <c r="D31">
        <v>21</v>
      </c>
      <c r="E31">
        <v>4</v>
      </c>
      <c r="F31">
        <v>6721.6992</v>
      </c>
      <c r="G31" t="s">
        <v>75</v>
      </c>
      <c r="H31" t="s">
        <v>6</v>
      </c>
      <c r="I31">
        <v>4201.0619999999999</v>
      </c>
      <c r="J31">
        <v>7001.77</v>
      </c>
      <c r="K31">
        <v>4</v>
      </c>
      <c r="L31">
        <v>8688.0307629535637</v>
      </c>
      <c r="M31">
        <v>4859.22</v>
      </c>
      <c r="N31">
        <v>141155.6832</v>
      </c>
      <c r="O31">
        <v>52933.381200000003</v>
      </c>
      <c r="P31">
        <v>1862.4791999999998</v>
      </c>
      <c r="Q31">
        <v>0.38328768814748038</v>
      </c>
    </row>
    <row r="32" spans="1:17" x14ac:dyDescent="0.2">
      <c r="A32">
        <v>714</v>
      </c>
      <c r="B32">
        <v>95</v>
      </c>
      <c r="C32" s="1">
        <v>45176</v>
      </c>
      <c r="D32">
        <v>9</v>
      </c>
      <c r="E32">
        <v>8</v>
      </c>
      <c r="F32">
        <v>6411.1764000000003</v>
      </c>
      <c r="G32" t="s">
        <v>107</v>
      </c>
      <c r="H32" t="s">
        <v>6</v>
      </c>
      <c r="I32">
        <v>4181.2020000000002</v>
      </c>
      <c r="J32">
        <v>6968.67</v>
      </c>
      <c r="K32">
        <v>2</v>
      </c>
      <c r="L32">
        <v>7085.7663270964213</v>
      </c>
      <c r="M32">
        <v>2797.7239999999997</v>
      </c>
      <c r="N32">
        <v>57700.587599999999</v>
      </c>
      <c r="O32">
        <v>20069.7696</v>
      </c>
      <c r="P32">
        <v>3613.4524000000006</v>
      </c>
      <c r="Q32">
        <v>1.2915685750274155</v>
      </c>
    </row>
    <row r="33" spans="1:17" x14ac:dyDescent="0.2">
      <c r="A33">
        <v>711</v>
      </c>
      <c r="B33">
        <v>26</v>
      </c>
      <c r="C33" s="1">
        <v>45328</v>
      </c>
      <c r="D33">
        <v>41</v>
      </c>
      <c r="E33">
        <v>10</v>
      </c>
      <c r="F33">
        <v>5073.2280000000001</v>
      </c>
      <c r="G33" t="s">
        <v>38</v>
      </c>
      <c r="H33" t="s">
        <v>6</v>
      </c>
      <c r="I33">
        <v>3382.152</v>
      </c>
      <c r="J33">
        <v>5636.92</v>
      </c>
      <c r="K33">
        <v>4</v>
      </c>
      <c r="L33">
        <v>5684.0561157751008</v>
      </c>
      <c r="M33">
        <v>3474.7766666666666</v>
      </c>
      <c r="N33">
        <v>208002.348</v>
      </c>
      <c r="O33">
        <v>69334.115999999995</v>
      </c>
      <c r="P33">
        <v>1598.4513333333334</v>
      </c>
      <c r="Q33">
        <v>0.46001555975300096</v>
      </c>
    </row>
    <row r="34" spans="1:17" x14ac:dyDescent="0.2">
      <c r="A34">
        <v>703</v>
      </c>
      <c r="B34">
        <v>41</v>
      </c>
      <c r="C34" s="1">
        <v>45002</v>
      </c>
      <c r="D34">
        <v>47</v>
      </c>
      <c r="E34">
        <v>9</v>
      </c>
      <c r="F34">
        <v>2804.1376999999998</v>
      </c>
      <c r="G34" t="s">
        <v>53</v>
      </c>
      <c r="H34" t="s">
        <v>6</v>
      </c>
      <c r="I34">
        <v>1848.8819999999998</v>
      </c>
      <c r="J34">
        <v>3081.47</v>
      </c>
      <c r="K34">
        <v>1</v>
      </c>
      <c r="L34">
        <v>3124.0274873762842</v>
      </c>
      <c r="M34">
        <v>1589.1249999999998</v>
      </c>
      <c r="N34">
        <v>131794.47189999997</v>
      </c>
      <c r="O34">
        <v>44897.017899999999</v>
      </c>
      <c r="P34">
        <v>1215.0127</v>
      </c>
      <c r="Q34">
        <v>0.76457969008101956</v>
      </c>
    </row>
    <row r="35" spans="1:17" x14ac:dyDescent="0.2">
      <c r="A35">
        <v>697</v>
      </c>
      <c r="B35">
        <v>70</v>
      </c>
      <c r="C35" s="1">
        <v>45598</v>
      </c>
      <c r="D35">
        <v>2</v>
      </c>
      <c r="E35">
        <v>5</v>
      </c>
      <c r="F35">
        <v>3828.2624999999998</v>
      </c>
      <c r="G35" t="s">
        <v>82</v>
      </c>
      <c r="H35" t="s">
        <v>6</v>
      </c>
      <c r="I35">
        <v>2417.85</v>
      </c>
      <c r="J35">
        <v>4029.75</v>
      </c>
      <c r="K35">
        <v>1</v>
      </c>
      <c r="L35">
        <v>4593.9630065236415</v>
      </c>
      <c r="M35">
        <v>2158.7083333333335</v>
      </c>
      <c r="N35">
        <v>7656.5249999999996</v>
      </c>
      <c r="O35">
        <v>2820.8249999999998</v>
      </c>
      <c r="P35">
        <v>1669.5541666666663</v>
      </c>
      <c r="Q35">
        <v>0.77340423478546183</v>
      </c>
    </row>
    <row r="36" spans="1:17" x14ac:dyDescent="0.2">
      <c r="A36">
        <v>695</v>
      </c>
      <c r="B36">
        <v>119</v>
      </c>
      <c r="C36" s="1">
        <v>45202</v>
      </c>
      <c r="D36">
        <v>25</v>
      </c>
      <c r="E36">
        <v>6</v>
      </c>
      <c r="F36">
        <v>1825.3953999999999</v>
      </c>
      <c r="G36" t="s">
        <v>131</v>
      </c>
      <c r="H36" t="s">
        <v>6</v>
      </c>
      <c r="I36">
        <v>1165.146</v>
      </c>
      <c r="J36">
        <v>1941.91</v>
      </c>
      <c r="K36">
        <v>4</v>
      </c>
      <c r="L36">
        <v>2265.3527525144291</v>
      </c>
      <c r="M36">
        <v>4902.3539999999994</v>
      </c>
      <c r="N36">
        <v>45634.884999999995</v>
      </c>
      <c r="O36">
        <v>16506.234999999997</v>
      </c>
      <c r="P36">
        <v>-3076.9585999999995</v>
      </c>
      <c r="Q36">
        <v>-0.62764920689121995</v>
      </c>
    </row>
    <row r="37" spans="1:17" x14ac:dyDescent="0.2">
      <c r="A37">
        <v>693</v>
      </c>
      <c r="B37">
        <v>61</v>
      </c>
      <c r="C37" s="1">
        <v>45654</v>
      </c>
      <c r="D37">
        <v>16</v>
      </c>
      <c r="E37">
        <v>3</v>
      </c>
      <c r="F37">
        <v>2368.9727999999996</v>
      </c>
      <c r="G37" t="s">
        <v>73</v>
      </c>
      <c r="H37" t="s">
        <v>6</v>
      </c>
      <c r="I37">
        <v>1465.3439999999998</v>
      </c>
      <c r="J37">
        <v>2442.2399999999998</v>
      </c>
      <c r="K37">
        <v>5</v>
      </c>
      <c r="L37">
        <v>2620.6785654536166</v>
      </c>
      <c r="M37">
        <v>411.75600000000003</v>
      </c>
      <c r="N37">
        <v>37903.564799999993</v>
      </c>
      <c r="O37">
        <v>14458.060799999996</v>
      </c>
      <c r="P37">
        <v>1957.2167999999995</v>
      </c>
      <c r="Q37">
        <v>4.7533412992160393</v>
      </c>
    </row>
    <row r="38" spans="1:17" x14ac:dyDescent="0.2">
      <c r="A38">
        <v>667</v>
      </c>
      <c r="B38">
        <v>44</v>
      </c>
      <c r="C38" s="1">
        <v>45456</v>
      </c>
      <c r="D38">
        <v>13</v>
      </c>
      <c r="E38">
        <v>4</v>
      </c>
      <c r="F38">
        <v>339.45600000000002</v>
      </c>
      <c r="G38" t="s">
        <v>56</v>
      </c>
      <c r="H38" t="s">
        <v>6</v>
      </c>
      <c r="I38">
        <v>212.16</v>
      </c>
      <c r="J38">
        <v>353.6</v>
      </c>
      <c r="K38">
        <v>4</v>
      </c>
      <c r="L38">
        <v>360.51657368540765</v>
      </c>
      <c r="M38">
        <v>4064.8233333333333</v>
      </c>
      <c r="N38">
        <v>4412.9279999999999</v>
      </c>
      <c r="O38">
        <v>1654.8480000000002</v>
      </c>
      <c r="P38">
        <v>-3725.3673333333331</v>
      </c>
      <c r="Q38">
        <v>-0.91648935952115995</v>
      </c>
    </row>
    <row r="39" spans="1:17" x14ac:dyDescent="0.2">
      <c r="A39">
        <v>661</v>
      </c>
      <c r="B39">
        <v>20</v>
      </c>
      <c r="C39" s="1">
        <v>45644</v>
      </c>
      <c r="D39">
        <v>35</v>
      </c>
      <c r="E39">
        <v>5</v>
      </c>
      <c r="F39">
        <v>2879.6209999999996</v>
      </c>
      <c r="G39" t="s">
        <v>31</v>
      </c>
      <c r="H39" t="s">
        <v>6</v>
      </c>
      <c r="I39">
        <v>1818.7079999999999</v>
      </c>
      <c r="J39">
        <v>3031.18</v>
      </c>
      <c r="K39">
        <v>4</v>
      </c>
      <c r="L39">
        <v>3928.0462393428684</v>
      </c>
      <c r="M39">
        <v>4553.9966666666669</v>
      </c>
      <c r="N39">
        <v>100786.73499999999</v>
      </c>
      <c r="O39">
        <v>37131.954999999994</v>
      </c>
      <c r="P39">
        <v>-1674.3756666666673</v>
      </c>
      <c r="Q39">
        <v>-0.36767169350877887</v>
      </c>
    </row>
    <row r="40" spans="1:17" x14ac:dyDescent="0.2">
      <c r="A40">
        <v>39</v>
      </c>
      <c r="B40">
        <v>24</v>
      </c>
      <c r="C40" s="1">
        <v>45792</v>
      </c>
      <c r="D40">
        <v>10</v>
      </c>
      <c r="E40">
        <v>5</v>
      </c>
      <c r="F40">
        <v>3796.694</v>
      </c>
      <c r="G40" t="s">
        <v>36</v>
      </c>
      <c r="H40" t="s">
        <v>6</v>
      </c>
      <c r="I40">
        <v>2397.9119999999998</v>
      </c>
      <c r="J40">
        <v>3996.52</v>
      </c>
      <c r="K40">
        <v>4</v>
      </c>
      <c r="L40">
        <v>4325.1856137396662</v>
      </c>
      <c r="M40">
        <v>3028.7733333333331</v>
      </c>
      <c r="N40">
        <v>37966.94</v>
      </c>
      <c r="O40">
        <v>13987.820000000002</v>
      </c>
      <c r="P40">
        <v>767.92066666666688</v>
      </c>
      <c r="Q40">
        <v>0.25354180790463032</v>
      </c>
    </row>
    <row r="41" spans="1:17" x14ac:dyDescent="0.2">
      <c r="A41">
        <v>654</v>
      </c>
      <c r="B41">
        <v>113</v>
      </c>
      <c r="C41" s="1">
        <v>45047</v>
      </c>
      <c r="D41">
        <v>28</v>
      </c>
      <c r="E41">
        <v>2</v>
      </c>
      <c r="F41">
        <v>4732.5767999999998</v>
      </c>
      <c r="G41" t="s">
        <v>125</v>
      </c>
      <c r="H41" t="s">
        <v>6</v>
      </c>
      <c r="I41">
        <v>2897.4959999999996</v>
      </c>
      <c r="J41">
        <v>4829.16</v>
      </c>
      <c r="K41">
        <v>1</v>
      </c>
      <c r="L41">
        <v>5913.6936899309476</v>
      </c>
      <c r="M41">
        <v>4302.05</v>
      </c>
      <c r="N41">
        <v>132512.15039999998</v>
      </c>
      <c r="O41">
        <v>51382.262400000007</v>
      </c>
      <c r="P41">
        <v>430.52679999999964</v>
      </c>
      <c r="Q41">
        <v>0.10007480154809907</v>
      </c>
    </row>
    <row r="42" spans="1:17" x14ac:dyDescent="0.2">
      <c r="A42">
        <v>649</v>
      </c>
      <c r="B42">
        <v>1</v>
      </c>
      <c r="C42" s="1">
        <v>45608</v>
      </c>
      <c r="D42">
        <v>6</v>
      </c>
      <c r="E42">
        <v>5</v>
      </c>
      <c r="F42">
        <v>1815.4024999999999</v>
      </c>
      <c r="G42" t="s">
        <v>5</v>
      </c>
      <c r="H42" t="s">
        <v>6</v>
      </c>
      <c r="I42">
        <v>1146.57</v>
      </c>
      <c r="J42">
        <v>1910.95</v>
      </c>
      <c r="K42">
        <v>1</v>
      </c>
      <c r="L42">
        <v>2171.0292172629274</v>
      </c>
      <c r="M42">
        <v>4785.0083333333332</v>
      </c>
      <c r="N42">
        <v>10892.414999999999</v>
      </c>
      <c r="O42">
        <v>4012.9949999999999</v>
      </c>
      <c r="P42">
        <v>-2969.6058333333331</v>
      </c>
      <c r="Q42">
        <v>-0.6206061988746101</v>
      </c>
    </row>
    <row r="43" spans="1:17" x14ac:dyDescent="0.2">
      <c r="A43">
        <v>641</v>
      </c>
      <c r="B43">
        <v>119</v>
      </c>
      <c r="C43" s="1">
        <v>45274</v>
      </c>
      <c r="D43">
        <v>45</v>
      </c>
      <c r="E43">
        <v>8</v>
      </c>
      <c r="F43">
        <v>1786.5572000000002</v>
      </c>
      <c r="G43" t="s">
        <v>131</v>
      </c>
      <c r="H43" t="s">
        <v>6</v>
      </c>
      <c r="I43">
        <v>1165.146</v>
      </c>
      <c r="J43">
        <v>1941.91</v>
      </c>
      <c r="K43">
        <v>4</v>
      </c>
      <c r="L43">
        <v>2413.2372981937247</v>
      </c>
      <c r="M43">
        <v>4902.3539999999994</v>
      </c>
      <c r="N43">
        <v>80395.074000000008</v>
      </c>
      <c r="O43">
        <v>27963.504000000012</v>
      </c>
      <c r="P43">
        <v>-3115.7967999999992</v>
      </c>
      <c r="Q43">
        <v>-0.6355715641914067</v>
      </c>
    </row>
    <row r="44" spans="1:17" x14ac:dyDescent="0.2">
      <c r="A44">
        <v>635</v>
      </c>
      <c r="B44">
        <v>119</v>
      </c>
      <c r="C44" s="1">
        <v>45016</v>
      </c>
      <c r="D44">
        <v>19</v>
      </c>
      <c r="E44">
        <v>6</v>
      </c>
      <c r="F44">
        <v>1825.3953999999999</v>
      </c>
      <c r="G44" t="s">
        <v>131</v>
      </c>
      <c r="H44" t="s">
        <v>6</v>
      </c>
      <c r="I44">
        <v>1165.146</v>
      </c>
      <c r="J44">
        <v>1941.91</v>
      </c>
      <c r="K44">
        <v>4</v>
      </c>
      <c r="L44">
        <v>2232.8405198223036</v>
      </c>
      <c r="M44">
        <v>4902.3539999999994</v>
      </c>
      <c r="N44">
        <v>34682.512599999995</v>
      </c>
      <c r="O44">
        <v>12544.738599999999</v>
      </c>
      <c r="P44">
        <v>-3076.9585999999995</v>
      </c>
      <c r="Q44">
        <v>-0.62764920689121995</v>
      </c>
    </row>
    <row r="45" spans="1:17" x14ac:dyDescent="0.2">
      <c r="A45">
        <v>626</v>
      </c>
      <c r="B45">
        <v>113</v>
      </c>
      <c r="C45" s="1">
        <v>44979</v>
      </c>
      <c r="D45">
        <v>14</v>
      </c>
      <c r="E45">
        <v>7</v>
      </c>
      <c r="F45">
        <v>4491.1187999999993</v>
      </c>
      <c r="G45" t="s">
        <v>125</v>
      </c>
      <c r="H45" t="s">
        <v>6</v>
      </c>
      <c r="I45">
        <v>2897.4959999999996</v>
      </c>
      <c r="J45">
        <v>4829.16</v>
      </c>
      <c r="K45">
        <v>1</v>
      </c>
      <c r="L45">
        <v>6159.7284491856171</v>
      </c>
      <c r="M45">
        <v>4302.05</v>
      </c>
      <c r="N45">
        <v>62875.663199999988</v>
      </c>
      <c r="O45">
        <v>22310.719199999996</v>
      </c>
      <c r="P45">
        <v>189.0687999999991</v>
      </c>
      <c r="Q45">
        <v>4.3948536162991853E-2</v>
      </c>
    </row>
    <row r="46" spans="1:17" x14ac:dyDescent="0.2">
      <c r="A46">
        <v>600</v>
      </c>
      <c r="B46">
        <v>26</v>
      </c>
      <c r="C46" s="1">
        <v>45726</v>
      </c>
      <c r="D46">
        <v>15</v>
      </c>
      <c r="E46">
        <v>9</v>
      </c>
      <c r="F46">
        <v>5129.5972000000002</v>
      </c>
      <c r="G46" t="s">
        <v>38</v>
      </c>
      <c r="H46" t="s">
        <v>6</v>
      </c>
      <c r="I46">
        <v>3382.152</v>
      </c>
      <c r="J46">
        <v>5636.92</v>
      </c>
      <c r="K46">
        <v>4</v>
      </c>
      <c r="L46">
        <v>6684.5931832852011</v>
      </c>
      <c r="M46">
        <v>3474.7766666666666</v>
      </c>
      <c r="N46">
        <v>76943.957999999999</v>
      </c>
      <c r="O46">
        <v>26211.678</v>
      </c>
      <c r="P46">
        <v>1654.8205333333335</v>
      </c>
      <c r="Q46">
        <v>0.47623795486136766</v>
      </c>
    </row>
    <row r="47" spans="1:17" x14ac:dyDescent="0.2">
      <c r="A47">
        <v>581</v>
      </c>
      <c r="B47">
        <v>44</v>
      </c>
      <c r="C47" s="1">
        <v>45952</v>
      </c>
      <c r="D47">
        <v>22</v>
      </c>
      <c r="E47">
        <v>10</v>
      </c>
      <c r="F47">
        <v>318.24</v>
      </c>
      <c r="G47" t="s">
        <v>56</v>
      </c>
      <c r="H47" t="s">
        <v>6</v>
      </c>
      <c r="I47">
        <v>212.16</v>
      </c>
      <c r="J47">
        <v>353.6</v>
      </c>
      <c r="K47">
        <v>4</v>
      </c>
      <c r="L47">
        <v>442.09466844437941</v>
      </c>
      <c r="M47">
        <v>4064.8233333333333</v>
      </c>
      <c r="N47">
        <v>7001.2800000000007</v>
      </c>
      <c r="O47">
        <v>2333.7600000000002</v>
      </c>
      <c r="P47">
        <v>-3746.583333333333</v>
      </c>
      <c r="Q47">
        <v>-0.92170877455108746</v>
      </c>
    </row>
    <row r="48" spans="1:17" x14ac:dyDescent="0.2">
      <c r="A48">
        <v>580</v>
      </c>
      <c r="B48">
        <v>66</v>
      </c>
      <c r="C48" s="1">
        <v>45869</v>
      </c>
      <c r="D48">
        <v>5</v>
      </c>
      <c r="E48">
        <v>2</v>
      </c>
      <c r="F48">
        <v>5708.5097999999998</v>
      </c>
      <c r="G48" t="s">
        <v>78</v>
      </c>
      <c r="H48" t="s">
        <v>6</v>
      </c>
      <c r="I48">
        <v>3495.0059999999999</v>
      </c>
      <c r="J48">
        <v>5825.01</v>
      </c>
      <c r="K48">
        <v>1</v>
      </c>
      <c r="L48">
        <v>6717.4311117664438</v>
      </c>
      <c r="M48">
        <v>6051.7379999999994</v>
      </c>
      <c r="N48">
        <v>28542.548999999999</v>
      </c>
      <c r="O48">
        <v>11067.519</v>
      </c>
      <c r="P48">
        <v>-343.22819999999956</v>
      </c>
      <c r="Q48">
        <v>-5.6715641027420487E-2</v>
      </c>
    </row>
    <row r="49" spans="1:17" x14ac:dyDescent="0.2">
      <c r="A49">
        <v>579</v>
      </c>
      <c r="B49">
        <v>44</v>
      </c>
      <c r="C49" s="1">
        <v>45793</v>
      </c>
      <c r="D49">
        <v>41</v>
      </c>
      <c r="E49">
        <v>5</v>
      </c>
      <c r="F49">
        <v>335.92</v>
      </c>
      <c r="G49" t="s">
        <v>56</v>
      </c>
      <c r="H49" t="s">
        <v>6</v>
      </c>
      <c r="I49">
        <v>212.16</v>
      </c>
      <c r="J49">
        <v>353.6</v>
      </c>
      <c r="K49">
        <v>4</v>
      </c>
      <c r="L49">
        <v>420.5398757315312</v>
      </c>
      <c r="M49">
        <v>4064.8233333333333</v>
      </c>
      <c r="N49">
        <v>13772.720000000001</v>
      </c>
      <c r="O49">
        <v>5074.1600000000008</v>
      </c>
      <c r="P49">
        <v>-3728.9033333333332</v>
      </c>
      <c r="Q49">
        <v>-0.91735926202614793</v>
      </c>
    </row>
    <row r="50" spans="1:17" x14ac:dyDescent="0.2">
      <c r="A50">
        <v>563</v>
      </c>
      <c r="B50">
        <v>58</v>
      </c>
      <c r="C50" s="1">
        <v>45080</v>
      </c>
      <c r="D50">
        <v>46</v>
      </c>
      <c r="E50">
        <v>7</v>
      </c>
      <c r="F50">
        <v>1058.8793999999998</v>
      </c>
      <c r="G50" t="s">
        <v>70</v>
      </c>
      <c r="H50" t="s">
        <v>6</v>
      </c>
      <c r="I50">
        <v>683.14799999999991</v>
      </c>
      <c r="J50">
        <v>1138.58</v>
      </c>
      <c r="K50">
        <v>2</v>
      </c>
      <c r="L50">
        <v>1210.4016659758163</v>
      </c>
      <c r="M50">
        <v>1439.8525</v>
      </c>
      <c r="N50">
        <v>48708.452399999995</v>
      </c>
      <c r="O50">
        <v>17283.644399999994</v>
      </c>
      <c r="P50">
        <v>-380.97310000000016</v>
      </c>
      <c r="Q50">
        <v>-0.26459175505824395</v>
      </c>
    </row>
    <row r="51" spans="1:17" x14ac:dyDescent="0.2">
      <c r="A51">
        <v>560</v>
      </c>
      <c r="B51">
        <v>26</v>
      </c>
      <c r="C51" s="1">
        <v>45508</v>
      </c>
      <c r="D51">
        <v>32</v>
      </c>
      <c r="E51">
        <v>6</v>
      </c>
      <c r="F51">
        <v>5298.7047999999995</v>
      </c>
      <c r="G51" t="s">
        <v>38</v>
      </c>
      <c r="H51" t="s">
        <v>6</v>
      </c>
      <c r="I51">
        <v>3382.152</v>
      </c>
      <c r="J51">
        <v>5636.92</v>
      </c>
      <c r="K51">
        <v>4</v>
      </c>
      <c r="L51">
        <v>6325.4600098761275</v>
      </c>
      <c r="M51">
        <v>3474.7766666666666</v>
      </c>
      <c r="N51">
        <v>169558.55359999998</v>
      </c>
      <c r="O51">
        <v>61329.689599999983</v>
      </c>
      <c r="P51">
        <v>1823.9281333333329</v>
      </c>
      <c r="Q51">
        <v>0.5249051401864675</v>
      </c>
    </row>
    <row r="52" spans="1:17" x14ac:dyDescent="0.2">
      <c r="A52">
        <v>558</v>
      </c>
      <c r="B52">
        <v>62</v>
      </c>
      <c r="C52" s="1">
        <v>45271</v>
      </c>
      <c r="D52">
        <v>31</v>
      </c>
      <c r="E52">
        <v>5</v>
      </c>
      <c r="F52">
        <v>3285.0430000000001</v>
      </c>
      <c r="G52" t="s">
        <v>74</v>
      </c>
      <c r="H52" t="s">
        <v>6</v>
      </c>
      <c r="I52">
        <v>2074.7640000000001</v>
      </c>
      <c r="J52">
        <v>3457.94</v>
      </c>
      <c r="K52">
        <v>4</v>
      </c>
      <c r="L52">
        <v>4137.1465391663296</v>
      </c>
      <c r="M52">
        <v>5560.3266666666668</v>
      </c>
      <c r="N52">
        <v>101836.333</v>
      </c>
      <c r="O52">
        <v>37518.648999999998</v>
      </c>
      <c r="P52">
        <v>-2275.2836666666667</v>
      </c>
      <c r="Q52">
        <v>-0.40919963934972647</v>
      </c>
    </row>
    <row r="53" spans="1:17" x14ac:dyDescent="0.2">
      <c r="A53">
        <v>553</v>
      </c>
      <c r="B53">
        <v>70</v>
      </c>
      <c r="C53" s="1">
        <v>45700</v>
      </c>
      <c r="D53">
        <v>22</v>
      </c>
      <c r="E53">
        <v>7</v>
      </c>
      <c r="F53">
        <v>3747.6674999999996</v>
      </c>
      <c r="G53" t="s">
        <v>82</v>
      </c>
      <c r="H53" t="s">
        <v>6</v>
      </c>
      <c r="I53">
        <v>2417.85</v>
      </c>
      <c r="J53">
        <v>4029.75</v>
      </c>
      <c r="K53">
        <v>1</v>
      </c>
      <c r="L53">
        <v>4836.3663355884801</v>
      </c>
      <c r="M53">
        <v>2158.7083333333335</v>
      </c>
      <c r="N53">
        <v>82448.684999999998</v>
      </c>
      <c r="O53">
        <v>29255.984999999993</v>
      </c>
      <c r="P53">
        <v>1588.9591666666661</v>
      </c>
      <c r="Q53">
        <v>0.73606940878997829</v>
      </c>
    </row>
    <row r="54" spans="1:17" x14ac:dyDescent="0.2">
      <c r="A54">
        <v>53</v>
      </c>
      <c r="B54">
        <v>63</v>
      </c>
      <c r="C54" s="1">
        <v>45937</v>
      </c>
      <c r="D54">
        <v>38</v>
      </c>
      <c r="E54">
        <v>4</v>
      </c>
      <c r="F54">
        <v>6721.6992</v>
      </c>
      <c r="G54" t="s">
        <v>75</v>
      </c>
      <c r="H54" t="s">
        <v>6</v>
      </c>
      <c r="I54">
        <v>4201.0619999999999</v>
      </c>
      <c r="J54">
        <v>7001.77</v>
      </c>
      <c r="K54">
        <v>4</v>
      </c>
      <c r="L54">
        <v>8552.5376828962453</v>
      </c>
      <c r="M54">
        <v>4859.22</v>
      </c>
      <c r="N54">
        <v>255424.56959999999</v>
      </c>
      <c r="O54">
        <v>95784.213600000003</v>
      </c>
      <c r="P54">
        <v>1862.4791999999998</v>
      </c>
      <c r="Q54">
        <v>0.38328768814748038</v>
      </c>
    </row>
    <row r="55" spans="1:17" x14ac:dyDescent="0.2">
      <c r="A55">
        <v>548</v>
      </c>
      <c r="B55">
        <v>24</v>
      </c>
      <c r="C55" s="1">
        <v>45816</v>
      </c>
      <c r="D55">
        <v>45</v>
      </c>
      <c r="E55">
        <v>9</v>
      </c>
      <c r="F55">
        <v>3636.8332</v>
      </c>
      <c r="G55" t="s">
        <v>36</v>
      </c>
      <c r="H55" t="s">
        <v>6</v>
      </c>
      <c r="I55">
        <v>2397.9119999999998</v>
      </c>
      <c r="J55">
        <v>3996.52</v>
      </c>
      <c r="K55">
        <v>4</v>
      </c>
      <c r="L55">
        <v>4333.4809387888399</v>
      </c>
      <c r="M55">
        <v>3028.7733333333331</v>
      </c>
      <c r="N55">
        <v>163657.49400000001</v>
      </c>
      <c r="O55">
        <v>55751.454000000012</v>
      </c>
      <c r="P55">
        <v>608.05986666666695</v>
      </c>
      <c r="Q55">
        <v>0.20076110020338278</v>
      </c>
    </row>
    <row r="56" spans="1:17" x14ac:dyDescent="0.2">
      <c r="A56">
        <v>538</v>
      </c>
      <c r="B56">
        <v>26</v>
      </c>
      <c r="C56" s="1">
        <v>45956</v>
      </c>
      <c r="D56">
        <v>37</v>
      </c>
      <c r="E56">
        <v>6</v>
      </c>
      <c r="F56">
        <v>5298.7047999999995</v>
      </c>
      <c r="G56" t="s">
        <v>38</v>
      </c>
      <c r="H56" t="s">
        <v>6</v>
      </c>
      <c r="I56">
        <v>3382.152</v>
      </c>
      <c r="J56">
        <v>5636.92</v>
      </c>
      <c r="K56">
        <v>4</v>
      </c>
      <c r="L56">
        <v>6209.629452565573</v>
      </c>
      <c r="M56">
        <v>3474.7766666666666</v>
      </c>
      <c r="N56">
        <v>196052.07759999999</v>
      </c>
      <c r="O56">
        <v>70912.453599999979</v>
      </c>
      <c r="P56">
        <v>1823.9281333333329</v>
      </c>
      <c r="Q56">
        <v>0.5249051401864675</v>
      </c>
    </row>
    <row r="57" spans="1:17" x14ac:dyDescent="0.2">
      <c r="A57">
        <v>528</v>
      </c>
      <c r="B57">
        <v>41</v>
      </c>
      <c r="C57" s="1">
        <v>45952</v>
      </c>
      <c r="D57">
        <v>13</v>
      </c>
      <c r="E57">
        <v>5</v>
      </c>
      <c r="F57">
        <v>2927.3964999999998</v>
      </c>
      <c r="G57" t="s">
        <v>53</v>
      </c>
      <c r="H57" t="s">
        <v>6</v>
      </c>
      <c r="I57">
        <v>1848.8819999999998</v>
      </c>
      <c r="J57">
        <v>3081.47</v>
      </c>
      <c r="K57">
        <v>1</v>
      </c>
      <c r="L57">
        <v>3194.9765577181579</v>
      </c>
      <c r="M57">
        <v>1589.1249999999998</v>
      </c>
      <c r="N57">
        <v>38056.154499999997</v>
      </c>
      <c r="O57">
        <v>14020.6885</v>
      </c>
      <c r="P57">
        <v>1338.2715000000001</v>
      </c>
      <c r="Q57">
        <v>0.84214363250216329</v>
      </c>
    </row>
    <row r="58" spans="1:17" x14ac:dyDescent="0.2">
      <c r="A58">
        <v>57</v>
      </c>
      <c r="B58">
        <v>119</v>
      </c>
      <c r="C58" s="1">
        <v>44934</v>
      </c>
      <c r="D58">
        <v>27</v>
      </c>
      <c r="E58">
        <v>7</v>
      </c>
      <c r="F58">
        <v>1805.9763</v>
      </c>
      <c r="G58" t="s">
        <v>131</v>
      </c>
      <c r="H58" t="s">
        <v>6</v>
      </c>
      <c r="I58">
        <v>1165.146</v>
      </c>
      <c r="J58">
        <v>1941.91</v>
      </c>
      <c r="K58">
        <v>4</v>
      </c>
      <c r="L58">
        <v>2278.0249643119819</v>
      </c>
      <c r="M58">
        <v>4902.3539999999994</v>
      </c>
      <c r="N58">
        <v>48761.360099999998</v>
      </c>
      <c r="O58">
        <v>17302.418100000003</v>
      </c>
      <c r="P58">
        <v>-3096.3776999999991</v>
      </c>
      <c r="Q58">
        <v>-0.63161038554131332</v>
      </c>
    </row>
    <row r="59" spans="1:17" x14ac:dyDescent="0.2">
      <c r="A59">
        <v>58</v>
      </c>
      <c r="B59">
        <v>18</v>
      </c>
      <c r="C59" s="1">
        <v>45638</v>
      </c>
      <c r="D59">
        <v>40</v>
      </c>
      <c r="E59">
        <v>9</v>
      </c>
      <c r="F59">
        <v>7676.714500000001</v>
      </c>
      <c r="G59" t="s">
        <v>29</v>
      </c>
      <c r="H59" t="s">
        <v>6</v>
      </c>
      <c r="I59">
        <v>5061.5700000000006</v>
      </c>
      <c r="J59">
        <v>8435.9500000000007</v>
      </c>
      <c r="K59">
        <v>3</v>
      </c>
      <c r="L59">
        <v>10746.349470772069</v>
      </c>
      <c r="M59">
        <v>1552.9240000000002</v>
      </c>
      <c r="N59">
        <v>307068.58</v>
      </c>
      <c r="O59">
        <v>104605.78000000001</v>
      </c>
      <c r="P59">
        <v>6123.790500000001</v>
      </c>
      <c r="Q59">
        <v>3.9433935595045218</v>
      </c>
    </row>
    <row r="60" spans="1:17" x14ac:dyDescent="0.2">
      <c r="A60">
        <v>526</v>
      </c>
      <c r="B60">
        <v>77</v>
      </c>
      <c r="C60" s="1">
        <v>45888</v>
      </c>
      <c r="D60">
        <v>41</v>
      </c>
      <c r="E60">
        <v>2</v>
      </c>
      <c r="F60">
        <v>1965.8604</v>
      </c>
      <c r="G60" t="s">
        <v>89</v>
      </c>
      <c r="H60" t="s">
        <v>6</v>
      </c>
      <c r="I60">
        <v>1203.588</v>
      </c>
      <c r="J60">
        <v>2005.98</v>
      </c>
      <c r="K60">
        <v>1</v>
      </c>
      <c r="L60">
        <v>2329.6392484422881</v>
      </c>
      <c r="M60">
        <v>4139.2699999999995</v>
      </c>
      <c r="N60">
        <v>80600.276400000002</v>
      </c>
      <c r="O60">
        <v>31253.168400000002</v>
      </c>
      <c r="P60">
        <v>-2173.4095999999995</v>
      </c>
      <c r="Q60">
        <v>-0.52507074919007457</v>
      </c>
    </row>
    <row r="61" spans="1:17" x14ac:dyDescent="0.2">
      <c r="A61">
        <v>505</v>
      </c>
      <c r="B61">
        <v>66</v>
      </c>
      <c r="C61" s="1">
        <v>45517</v>
      </c>
      <c r="D61">
        <v>14</v>
      </c>
      <c r="E61">
        <v>5</v>
      </c>
      <c r="F61">
        <v>5533.7595000000001</v>
      </c>
      <c r="G61" t="s">
        <v>78</v>
      </c>
      <c r="H61" t="s">
        <v>6</v>
      </c>
      <c r="I61">
        <v>3495.0059999999999</v>
      </c>
      <c r="J61">
        <v>5825.01</v>
      </c>
      <c r="K61">
        <v>1</v>
      </c>
      <c r="L61">
        <v>7138.2653825343341</v>
      </c>
      <c r="M61">
        <v>6051.7379999999994</v>
      </c>
      <c r="N61">
        <v>77472.633000000002</v>
      </c>
      <c r="O61">
        <v>28542.549000000003</v>
      </c>
      <c r="P61">
        <v>-517.97849999999926</v>
      </c>
      <c r="Q61">
        <v>-8.5591692832703486E-2</v>
      </c>
    </row>
    <row r="62" spans="1:17" x14ac:dyDescent="0.2">
      <c r="A62">
        <v>61</v>
      </c>
      <c r="B62">
        <v>77</v>
      </c>
      <c r="C62" s="1">
        <v>45150</v>
      </c>
      <c r="D62">
        <v>45</v>
      </c>
      <c r="E62">
        <v>10</v>
      </c>
      <c r="F62">
        <v>1805.3820000000001</v>
      </c>
      <c r="G62" t="s">
        <v>89</v>
      </c>
      <c r="H62" t="s">
        <v>6</v>
      </c>
      <c r="I62">
        <v>1203.588</v>
      </c>
      <c r="J62">
        <v>2005.98</v>
      </c>
      <c r="K62">
        <v>1</v>
      </c>
      <c r="L62">
        <v>2576.8295930966124</v>
      </c>
      <c r="M62">
        <v>4139.2699999999995</v>
      </c>
      <c r="N62">
        <v>81242.19</v>
      </c>
      <c r="O62">
        <v>27080.730000000003</v>
      </c>
      <c r="P62">
        <v>-2333.8879999999995</v>
      </c>
      <c r="Q62">
        <v>-0.56384048395006847</v>
      </c>
    </row>
    <row r="63" spans="1:17" x14ac:dyDescent="0.2">
      <c r="A63">
        <v>500</v>
      </c>
      <c r="B63">
        <v>58</v>
      </c>
      <c r="C63" s="1">
        <v>45225</v>
      </c>
      <c r="D63">
        <v>12</v>
      </c>
      <c r="E63">
        <v>3</v>
      </c>
      <c r="F63">
        <v>1104.4225999999999</v>
      </c>
      <c r="G63" t="s">
        <v>70</v>
      </c>
      <c r="H63" t="s">
        <v>6</v>
      </c>
      <c r="I63">
        <v>683.14799999999991</v>
      </c>
      <c r="J63">
        <v>1138.58</v>
      </c>
      <c r="K63">
        <v>2</v>
      </c>
      <c r="L63">
        <v>1147.9158857044185</v>
      </c>
      <c r="M63">
        <v>1439.8525</v>
      </c>
      <c r="N63">
        <v>13253.071199999998</v>
      </c>
      <c r="O63">
        <v>5055.2951999999996</v>
      </c>
      <c r="P63">
        <v>-335.42990000000009</v>
      </c>
      <c r="Q63">
        <v>-0.23296129291021136</v>
      </c>
    </row>
    <row r="64" spans="1:17" x14ac:dyDescent="0.2">
      <c r="A64">
        <v>491</v>
      </c>
      <c r="B64">
        <v>41</v>
      </c>
      <c r="C64" s="1">
        <v>45105</v>
      </c>
      <c r="D64">
        <v>35</v>
      </c>
      <c r="E64">
        <v>7</v>
      </c>
      <c r="F64">
        <v>2865.7670999999996</v>
      </c>
      <c r="G64" t="s">
        <v>53</v>
      </c>
      <c r="H64" t="s">
        <v>6</v>
      </c>
      <c r="I64">
        <v>1848.8819999999998</v>
      </c>
      <c r="J64">
        <v>3081.47</v>
      </c>
      <c r="K64">
        <v>1</v>
      </c>
      <c r="L64">
        <v>3974.5888845928789</v>
      </c>
      <c r="M64">
        <v>1589.1249999999998</v>
      </c>
      <c r="N64">
        <v>100301.84849999998</v>
      </c>
      <c r="O64">
        <v>35590.97849999999</v>
      </c>
      <c r="P64">
        <v>1276.6420999999998</v>
      </c>
      <c r="Q64">
        <v>0.80336166129159126</v>
      </c>
    </row>
    <row r="65" spans="1:17" x14ac:dyDescent="0.2">
      <c r="A65">
        <v>484</v>
      </c>
      <c r="B65">
        <v>61</v>
      </c>
      <c r="C65" s="1">
        <v>45525</v>
      </c>
      <c r="D65">
        <v>44</v>
      </c>
      <c r="E65">
        <v>2</v>
      </c>
      <c r="F65">
        <v>2393.3951999999999</v>
      </c>
      <c r="G65" t="s">
        <v>73</v>
      </c>
      <c r="H65" t="s">
        <v>6</v>
      </c>
      <c r="I65">
        <v>1465.3439999999998</v>
      </c>
      <c r="J65">
        <v>2442.2399999999998</v>
      </c>
      <c r="K65">
        <v>5</v>
      </c>
      <c r="L65">
        <v>2619.212424292502</v>
      </c>
      <c r="M65">
        <v>411.75600000000003</v>
      </c>
      <c r="N65">
        <v>105309.3888</v>
      </c>
      <c r="O65">
        <v>40834.252800000002</v>
      </c>
      <c r="P65">
        <v>1981.6391999999998</v>
      </c>
      <c r="Q65">
        <v>4.8126540961151747</v>
      </c>
    </row>
    <row r="66" spans="1:17" x14ac:dyDescent="0.2">
      <c r="A66">
        <v>473</v>
      </c>
      <c r="B66">
        <v>26</v>
      </c>
      <c r="C66" s="1">
        <v>45274</v>
      </c>
      <c r="D66">
        <v>40</v>
      </c>
      <c r="E66">
        <v>5</v>
      </c>
      <c r="F66">
        <v>5355.0739999999996</v>
      </c>
      <c r="G66" t="s">
        <v>38</v>
      </c>
      <c r="H66" t="s">
        <v>6</v>
      </c>
      <c r="I66">
        <v>3382.152</v>
      </c>
      <c r="J66">
        <v>5636.92</v>
      </c>
      <c r="K66">
        <v>4</v>
      </c>
      <c r="L66">
        <v>6452.8591079836606</v>
      </c>
      <c r="M66">
        <v>3474.7766666666666</v>
      </c>
      <c r="N66">
        <v>214202.96</v>
      </c>
      <c r="O66">
        <v>78916.879999999976</v>
      </c>
      <c r="P66">
        <v>1880.297333333333</v>
      </c>
      <c r="Q66">
        <v>0.54112753529483415</v>
      </c>
    </row>
    <row r="67" spans="1:17" x14ac:dyDescent="0.2">
      <c r="A67">
        <v>66</v>
      </c>
      <c r="B67">
        <v>95</v>
      </c>
      <c r="C67" s="1">
        <v>45994</v>
      </c>
      <c r="D67">
        <v>21</v>
      </c>
      <c r="E67">
        <v>4</v>
      </c>
      <c r="F67">
        <v>6689.9232000000002</v>
      </c>
      <c r="G67" t="s">
        <v>107</v>
      </c>
      <c r="H67" t="s">
        <v>6</v>
      </c>
      <c r="I67">
        <v>4181.2020000000002</v>
      </c>
      <c r="J67">
        <v>6968.67</v>
      </c>
      <c r="K67">
        <v>2</v>
      </c>
      <c r="L67">
        <v>8658.1771764859641</v>
      </c>
      <c r="M67">
        <v>2797.7239999999997</v>
      </c>
      <c r="N67">
        <v>140488.3872</v>
      </c>
      <c r="O67">
        <v>52683.145199999999</v>
      </c>
      <c r="P67">
        <v>3892.1992000000005</v>
      </c>
      <c r="Q67">
        <v>1.3912019913329552</v>
      </c>
    </row>
    <row r="68" spans="1:17" x14ac:dyDescent="0.2">
      <c r="A68">
        <v>471</v>
      </c>
      <c r="B68">
        <v>18</v>
      </c>
      <c r="C68" s="1">
        <v>45054</v>
      </c>
      <c r="D68">
        <v>30</v>
      </c>
      <c r="E68">
        <v>3</v>
      </c>
      <c r="F68">
        <v>8182.8715000000002</v>
      </c>
      <c r="G68" t="s">
        <v>29</v>
      </c>
      <c r="H68" t="s">
        <v>6</v>
      </c>
      <c r="I68">
        <v>5061.5700000000006</v>
      </c>
      <c r="J68">
        <v>8435.9500000000007</v>
      </c>
      <c r="K68">
        <v>3</v>
      </c>
      <c r="L68">
        <v>8834.153377752873</v>
      </c>
      <c r="M68">
        <v>1552.9240000000002</v>
      </c>
      <c r="N68">
        <v>245486.14500000002</v>
      </c>
      <c r="O68">
        <v>93639.044999999984</v>
      </c>
      <c r="P68">
        <v>6629.9475000000002</v>
      </c>
      <c r="Q68">
        <v>4.2693315963949292</v>
      </c>
    </row>
    <row r="69" spans="1:17" x14ac:dyDescent="0.2">
      <c r="A69">
        <v>465</v>
      </c>
      <c r="B69">
        <v>113</v>
      </c>
      <c r="C69" s="1">
        <v>45241</v>
      </c>
      <c r="D69">
        <v>45</v>
      </c>
      <c r="E69">
        <v>7</v>
      </c>
      <c r="F69">
        <v>4491.1187999999993</v>
      </c>
      <c r="G69" t="s">
        <v>125</v>
      </c>
      <c r="H69" t="s">
        <v>6</v>
      </c>
      <c r="I69">
        <v>2897.4959999999996</v>
      </c>
      <c r="J69">
        <v>4829.16</v>
      </c>
      <c r="K69">
        <v>1</v>
      </c>
      <c r="L69">
        <v>5784.8062346523384</v>
      </c>
      <c r="M69">
        <v>4302.05</v>
      </c>
      <c r="N69">
        <v>202100.34599999996</v>
      </c>
      <c r="O69">
        <v>71713.025999999983</v>
      </c>
      <c r="P69">
        <v>189.0687999999991</v>
      </c>
      <c r="Q69">
        <v>4.3948536162991853E-2</v>
      </c>
    </row>
    <row r="70" spans="1:17" x14ac:dyDescent="0.2">
      <c r="A70">
        <v>454</v>
      </c>
      <c r="B70">
        <v>63</v>
      </c>
      <c r="C70" s="1">
        <v>45617</v>
      </c>
      <c r="D70">
        <v>42</v>
      </c>
      <c r="E70">
        <v>8</v>
      </c>
      <c r="F70">
        <v>6441.6284000000005</v>
      </c>
      <c r="G70" t="s">
        <v>75</v>
      </c>
      <c r="H70" t="s">
        <v>6</v>
      </c>
      <c r="I70">
        <v>4201.0619999999999</v>
      </c>
      <c r="J70">
        <v>7001.77</v>
      </c>
      <c r="K70">
        <v>4</v>
      </c>
      <c r="L70">
        <v>7203.3905148205349</v>
      </c>
      <c r="M70">
        <v>4859.22</v>
      </c>
      <c r="N70">
        <v>270548.39280000003</v>
      </c>
      <c r="O70">
        <v>94103.788800000024</v>
      </c>
      <c r="P70">
        <v>1582.4084000000003</v>
      </c>
      <c r="Q70">
        <v>0.32565070114133549</v>
      </c>
    </row>
    <row r="71" spans="1:17" x14ac:dyDescent="0.2">
      <c r="A71">
        <v>453</v>
      </c>
      <c r="B71">
        <v>44</v>
      </c>
      <c r="C71" s="1">
        <v>45858</v>
      </c>
      <c r="D71">
        <v>12</v>
      </c>
      <c r="E71">
        <v>2</v>
      </c>
      <c r="F71">
        <v>346.52800000000002</v>
      </c>
      <c r="G71" t="s">
        <v>56</v>
      </c>
      <c r="H71" t="s">
        <v>6</v>
      </c>
      <c r="I71">
        <v>212.16</v>
      </c>
      <c r="J71">
        <v>353.6</v>
      </c>
      <c r="K71">
        <v>4</v>
      </c>
      <c r="L71">
        <v>385.08945289706537</v>
      </c>
      <c r="M71">
        <v>4064.8233333333333</v>
      </c>
      <c r="N71">
        <v>4158.3360000000002</v>
      </c>
      <c r="O71">
        <v>1612.4160000000002</v>
      </c>
      <c r="P71">
        <v>-3718.2953333333335</v>
      </c>
      <c r="Q71">
        <v>-0.91474955451118423</v>
      </c>
    </row>
    <row r="72" spans="1:17" x14ac:dyDescent="0.2">
      <c r="A72">
        <v>450</v>
      </c>
      <c r="B72">
        <v>70</v>
      </c>
      <c r="C72" s="1">
        <v>45719</v>
      </c>
      <c r="D72">
        <v>10</v>
      </c>
      <c r="E72">
        <v>5</v>
      </c>
      <c r="F72">
        <v>3828.2624999999998</v>
      </c>
      <c r="G72" t="s">
        <v>82</v>
      </c>
      <c r="H72" t="s">
        <v>6</v>
      </c>
      <c r="I72">
        <v>2417.85</v>
      </c>
      <c r="J72">
        <v>4029.75</v>
      </c>
      <c r="K72">
        <v>1</v>
      </c>
      <c r="L72">
        <v>4662.5918896367057</v>
      </c>
      <c r="M72">
        <v>2158.7083333333335</v>
      </c>
      <c r="N72">
        <v>38282.625</v>
      </c>
      <c r="O72">
        <v>14104.125</v>
      </c>
      <c r="P72">
        <v>1669.5541666666663</v>
      </c>
      <c r="Q72">
        <v>0.77340423478546183</v>
      </c>
    </row>
    <row r="73" spans="1:17" x14ac:dyDescent="0.2">
      <c r="A73">
        <v>447</v>
      </c>
      <c r="B73">
        <v>66</v>
      </c>
      <c r="C73" s="1">
        <v>45840</v>
      </c>
      <c r="D73">
        <v>10</v>
      </c>
      <c r="E73">
        <v>9</v>
      </c>
      <c r="F73">
        <v>5300.7591000000002</v>
      </c>
      <c r="G73" t="s">
        <v>78</v>
      </c>
      <c r="H73" t="s">
        <v>6</v>
      </c>
      <c r="I73">
        <v>3495.0059999999999</v>
      </c>
      <c r="J73">
        <v>5825.01</v>
      </c>
      <c r="K73">
        <v>1</v>
      </c>
      <c r="L73">
        <v>7002.6240042537756</v>
      </c>
      <c r="M73">
        <v>6051.7379999999994</v>
      </c>
      <c r="N73">
        <v>53007.591</v>
      </c>
      <c r="O73">
        <v>18057.531000000003</v>
      </c>
      <c r="P73">
        <v>-750.97889999999916</v>
      </c>
      <c r="Q73">
        <v>-0.12409309523974753</v>
      </c>
    </row>
    <row r="74" spans="1:17" x14ac:dyDescent="0.2">
      <c r="A74">
        <v>440</v>
      </c>
      <c r="B74">
        <v>95</v>
      </c>
      <c r="C74" s="1">
        <v>45460</v>
      </c>
      <c r="D74">
        <v>49</v>
      </c>
      <c r="E74">
        <v>5</v>
      </c>
      <c r="F74">
        <v>6620.2365</v>
      </c>
      <c r="G74" t="s">
        <v>107</v>
      </c>
      <c r="H74" t="s">
        <v>6</v>
      </c>
      <c r="I74">
        <v>4181.2020000000002</v>
      </c>
      <c r="J74">
        <v>6968.67</v>
      </c>
      <c r="K74">
        <v>2</v>
      </c>
      <c r="L74">
        <v>7554.4673745461923</v>
      </c>
      <c r="M74">
        <v>2797.7239999999997</v>
      </c>
      <c r="N74">
        <v>324391.58850000001</v>
      </c>
      <c r="O74">
        <v>119512.69049999998</v>
      </c>
      <c r="P74">
        <v>3822.5125000000003</v>
      </c>
      <c r="Q74">
        <v>1.3662936372565702</v>
      </c>
    </row>
    <row r="75" spans="1:17" x14ac:dyDescent="0.2">
      <c r="A75">
        <v>439</v>
      </c>
      <c r="B75">
        <v>66</v>
      </c>
      <c r="C75" s="1">
        <v>45504</v>
      </c>
      <c r="D75">
        <v>30</v>
      </c>
      <c r="E75">
        <v>4</v>
      </c>
      <c r="F75">
        <v>5592.0096000000003</v>
      </c>
      <c r="G75" t="s">
        <v>78</v>
      </c>
      <c r="H75" t="s">
        <v>6</v>
      </c>
      <c r="I75">
        <v>3495.0059999999999</v>
      </c>
      <c r="J75">
        <v>5825.01</v>
      </c>
      <c r="K75">
        <v>1</v>
      </c>
      <c r="L75">
        <v>7224.7869539697231</v>
      </c>
      <c r="M75">
        <v>6051.7379999999994</v>
      </c>
      <c r="N75">
        <v>167760.288</v>
      </c>
      <c r="O75">
        <v>62910.108000000015</v>
      </c>
      <c r="P75">
        <v>-459.72839999999906</v>
      </c>
      <c r="Q75">
        <v>-7.5966342230942438E-2</v>
      </c>
    </row>
    <row r="76" spans="1:17" x14ac:dyDescent="0.2">
      <c r="A76">
        <v>430</v>
      </c>
      <c r="B76">
        <v>14</v>
      </c>
      <c r="C76" s="1">
        <v>44940</v>
      </c>
      <c r="D76">
        <v>45</v>
      </c>
      <c r="E76">
        <v>7</v>
      </c>
      <c r="F76">
        <v>5599.1765999999998</v>
      </c>
      <c r="G76" t="s">
        <v>25</v>
      </c>
      <c r="H76" t="s">
        <v>6</v>
      </c>
      <c r="I76">
        <v>3612.3719999999998</v>
      </c>
      <c r="J76">
        <v>6020.62</v>
      </c>
      <c r="K76">
        <v>5</v>
      </c>
      <c r="L76">
        <v>6798.6755543940735</v>
      </c>
      <c r="M76">
        <v>3652.5316666666672</v>
      </c>
      <c r="N76">
        <v>251962.94699999999</v>
      </c>
      <c r="O76">
        <v>89406.206999999995</v>
      </c>
      <c r="P76">
        <v>1946.6449333333326</v>
      </c>
      <c r="Q76">
        <v>0.5329577156301174</v>
      </c>
    </row>
    <row r="77" spans="1:17" x14ac:dyDescent="0.2">
      <c r="A77">
        <v>429</v>
      </c>
      <c r="B77">
        <v>77</v>
      </c>
      <c r="C77" s="1">
        <v>45105</v>
      </c>
      <c r="D77">
        <v>33</v>
      </c>
      <c r="E77">
        <v>6</v>
      </c>
      <c r="F77">
        <v>1885.6211999999998</v>
      </c>
      <c r="G77" t="s">
        <v>89</v>
      </c>
      <c r="H77" t="s">
        <v>6</v>
      </c>
      <c r="I77">
        <v>1203.588</v>
      </c>
      <c r="J77">
        <v>2005.98</v>
      </c>
      <c r="K77">
        <v>1</v>
      </c>
      <c r="L77">
        <v>2587.8309040032977</v>
      </c>
      <c r="M77">
        <v>4139.2699999999995</v>
      </c>
      <c r="N77">
        <v>62225.499599999996</v>
      </c>
      <c r="O77">
        <v>22507.095599999993</v>
      </c>
      <c r="P77">
        <v>-2253.6487999999999</v>
      </c>
      <c r="Q77">
        <v>-0.54445561657007158</v>
      </c>
    </row>
    <row r="78" spans="1:17" x14ac:dyDescent="0.2">
      <c r="A78">
        <v>419</v>
      </c>
      <c r="B78">
        <v>70</v>
      </c>
      <c r="C78" s="1">
        <v>45176</v>
      </c>
      <c r="D78">
        <v>48</v>
      </c>
      <c r="E78">
        <v>5</v>
      </c>
      <c r="F78">
        <v>3828.2624999999998</v>
      </c>
      <c r="G78" t="s">
        <v>82</v>
      </c>
      <c r="H78" t="s">
        <v>6</v>
      </c>
      <c r="I78">
        <v>2417.85</v>
      </c>
      <c r="J78">
        <v>4029.75</v>
      </c>
      <c r="K78">
        <v>1</v>
      </c>
      <c r="L78">
        <v>5177.4069517070348</v>
      </c>
      <c r="M78">
        <v>2158.7083333333335</v>
      </c>
      <c r="N78">
        <v>183756.59999999998</v>
      </c>
      <c r="O78">
        <v>67699.799999999988</v>
      </c>
      <c r="P78">
        <v>1669.5541666666663</v>
      </c>
      <c r="Q78">
        <v>0.77340423478546183</v>
      </c>
    </row>
    <row r="79" spans="1:17" x14ac:dyDescent="0.2">
      <c r="A79">
        <v>78</v>
      </c>
      <c r="B79">
        <v>20</v>
      </c>
      <c r="C79" s="1">
        <v>45184</v>
      </c>
      <c r="D79">
        <v>1</v>
      </c>
      <c r="E79">
        <v>4</v>
      </c>
      <c r="F79">
        <v>2909.9327999999996</v>
      </c>
      <c r="G79" t="s">
        <v>31</v>
      </c>
      <c r="H79" t="s">
        <v>6</v>
      </c>
      <c r="I79">
        <v>1818.7079999999999</v>
      </c>
      <c r="J79">
        <v>3031.18</v>
      </c>
      <c r="K79">
        <v>4</v>
      </c>
      <c r="L79">
        <v>3674.3240977245491</v>
      </c>
      <c r="M79">
        <v>4553.9966666666669</v>
      </c>
      <c r="N79">
        <v>2909.9327999999996</v>
      </c>
      <c r="O79">
        <v>1091.2247999999997</v>
      </c>
      <c r="P79">
        <v>-1644.0638666666673</v>
      </c>
      <c r="Q79">
        <v>-0.36101560607202915</v>
      </c>
    </row>
    <row r="80" spans="1:17" x14ac:dyDescent="0.2">
      <c r="A80">
        <v>418</v>
      </c>
      <c r="B80">
        <v>128</v>
      </c>
      <c r="C80" s="1">
        <v>45572</v>
      </c>
      <c r="D80">
        <v>1</v>
      </c>
      <c r="E80">
        <v>4</v>
      </c>
      <c r="F80">
        <v>5052.0960000000005</v>
      </c>
      <c r="G80" t="s">
        <v>140</v>
      </c>
      <c r="H80" t="s">
        <v>6</v>
      </c>
      <c r="I80">
        <v>3157.56</v>
      </c>
      <c r="J80">
        <v>5262.6</v>
      </c>
      <c r="K80">
        <v>4</v>
      </c>
      <c r="L80">
        <v>6799.0749391169156</v>
      </c>
      <c r="M80">
        <v>1349.8883333333335</v>
      </c>
      <c r="N80">
        <v>5052.0960000000005</v>
      </c>
      <c r="O80">
        <v>1894.5360000000005</v>
      </c>
      <c r="P80">
        <v>3702.2076666666671</v>
      </c>
      <c r="Q80">
        <v>2.7426029066601805</v>
      </c>
    </row>
    <row r="81" spans="1:17" x14ac:dyDescent="0.2">
      <c r="A81">
        <v>406</v>
      </c>
      <c r="B81">
        <v>24</v>
      </c>
      <c r="C81" s="1">
        <v>45748</v>
      </c>
      <c r="D81">
        <v>6</v>
      </c>
      <c r="E81">
        <v>10</v>
      </c>
      <c r="F81">
        <v>3596.8679999999999</v>
      </c>
      <c r="G81" t="s">
        <v>36</v>
      </c>
      <c r="H81" t="s">
        <v>6</v>
      </c>
      <c r="I81">
        <v>2397.9119999999998</v>
      </c>
      <c r="J81">
        <v>3996.52</v>
      </c>
      <c r="K81">
        <v>4</v>
      </c>
      <c r="L81">
        <v>4859.898163232293</v>
      </c>
      <c r="M81">
        <v>3028.7733333333331</v>
      </c>
      <c r="N81">
        <v>21581.207999999999</v>
      </c>
      <c r="O81">
        <v>7193.7360000000008</v>
      </c>
      <c r="P81">
        <v>568.09466666666685</v>
      </c>
      <c r="Q81">
        <v>0.18756592327807084</v>
      </c>
    </row>
    <row r="82" spans="1:17" x14ac:dyDescent="0.2">
      <c r="A82">
        <v>402</v>
      </c>
      <c r="B82">
        <v>63</v>
      </c>
      <c r="C82" s="1">
        <v>45842</v>
      </c>
      <c r="D82">
        <v>50</v>
      </c>
      <c r="E82">
        <v>4</v>
      </c>
      <c r="F82">
        <v>6721.6992</v>
      </c>
      <c r="G82" t="s">
        <v>75</v>
      </c>
      <c r="H82" t="s">
        <v>6</v>
      </c>
      <c r="I82">
        <v>4201.0619999999999</v>
      </c>
      <c r="J82">
        <v>7001.77</v>
      </c>
      <c r="K82">
        <v>4</v>
      </c>
      <c r="L82">
        <v>8671.793739419285</v>
      </c>
      <c r="M82">
        <v>4859.22</v>
      </c>
      <c r="N82">
        <v>336084.96</v>
      </c>
      <c r="O82">
        <v>126031.86</v>
      </c>
      <c r="P82">
        <v>1862.4791999999998</v>
      </c>
      <c r="Q82">
        <v>0.38328768814748038</v>
      </c>
    </row>
    <row r="83" spans="1:17" x14ac:dyDescent="0.2">
      <c r="A83">
        <v>82</v>
      </c>
      <c r="B83">
        <v>20</v>
      </c>
      <c r="C83" s="1">
        <v>45404</v>
      </c>
      <c r="D83">
        <v>37</v>
      </c>
      <c r="E83">
        <v>9</v>
      </c>
      <c r="F83">
        <v>2758.3737999999998</v>
      </c>
      <c r="G83" t="s">
        <v>31</v>
      </c>
      <c r="H83" t="s">
        <v>6</v>
      </c>
      <c r="I83">
        <v>1818.7079999999999</v>
      </c>
      <c r="J83">
        <v>3031.18</v>
      </c>
      <c r="K83">
        <v>4</v>
      </c>
      <c r="L83">
        <v>3594.4974093166047</v>
      </c>
      <c r="M83">
        <v>4553.9966666666669</v>
      </c>
      <c r="N83">
        <v>102059.8306</v>
      </c>
      <c r="O83">
        <v>34767.634599999998</v>
      </c>
      <c r="P83">
        <v>-1795.6228666666671</v>
      </c>
      <c r="Q83">
        <v>-0.39429604325577761</v>
      </c>
    </row>
    <row r="84" spans="1:17" x14ac:dyDescent="0.2">
      <c r="A84">
        <v>391</v>
      </c>
      <c r="B84">
        <v>41</v>
      </c>
      <c r="C84" s="1">
        <v>45944</v>
      </c>
      <c r="D84">
        <v>8</v>
      </c>
      <c r="E84">
        <v>5</v>
      </c>
      <c r="F84">
        <v>2927.3964999999998</v>
      </c>
      <c r="G84" t="s">
        <v>53</v>
      </c>
      <c r="H84" t="s">
        <v>6</v>
      </c>
      <c r="I84">
        <v>1848.8819999999998</v>
      </c>
      <c r="J84">
        <v>3081.47</v>
      </c>
      <c r="K84">
        <v>1</v>
      </c>
      <c r="L84">
        <v>3802.0667205141426</v>
      </c>
      <c r="M84">
        <v>1589.1249999999998</v>
      </c>
      <c r="N84">
        <v>23419.171999999999</v>
      </c>
      <c r="O84">
        <v>8628.116</v>
      </c>
      <c r="P84">
        <v>1338.2715000000001</v>
      </c>
      <c r="Q84">
        <v>0.84214363250216329</v>
      </c>
    </row>
    <row r="85" spans="1:17" x14ac:dyDescent="0.2">
      <c r="A85">
        <v>389</v>
      </c>
      <c r="B85">
        <v>119</v>
      </c>
      <c r="C85" s="1">
        <v>45815</v>
      </c>
      <c r="D85">
        <v>22</v>
      </c>
      <c r="E85">
        <v>6</v>
      </c>
      <c r="F85">
        <v>1825.3953999999999</v>
      </c>
      <c r="G85" t="s">
        <v>131</v>
      </c>
      <c r="H85" t="s">
        <v>6</v>
      </c>
      <c r="I85">
        <v>1165.146</v>
      </c>
      <c r="J85">
        <v>1941.91</v>
      </c>
      <c r="K85">
        <v>4</v>
      </c>
      <c r="L85">
        <v>1967.8061532493257</v>
      </c>
      <c r="M85">
        <v>4902.3539999999994</v>
      </c>
      <c r="N85">
        <v>40158.698799999998</v>
      </c>
      <c r="O85">
        <v>14525.486799999999</v>
      </c>
      <c r="P85">
        <v>-3076.9585999999995</v>
      </c>
      <c r="Q85">
        <v>-0.62764920689121995</v>
      </c>
    </row>
    <row r="86" spans="1:17" x14ac:dyDescent="0.2">
      <c r="A86">
        <v>388</v>
      </c>
      <c r="B86">
        <v>14</v>
      </c>
      <c r="C86" s="1">
        <v>45116</v>
      </c>
      <c r="D86">
        <v>6</v>
      </c>
      <c r="E86">
        <v>7</v>
      </c>
      <c r="F86">
        <v>5599.1765999999998</v>
      </c>
      <c r="G86" t="s">
        <v>25</v>
      </c>
      <c r="H86" t="s">
        <v>6</v>
      </c>
      <c r="I86">
        <v>3612.3719999999998</v>
      </c>
      <c r="J86">
        <v>6020.62</v>
      </c>
      <c r="K86">
        <v>5</v>
      </c>
      <c r="L86">
        <v>6210.0387420422921</v>
      </c>
      <c r="M86">
        <v>3652.5316666666672</v>
      </c>
      <c r="N86">
        <v>33595.059600000001</v>
      </c>
      <c r="O86">
        <v>11920.827600000001</v>
      </c>
      <c r="P86">
        <v>1946.6449333333326</v>
      </c>
      <c r="Q86">
        <v>0.5329577156301174</v>
      </c>
    </row>
    <row r="87" spans="1:17" x14ac:dyDescent="0.2">
      <c r="A87">
        <v>379</v>
      </c>
      <c r="B87">
        <v>77</v>
      </c>
      <c r="C87" s="1">
        <v>45077</v>
      </c>
      <c r="D87">
        <v>9</v>
      </c>
      <c r="E87">
        <v>10</v>
      </c>
      <c r="F87">
        <v>1805.3820000000001</v>
      </c>
      <c r="G87" t="s">
        <v>89</v>
      </c>
      <c r="H87" t="s">
        <v>6</v>
      </c>
      <c r="I87">
        <v>1203.588</v>
      </c>
      <c r="J87">
        <v>2005.98</v>
      </c>
      <c r="K87">
        <v>1</v>
      </c>
      <c r="L87">
        <v>2302.2683137020294</v>
      </c>
      <c r="M87">
        <v>4139.2699999999995</v>
      </c>
      <c r="N87">
        <v>16248.438</v>
      </c>
      <c r="O87">
        <v>5416.1460000000006</v>
      </c>
      <c r="P87">
        <v>-2333.8879999999995</v>
      </c>
      <c r="Q87">
        <v>-0.56384048395006847</v>
      </c>
    </row>
    <row r="88" spans="1:17" x14ac:dyDescent="0.2">
      <c r="A88">
        <v>373</v>
      </c>
      <c r="B88">
        <v>77</v>
      </c>
      <c r="C88" s="1">
        <v>45150</v>
      </c>
      <c r="D88">
        <v>23</v>
      </c>
      <c r="E88">
        <v>10</v>
      </c>
      <c r="F88">
        <v>1805.3820000000001</v>
      </c>
      <c r="G88" t="s">
        <v>89</v>
      </c>
      <c r="H88" t="s">
        <v>6</v>
      </c>
      <c r="I88">
        <v>1203.588</v>
      </c>
      <c r="J88">
        <v>2005.98</v>
      </c>
      <c r="K88">
        <v>1</v>
      </c>
      <c r="L88">
        <v>2565.150328646338</v>
      </c>
      <c r="M88">
        <v>4139.2699999999995</v>
      </c>
      <c r="N88">
        <v>41523.786</v>
      </c>
      <c r="O88">
        <v>13841.262000000002</v>
      </c>
      <c r="P88">
        <v>-2333.8879999999995</v>
      </c>
      <c r="Q88">
        <v>-0.56384048395006847</v>
      </c>
    </row>
    <row r="89" spans="1:17" x14ac:dyDescent="0.2">
      <c r="A89">
        <v>363</v>
      </c>
      <c r="B89">
        <v>1</v>
      </c>
      <c r="C89" s="1">
        <v>45432</v>
      </c>
      <c r="D89">
        <v>6</v>
      </c>
      <c r="E89">
        <v>4</v>
      </c>
      <c r="F89">
        <v>1834.5119999999999</v>
      </c>
      <c r="G89" t="s">
        <v>5</v>
      </c>
      <c r="H89" t="s">
        <v>6</v>
      </c>
      <c r="I89">
        <v>1146.57</v>
      </c>
      <c r="J89">
        <v>1910.95</v>
      </c>
      <c r="K89">
        <v>1</v>
      </c>
      <c r="L89">
        <v>2269.4953315923922</v>
      </c>
      <c r="M89">
        <v>4785.0083333333332</v>
      </c>
      <c r="N89">
        <v>11007.072</v>
      </c>
      <c r="O89">
        <v>4127.652</v>
      </c>
      <c r="P89">
        <v>-2950.4963333333335</v>
      </c>
      <c r="Q89">
        <v>-0.61661257991539553</v>
      </c>
    </row>
    <row r="90" spans="1:17" x14ac:dyDescent="0.2">
      <c r="A90">
        <v>341</v>
      </c>
      <c r="B90">
        <v>95</v>
      </c>
      <c r="C90" s="1">
        <v>45861</v>
      </c>
      <c r="D90">
        <v>7</v>
      </c>
      <c r="E90">
        <v>4</v>
      </c>
      <c r="F90">
        <v>6689.9232000000002</v>
      </c>
      <c r="G90" t="s">
        <v>107</v>
      </c>
      <c r="H90" t="s">
        <v>6</v>
      </c>
      <c r="I90">
        <v>4181.2020000000002</v>
      </c>
      <c r="J90">
        <v>6968.67</v>
      </c>
      <c r="K90">
        <v>2</v>
      </c>
      <c r="L90">
        <v>8117.3623558526688</v>
      </c>
      <c r="M90">
        <v>2797.7239999999997</v>
      </c>
      <c r="N90">
        <v>46829.462400000004</v>
      </c>
      <c r="O90">
        <v>17561.0484</v>
      </c>
      <c r="P90">
        <v>3892.1992000000005</v>
      </c>
      <c r="Q90">
        <v>1.3912019913329552</v>
      </c>
    </row>
    <row r="91" spans="1:17" x14ac:dyDescent="0.2">
      <c r="A91">
        <v>329</v>
      </c>
      <c r="B91">
        <v>24</v>
      </c>
      <c r="C91" s="1">
        <v>45203</v>
      </c>
      <c r="D91">
        <v>24</v>
      </c>
      <c r="E91">
        <v>6</v>
      </c>
      <c r="F91">
        <v>3756.7287999999999</v>
      </c>
      <c r="G91" t="s">
        <v>36</v>
      </c>
      <c r="H91" t="s">
        <v>6</v>
      </c>
      <c r="I91">
        <v>2397.9119999999998</v>
      </c>
      <c r="J91">
        <v>3996.52</v>
      </c>
      <c r="K91">
        <v>4</v>
      </c>
      <c r="L91">
        <v>4425.2850616195556</v>
      </c>
      <c r="M91">
        <v>3028.7733333333331</v>
      </c>
      <c r="N91">
        <v>90161.491199999989</v>
      </c>
      <c r="O91">
        <v>32611.603200000001</v>
      </c>
      <c r="P91">
        <v>727.95546666666678</v>
      </c>
      <c r="Q91">
        <v>0.24034663097931841</v>
      </c>
    </row>
    <row r="92" spans="1:17" x14ac:dyDescent="0.2">
      <c r="A92">
        <v>321</v>
      </c>
      <c r="B92">
        <v>119</v>
      </c>
      <c r="C92" s="1">
        <v>45032</v>
      </c>
      <c r="D92">
        <v>2</v>
      </c>
      <c r="E92">
        <v>3</v>
      </c>
      <c r="F92">
        <v>1883.6527000000001</v>
      </c>
      <c r="G92" t="s">
        <v>131</v>
      </c>
      <c r="H92" t="s">
        <v>6</v>
      </c>
      <c r="I92">
        <v>1165.146</v>
      </c>
      <c r="J92">
        <v>1941.91</v>
      </c>
      <c r="K92">
        <v>4</v>
      </c>
      <c r="L92">
        <v>2425.0894245912182</v>
      </c>
      <c r="M92">
        <v>4902.3539999999994</v>
      </c>
      <c r="N92">
        <v>3767.3054000000002</v>
      </c>
      <c r="O92">
        <v>1437.0134000000003</v>
      </c>
      <c r="P92">
        <v>-3018.7012999999993</v>
      </c>
      <c r="Q92">
        <v>-0.6157656709409397</v>
      </c>
    </row>
    <row r="93" spans="1:17" x14ac:dyDescent="0.2">
      <c r="A93">
        <v>318</v>
      </c>
      <c r="B93">
        <v>26</v>
      </c>
      <c r="C93" s="1">
        <v>45324</v>
      </c>
      <c r="D93">
        <v>42</v>
      </c>
      <c r="E93">
        <v>8</v>
      </c>
      <c r="F93">
        <v>5185.9664000000002</v>
      </c>
      <c r="G93" t="s">
        <v>38</v>
      </c>
      <c r="H93" t="s">
        <v>6</v>
      </c>
      <c r="I93">
        <v>3382.152</v>
      </c>
      <c r="J93">
        <v>5636.92</v>
      </c>
      <c r="K93">
        <v>4</v>
      </c>
      <c r="L93">
        <v>6169.2028214157963</v>
      </c>
      <c r="M93">
        <v>3474.7766666666666</v>
      </c>
      <c r="N93">
        <v>217810.5888</v>
      </c>
      <c r="O93">
        <v>75760.204800000007</v>
      </c>
      <c r="P93">
        <v>1711.1897333333336</v>
      </c>
      <c r="Q93">
        <v>0.49246034996973437</v>
      </c>
    </row>
    <row r="94" spans="1:17" x14ac:dyDescent="0.2">
      <c r="A94">
        <v>311</v>
      </c>
      <c r="B94">
        <v>62</v>
      </c>
      <c r="C94" s="1">
        <v>45180</v>
      </c>
      <c r="D94">
        <v>28</v>
      </c>
      <c r="E94">
        <v>8</v>
      </c>
      <c r="F94">
        <v>3181.3048000000003</v>
      </c>
      <c r="G94" t="s">
        <v>74</v>
      </c>
      <c r="H94" t="s">
        <v>6</v>
      </c>
      <c r="I94">
        <v>2074.7640000000001</v>
      </c>
      <c r="J94">
        <v>3457.94</v>
      </c>
      <c r="K94">
        <v>4</v>
      </c>
      <c r="L94">
        <v>3719.8307594493422</v>
      </c>
      <c r="M94">
        <v>5560.3266666666668</v>
      </c>
      <c r="N94">
        <v>89076.534400000004</v>
      </c>
      <c r="O94">
        <v>30983.142400000004</v>
      </c>
      <c r="P94">
        <v>-2379.0218666666665</v>
      </c>
      <c r="Q94">
        <v>-0.42785649284394556</v>
      </c>
    </row>
    <row r="95" spans="1:17" x14ac:dyDescent="0.2">
      <c r="A95">
        <v>304</v>
      </c>
      <c r="B95">
        <v>95</v>
      </c>
      <c r="C95" s="1">
        <v>45389</v>
      </c>
      <c r="D95">
        <v>43</v>
      </c>
      <c r="E95">
        <v>4</v>
      </c>
      <c r="F95">
        <v>6689.9232000000002</v>
      </c>
      <c r="G95" t="s">
        <v>107</v>
      </c>
      <c r="H95" t="s">
        <v>6</v>
      </c>
      <c r="I95">
        <v>4181.2020000000002</v>
      </c>
      <c r="J95">
        <v>6968.67</v>
      </c>
      <c r="K95">
        <v>2</v>
      </c>
      <c r="L95">
        <v>8025.5526705916272</v>
      </c>
      <c r="M95">
        <v>2797.7239999999997</v>
      </c>
      <c r="N95">
        <v>287666.69760000001</v>
      </c>
      <c r="O95">
        <v>107875.0116</v>
      </c>
      <c r="P95">
        <v>3892.1992000000005</v>
      </c>
      <c r="Q95">
        <v>1.3912019913329552</v>
      </c>
    </row>
    <row r="96" spans="1:17" x14ac:dyDescent="0.2">
      <c r="A96">
        <v>296</v>
      </c>
      <c r="B96">
        <v>128</v>
      </c>
      <c r="C96" s="1">
        <v>45282</v>
      </c>
      <c r="D96">
        <v>2</v>
      </c>
      <c r="E96">
        <v>8</v>
      </c>
      <c r="F96">
        <v>4841.5920000000006</v>
      </c>
      <c r="G96" t="s">
        <v>140</v>
      </c>
      <c r="H96" t="s">
        <v>6</v>
      </c>
      <c r="I96">
        <v>3157.56</v>
      </c>
      <c r="J96">
        <v>5262.6</v>
      </c>
      <c r="K96">
        <v>4</v>
      </c>
      <c r="L96">
        <v>6234.6702770850507</v>
      </c>
      <c r="M96">
        <v>1349.8883333333335</v>
      </c>
      <c r="N96">
        <v>9683.1840000000011</v>
      </c>
      <c r="O96">
        <v>3368.0640000000012</v>
      </c>
      <c r="P96">
        <v>3491.7036666666672</v>
      </c>
      <c r="Q96">
        <v>2.5866611188826729</v>
      </c>
    </row>
    <row r="97" spans="1:17" x14ac:dyDescent="0.2">
      <c r="A97">
        <v>273</v>
      </c>
      <c r="B97">
        <v>66</v>
      </c>
      <c r="C97" s="1">
        <v>44984</v>
      </c>
      <c r="D97">
        <v>2</v>
      </c>
      <c r="E97">
        <v>6</v>
      </c>
      <c r="F97">
        <v>5475.5093999999999</v>
      </c>
      <c r="G97" t="s">
        <v>78</v>
      </c>
      <c r="H97" t="s">
        <v>6</v>
      </c>
      <c r="I97">
        <v>3495.0059999999999</v>
      </c>
      <c r="J97">
        <v>5825.01</v>
      </c>
      <c r="K97">
        <v>1</v>
      </c>
      <c r="L97">
        <v>7355.438276315539</v>
      </c>
      <c r="M97">
        <v>6051.7379999999994</v>
      </c>
      <c r="N97">
        <v>10951.0188</v>
      </c>
      <c r="O97">
        <v>3961.0068000000001</v>
      </c>
      <c r="P97">
        <v>-576.22859999999946</v>
      </c>
      <c r="Q97">
        <v>-9.5217043434464535E-2</v>
      </c>
    </row>
    <row r="98" spans="1:17" x14ac:dyDescent="0.2">
      <c r="A98">
        <v>259</v>
      </c>
      <c r="B98">
        <v>119</v>
      </c>
      <c r="C98" s="1">
        <v>45854</v>
      </c>
      <c r="D98">
        <v>33</v>
      </c>
      <c r="E98">
        <v>3</v>
      </c>
      <c r="F98">
        <v>1883.6527000000001</v>
      </c>
      <c r="G98" t="s">
        <v>131</v>
      </c>
      <c r="H98" t="s">
        <v>6</v>
      </c>
      <c r="I98">
        <v>1165.146</v>
      </c>
      <c r="J98">
        <v>1941.91</v>
      </c>
      <c r="K98">
        <v>4</v>
      </c>
      <c r="L98">
        <v>2120.2304846962165</v>
      </c>
      <c r="M98">
        <v>4902.3539999999994</v>
      </c>
      <c r="N98">
        <v>62160.539100000002</v>
      </c>
      <c r="O98">
        <v>23710.721100000006</v>
      </c>
      <c r="P98">
        <v>-3018.7012999999993</v>
      </c>
      <c r="Q98">
        <v>-0.6157656709409397</v>
      </c>
    </row>
    <row r="99" spans="1:17" x14ac:dyDescent="0.2">
      <c r="A99">
        <v>98</v>
      </c>
      <c r="B99">
        <v>41</v>
      </c>
      <c r="C99" s="1">
        <v>45933</v>
      </c>
      <c r="D99">
        <v>29</v>
      </c>
      <c r="E99">
        <v>2</v>
      </c>
      <c r="F99">
        <v>3019.8405999999995</v>
      </c>
      <c r="G99" t="s">
        <v>53</v>
      </c>
      <c r="H99" t="s">
        <v>6</v>
      </c>
      <c r="I99">
        <v>1848.8819999999998</v>
      </c>
      <c r="J99">
        <v>3081.47</v>
      </c>
      <c r="K99">
        <v>1</v>
      </c>
      <c r="L99">
        <v>3537.5320656049948</v>
      </c>
      <c r="M99">
        <v>1589.1249999999998</v>
      </c>
      <c r="N99">
        <v>87575.377399999983</v>
      </c>
      <c r="O99">
        <v>33957.799399999989</v>
      </c>
      <c r="P99">
        <v>1430.7155999999998</v>
      </c>
      <c r="Q99">
        <v>0.90031658931802094</v>
      </c>
    </row>
    <row r="100" spans="1:17" x14ac:dyDescent="0.2">
      <c r="A100">
        <v>254</v>
      </c>
      <c r="B100">
        <v>62</v>
      </c>
      <c r="C100" s="1">
        <v>45709</v>
      </c>
      <c r="D100">
        <v>4</v>
      </c>
      <c r="E100">
        <v>10</v>
      </c>
      <c r="F100">
        <v>3112.1460000000002</v>
      </c>
      <c r="G100" t="s">
        <v>74</v>
      </c>
      <c r="H100" t="s">
        <v>6</v>
      </c>
      <c r="I100">
        <v>2074.7640000000001</v>
      </c>
      <c r="J100">
        <v>3457.94</v>
      </c>
      <c r="K100">
        <v>4</v>
      </c>
      <c r="L100">
        <v>3750.4286474391947</v>
      </c>
      <c r="M100">
        <v>5560.3266666666668</v>
      </c>
      <c r="N100">
        <v>12448.584000000001</v>
      </c>
      <c r="O100">
        <v>4149.5280000000002</v>
      </c>
      <c r="P100">
        <v>-2448.1806666666666</v>
      </c>
      <c r="Q100">
        <v>-0.44029439517342506</v>
      </c>
    </row>
    <row r="101" spans="1:17" x14ac:dyDescent="0.2">
      <c r="A101">
        <v>247</v>
      </c>
      <c r="B101">
        <v>58</v>
      </c>
      <c r="C101" s="1">
        <v>45151</v>
      </c>
      <c r="D101">
        <v>27</v>
      </c>
      <c r="E101">
        <v>8</v>
      </c>
      <c r="F101">
        <v>1047.4936</v>
      </c>
      <c r="G101" t="s">
        <v>70</v>
      </c>
      <c r="H101" t="s">
        <v>6</v>
      </c>
      <c r="I101">
        <v>683.14799999999991</v>
      </c>
      <c r="J101">
        <v>1138.58</v>
      </c>
      <c r="K101">
        <v>2</v>
      </c>
      <c r="L101">
        <v>1467.6313532475879</v>
      </c>
      <c r="M101">
        <v>1439.8525</v>
      </c>
      <c r="N101">
        <v>28282.3272</v>
      </c>
      <c r="O101">
        <v>9837.3312000000024</v>
      </c>
      <c r="P101">
        <v>-392.35889999999995</v>
      </c>
      <c r="Q101">
        <v>-0.27249937059525192</v>
      </c>
    </row>
    <row r="102" spans="1:17" x14ac:dyDescent="0.2">
      <c r="A102">
        <v>229</v>
      </c>
      <c r="B102">
        <v>128</v>
      </c>
      <c r="C102" s="1">
        <v>45746</v>
      </c>
      <c r="D102">
        <v>21</v>
      </c>
      <c r="E102">
        <v>4</v>
      </c>
      <c r="F102">
        <v>5052.0960000000005</v>
      </c>
      <c r="G102" t="s">
        <v>140</v>
      </c>
      <c r="H102" t="s">
        <v>6</v>
      </c>
      <c r="I102">
        <v>3157.56</v>
      </c>
      <c r="J102">
        <v>5262.6</v>
      </c>
      <c r="K102">
        <v>4</v>
      </c>
      <c r="L102">
        <v>6742.4080691864337</v>
      </c>
      <c r="M102">
        <v>1349.8883333333335</v>
      </c>
      <c r="N102">
        <v>106094.016</v>
      </c>
      <c r="O102">
        <v>39785.256000000008</v>
      </c>
      <c r="P102">
        <v>3702.2076666666671</v>
      </c>
      <c r="Q102">
        <v>2.7426029066601805</v>
      </c>
    </row>
    <row r="103" spans="1:17" x14ac:dyDescent="0.2">
      <c r="A103">
        <v>222</v>
      </c>
      <c r="B103">
        <v>44</v>
      </c>
      <c r="C103" s="1">
        <v>45972</v>
      </c>
      <c r="D103">
        <v>6</v>
      </c>
      <c r="E103">
        <v>10</v>
      </c>
      <c r="F103">
        <v>318.24</v>
      </c>
      <c r="G103" t="s">
        <v>56</v>
      </c>
      <c r="H103" t="s">
        <v>6</v>
      </c>
      <c r="I103">
        <v>212.16</v>
      </c>
      <c r="J103">
        <v>353.6</v>
      </c>
      <c r="K103">
        <v>4</v>
      </c>
      <c r="L103">
        <v>386.7650873765557</v>
      </c>
      <c r="M103">
        <v>4064.8233333333333</v>
      </c>
      <c r="N103">
        <v>1909.44</v>
      </c>
      <c r="O103">
        <v>636.48</v>
      </c>
      <c r="P103">
        <v>-3746.583333333333</v>
      </c>
      <c r="Q103">
        <v>-0.92170877455108746</v>
      </c>
    </row>
    <row r="104" spans="1:17" x14ac:dyDescent="0.2">
      <c r="A104">
        <v>210</v>
      </c>
      <c r="B104">
        <v>66</v>
      </c>
      <c r="C104" s="1">
        <v>45323</v>
      </c>
      <c r="D104">
        <v>24</v>
      </c>
      <c r="E104">
        <v>3</v>
      </c>
      <c r="F104">
        <v>5650.2596999999996</v>
      </c>
      <c r="G104" t="s">
        <v>78</v>
      </c>
      <c r="H104" t="s">
        <v>6</v>
      </c>
      <c r="I104">
        <v>3495.0059999999999</v>
      </c>
      <c r="J104">
        <v>5825.01</v>
      </c>
      <c r="K104">
        <v>1</v>
      </c>
      <c r="L104">
        <v>7260.8187047906213</v>
      </c>
      <c r="M104">
        <v>6051.7379999999994</v>
      </c>
      <c r="N104">
        <v>135606.2328</v>
      </c>
      <c r="O104">
        <v>51726.088799999998</v>
      </c>
      <c r="P104">
        <v>-401.47829999999976</v>
      </c>
      <c r="Q104">
        <v>-6.6340991629181528E-2</v>
      </c>
    </row>
    <row r="105" spans="1:17" x14ac:dyDescent="0.2">
      <c r="A105">
        <v>204</v>
      </c>
      <c r="B105">
        <v>70</v>
      </c>
      <c r="C105" s="1">
        <v>45027</v>
      </c>
      <c r="D105">
        <v>1</v>
      </c>
      <c r="E105">
        <v>4</v>
      </c>
      <c r="F105">
        <v>3868.56</v>
      </c>
      <c r="G105" t="s">
        <v>82</v>
      </c>
      <c r="H105" t="s">
        <v>6</v>
      </c>
      <c r="I105">
        <v>2417.85</v>
      </c>
      <c r="J105">
        <v>4029.75</v>
      </c>
      <c r="K105">
        <v>1</v>
      </c>
      <c r="L105">
        <v>4602.290163807701</v>
      </c>
      <c r="M105">
        <v>2158.7083333333335</v>
      </c>
      <c r="N105">
        <v>3868.56</v>
      </c>
      <c r="O105">
        <v>1450.71</v>
      </c>
      <c r="P105">
        <v>1709.8516666666665</v>
      </c>
      <c r="Q105">
        <v>0.79207164778320349</v>
      </c>
    </row>
    <row r="106" spans="1:17" x14ac:dyDescent="0.2">
      <c r="A106">
        <v>196</v>
      </c>
      <c r="B106">
        <v>20</v>
      </c>
      <c r="C106" s="1">
        <v>45522</v>
      </c>
      <c r="D106">
        <v>30</v>
      </c>
      <c r="E106">
        <v>2</v>
      </c>
      <c r="F106">
        <v>2970.5563999999999</v>
      </c>
      <c r="G106" t="s">
        <v>31</v>
      </c>
      <c r="H106" t="s">
        <v>6</v>
      </c>
      <c r="I106">
        <v>1818.7079999999999</v>
      </c>
      <c r="J106">
        <v>3031.18</v>
      </c>
      <c r="K106">
        <v>4</v>
      </c>
      <c r="L106">
        <v>3641.419665838921</v>
      </c>
      <c r="M106">
        <v>4553.9966666666669</v>
      </c>
      <c r="N106">
        <v>89116.691999999995</v>
      </c>
      <c r="O106">
        <v>34555.452000000005</v>
      </c>
      <c r="P106">
        <v>-1583.440266666667</v>
      </c>
      <c r="Q106">
        <v>-0.3477034311985297</v>
      </c>
    </row>
    <row r="107" spans="1:17" x14ac:dyDescent="0.2">
      <c r="A107">
        <v>193</v>
      </c>
      <c r="B107">
        <v>70</v>
      </c>
      <c r="C107" s="1">
        <v>45212</v>
      </c>
      <c r="D107">
        <v>10</v>
      </c>
      <c r="E107">
        <v>10</v>
      </c>
      <c r="F107">
        <v>3626.7750000000001</v>
      </c>
      <c r="G107" t="s">
        <v>82</v>
      </c>
      <c r="H107" t="s">
        <v>6</v>
      </c>
      <c r="I107">
        <v>2417.85</v>
      </c>
      <c r="J107">
        <v>4029.75</v>
      </c>
      <c r="K107">
        <v>1</v>
      </c>
      <c r="L107">
        <v>4735.3592454989966</v>
      </c>
      <c r="M107">
        <v>2158.7083333333335</v>
      </c>
      <c r="N107">
        <v>36267.75</v>
      </c>
      <c r="O107">
        <v>12089.250000000002</v>
      </c>
      <c r="P107">
        <v>1468.0666666666666</v>
      </c>
      <c r="Q107">
        <v>0.68006716979675341</v>
      </c>
    </row>
    <row r="108" spans="1:17" x14ac:dyDescent="0.2">
      <c r="A108">
        <v>177</v>
      </c>
      <c r="B108">
        <v>58</v>
      </c>
      <c r="C108" s="1">
        <v>45102</v>
      </c>
      <c r="D108">
        <v>34</v>
      </c>
      <c r="E108">
        <v>3</v>
      </c>
      <c r="F108">
        <v>1104.4225999999999</v>
      </c>
      <c r="G108" t="s">
        <v>70</v>
      </c>
      <c r="H108" t="s">
        <v>6</v>
      </c>
      <c r="I108">
        <v>683.14799999999991</v>
      </c>
      <c r="J108">
        <v>1138.58</v>
      </c>
      <c r="K108">
        <v>2</v>
      </c>
      <c r="L108">
        <v>1460.3516625506591</v>
      </c>
      <c r="M108">
        <v>1439.8525</v>
      </c>
      <c r="N108">
        <v>37550.368399999992</v>
      </c>
      <c r="O108">
        <v>14323.336399999998</v>
      </c>
      <c r="P108">
        <v>-335.42990000000009</v>
      </c>
      <c r="Q108">
        <v>-0.23296129291021136</v>
      </c>
    </row>
    <row r="109" spans="1:17" x14ac:dyDescent="0.2">
      <c r="A109">
        <v>165</v>
      </c>
      <c r="B109">
        <v>62</v>
      </c>
      <c r="C109" s="1">
        <v>45088</v>
      </c>
      <c r="D109">
        <v>23</v>
      </c>
      <c r="E109">
        <v>9</v>
      </c>
      <c r="F109">
        <v>3146.7254000000003</v>
      </c>
      <c r="G109" t="s">
        <v>74</v>
      </c>
      <c r="H109" t="s">
        <v>6</v>
      </c>
      <c r="I109">
        <v>2074.7640000000001</v>
      </c>
      <c r="J109">
        <v>3457.94</v>
      </c>
      <c r="K109">
        <v>4</v>
      </c>
      <c r="L109">
        <v>4444.7690616995933</v>
      </c>
      <c r="M109">
        <v>5560.3266666666668</v>
      </c>
      <c r="N109">
        <v>72374.684200000003</v>
      </c>
      <c r="O109">
        <v>24655.112200000003</v>
      </c>
      <c r="P109">
        <v>-2413.6012666666666</v>
      </c>
      <c r="Q109">
        <v>-0.43407544400868531</v>
      </c>
    </row>
    <row r="110" spans="1:17" x14ac:dyDescent="0.2">
      <c r="A110">
        <v>164</v>
      </c>
      <c r="B110">
        <v>113</v>
      </c>
      <c r="C110" s="1">
        <v>45513</v>
      </c>
      <c r="D110">
        <v>8</v>
      </c>
      <c r="E110">
        <v>4</v>
      </c>
      <c r="F110">
        <v>4635.9935999999998</v>
      </c>
      <c r="G110" t="s">
        <v>125</v>
      </c>
      <c r="H110" t="s">
        <v>6</v>
      </c>
      <c r="I110">
        <v>2897.4959999999996</v>
      </c>
      <c r="J110">
        <v>4829.16</v>
      </c>
      <c r="K110">
        <v>1</v>
      </c>
      <c r="L110">
        <v>6195.8673125069554</v>
      </c>
      <c r="M110">
        <v>4302.05</v>
      </c>
      <c r="N110">
        <v>37087.948799999998</v>
      </c>
      <c r="O110">
        <v>13907.980800000001</v>
      </c>
      <c r="P110">
        <v>333.94359999999961</v>
      </c>
      <c r="Q110">
        <v>7.7624295394056228E-2</v>
      </c>
    </row>
    <row r="111" spans="1:17" x14ac:dyDescent="0.2">
      <c r="A111">
        <v>161</v>
      </c>
      <c r="B111">
        <v>26</v>
      </c>
      <c r="C111" s="1">
        <v>45227</v>
      </c>
      <c r="D111">
        <v>17</v>
      </c>
      <c r="E111">
        <v>10</v>
      </c>
      <c r="F111">
        <v>5073.2280000000001</v>
      </c>
      <c r="G111" t="s">
        <v>38</v>
      </c>
      <c r="H111" t="s">
        <v>6</v>
      </c>
      <c r="I111">
        <v>3382.152</v>
      </c>
      <c r="J111">
        <v>5636.92</v>
      </c>
      <c r="K111">
        <v>4</v>
      </c>
      <c r="L111">
        <v>6977.8988054945021</v>
      </c>
      <c r="M111">
        <v>3474.7766666666666</v>
      </c>
      <c r="N111">
        <v>86244.876000000004</v>
      </c>
      <c r="O111">
        <v>28748.292000000001</v>
      </c>
      <c r="P111">
        <v>1598.4513333333334</v>
      </c>
      <c r="Q111">
        <v>0.46001555975300096</v>
      </c>
    </row>
    <row r="112" spans="1:17" x14ac:dyDescent="0.2">
      <c r="A112">
        <v>156</v>
      </c>
      <c r="B112">
        <v>70</v>
      </c>
      <c r="C112" s="1">
        <v>45602</v>
      </c>
      <c r="D112">
        <v>1</v>
      </c>
      <c r="E112">
        <v>2</v>
      </c>
      <c r="F112">
        <v>3949.1549999999997</v>
      </c>
      <c r="G112" t="s">
        <v>82</v>
      </c>
      <c r="H112" t="s">
        <v>6</v>
      </c>
      <c r="I112">
        <v>2417.85</v>
      </c>
      <c r="J112">
        <v>4029.75</v>
      </c>
      <c r="K112">
        <v>1</v>
      </c>
      <c r="L112">
        <v>4041.7003971778768</v>
      </c>
      <c r="M112">
        <v>2158.7083333333335</v>
      </c>
      <c r="N112">
        <v>3949.1549999999997</v>
      </c>
      <c r="O112">
        <v>1531.3049999999998</v>
      </c>
      <c r="P112">
        <v>1790.4466666666663</v>
      </c>
      <c r="Q112">
        <v>0.82940647377868681</v>
      </c>
    </row>
    <row r="113" spans="1:17" x14ac:dyDescent="0.2">
      <c r="A113">
        <v>155</v>
      </c>
      <c r="B113">
        <v>1</v>
      </c>
      <c r="C113" s="1">
        <v>44984</v>
      </c>
      <c r="D113">
        <v>12</v>
      </c>
      <c r="E113">
        <v>6</v>
      </c>
      <c r="F113">
        <v>1796.2929999999999</v>
      </c>
      <c r="G113" t="s">
        <v>5</v>
      </c>
      <c r="H113" t="s">
        <v>6</v>
      </c>
      <c r="I113">
        <v>1146.57</v>
      </c>
      <c r="J113">
        <v>1910.95</v>
      </c>
      <c r="K113">
        <v>1</v>
      </c>
      <c r="L113">
        <v>2151.8500571798904</v>
      </c>
      <c r="M113">
        <v>4785.0083333333332</v>
      </c>
      <c r="N113">
        <v>21555.516</v>
      </c>
      <c r="O113">
        <v>7796.6759999999995</v>
      </c>
      <c r="P113">
        <v>-2988.7153333333335</v>
      </c>
      <c r="Q113">
        <v>-0.62459981783382479</v>
      </c>
    </row>
    <row r="114" spans="1:17" x14ac:dyDescent="0.2">
      <c r="A114">
        <v>153</v>
      </c>
      <c r="B114">
        <v>37</v>
      </c>
      <c r="C114" s="1">
        <v>45470</v>
      </c>
      <c r="D114">
        <v>44</v>
      </c>
      <c r="E114">
        <v>7</v>
      </c>
      <c r="F114">
        <v>3591.1670999999997</v>
      </c>
      <c r="G114" t="s">
        <v>49</v>
      </c>
      <c r="H114" t="s">
        <v>6</v>
      </c>
      <c r="I114">
        <v>2316.8819999999996</v>
      </c>
      <c r="J114">
        <v>3861.47</v>
      </c>
      <c r="K114">
        <v>1</v>
      </c>
      <c r="L114">
        <v>4513.8730931667615</v>
      </c>
      <c r="M114">
        <v>2618.5759999999996</v>
      </c>
      <c r="N114">
        <v>158011.35239999997</v>
      </c>
      <c r="O114">
        <v>56068.544399999999</v>
      </c>
      <c r="P114">
        <v>972.5911000000001</v>
      </c>
      <c r="Q114">
        <v>0.37141984803954525</v>
      </c>
    </row>
    <row r="115" spans="1:17" x14ac:dyDescent="0.2">
      <c r="A115">
        <v>137</v>
      </c>
      <c r="B115">
        <v>113</v>
      </c>
      <c r="C115" s="1">
        <v>45927</v>
      </c>
      <c r="D115">
        <v>44</v>
      </c>
      <c r="E115">
        <v>5</v>
      </c>
      <c r="F115">
        <v>4587.7019999999993</v>
      </c>
      <c r="G115" t="s">
        <v>125</v>
      </c>
      <c r="H115" t="s">
        <v>6</v>
      </c>
      <c r="I115">
        <v>2897.4959999999996</v>
      </c>
      <c r="J115">
        <v>4829.16</v>
      </c>
      <c r="K115">
        <v>1</v>
      </c>
      <c r="L115">
        <v>5599.1960722145868</v>
      </c>
      <c r="M115">
        <v>4302.05</v>
      </c>
      <c r="N115">
        <v>201858.88799999998</v>
      </c>
      <c r="O115">
        <v>74369.063999999984</v>
      </c>
      <c r="P115">
        <v>285.65199999999913</v>
      </c>
      <c r="Q115">
        <v>6.6399042317034696E-2</v>
      </c>
    </row>
    <row r="116" spans="1:17" x14ac:dyDescent="0.2">
      <c r="A116">
        <v>126</v>
      </c>
      <c r="B116">
        <v>62</v>
      </c>
      <c r="C116" s="1">
        <v>45418</v>
      </c>
      <c r="D116">
        <v>6</v>
      </c>
      <c r="E116">
        <v>5</v>
      </c>
      <c r="F116">
        <v>3285.0430000000001</v>
      </c>
      <c r="G116" t="s">
        <v>74</v>
      </c>
      <c r="H116" t="s">
        <v>6</v>
      </c>
      <c r="I116">
        <v>2074.7640000000001</v>
      </c>
      <c r="J116">
        <v>3457.94</v>
      </c>
      <c r="K116">
        <v>4</v>
      </c>
      <c r="L116">
        <v>3638.4030393751527</v>
      </c>
      <c r="M116">
        <v>5560.3266666666668</v>
      </c>
      <c r="N116">
        <v>19710.258000000002</v>
      </c>
      <c r="O116">
        <v>7261.674</v>
      </c>
      <c r="P116">
        <v>-2275.2836666666667</v>
      </c>
      <c r="Q116">
        <v>-0.40919963934972647</v>
      </c>
    </row>
    <row r="117" spans="1:17" x14ac:dyDescent="0.2">
      <c r="A117">
        <v>116</v>
      </c>
      <c r="B117">
        <v>62</v>
      </c>
      <c r="C117" s="1">
        <v>45158</v>
      </c>
      <c r="D117">
        <v>2</v>
      </c>
      <c r="E117">
        <v>9</v>
      </c>
      <c r="F117">
        <v>3146.7254000000003</v>
      </c>
      <c r="G117" t="s">
        <v>74</v>
      </c>
      <c r="H117" t="s">
        <v>6</v>
      </c>
      <c r="I117">
        <v>2074.7640000000001</v>
      </c>
      <c r="J117">
        <v>3457.94</v>
      </c>
      <c r="K117">
        <v>4</v>
      </c>
      <c r="L117">
        <v>4439.8241004402735</v>
      </c>
      <c r="M117">
        <v>5560.3266666666668</v>
      </c>
      <c r="N117">
        <v>6293.4508000000005</v>
      </c>
      <c r="O117">
        <v>2143.9228000000003</v>
      </c>
      <c r="P117">
        <v>-2413.6012666666666</v>
      </c>
      <c r="Q117">
        <v>-0.43407544400868531</v>
      </c>
    </row>
    <row r="118" spans="1:17" x14ac:dyDescent="0.2">
      <c r="A118">
        <v>117</v>
      </c>
      <c r="B118">
        <v>63</v>
      </c>
      <c r="C118" s="1">
        <v>45363</v>
      </c>
      <c r="D118">
        <v>4</v>
      </c>
      <c r="E118">
        <v>3</v>
      </c>
      <c r="F118">
        <v>6791.7169000000004</v>
      </c>
      <c r="G118" t="s">
        <v>75</v>
      </c>
      <c r="H118" t="s">
        <v>6</v>
      </c>
      <c r="I118">
        <v>4201.0619999999999</v>
      </c>
      <c r="J118">
        <v>7001.77</v>
      </c>
      <c r="K118">
        <v>4</v>
      </c>
      <c r="L118">
        <v>7887.7982029102268</v>
      </c>
      <c r="M118">
        <v>4859.22</v>
      </c>
      <c r="N118">
        <v>27166.867600000001</v>
      </c>
      <c r="O118">
        <v>10362.619600000002</v>
      </c>
      <c r="P118">
        <v>1932.4969000000001</v>
      </c>
      <c r="Q118">
        <v>0.3976969348990167</v>
      </c>
    </row>
    <row r="119" spans="1:17" x14ac:dyDescent="0.2">
      <c r="A119">
        <v>125</v>
      </c>
      <c r="B119">
        <v>18</v>
      </c>
      <c r="C119" s="1">
        <v>45942</v>
      </c>
      <c r="D119">
        <v>14</v>
      </c>
      <c r="E119">
        <v>7</v>
      </c>
      <c r="F119">
        <v>7845.4335000000001</v>
      </c>
      <c r="G119" t="s">
        <v>29</v>
      </c>
      <c r="H119" t="s">
        <v>6</v>
      </c>
      <c r="I119">
        <v>5061.5700000000006</v>
      </c>
      <c r="J119">
        <v>8435.9500000000007</v>
      </c>
      <c r="K119">
        <v>3</v>
      </c>
      <c r="L119">
        <v>8738.9681396462383</v>
      </c>
      <c r="M119">
        <v>1552.9240000000002</v>
      </c>
      <c r="N119">
        <v>109836.069</v>
      </c>
      <c r="O119">
        <v>38974.088999999993</v>
      </c>
      <c r="P119">
        <v>6292.5095000000001</v>
      </c>
      <c r="Q119">
        <v>4.0520395718013242</v>
      </c>
    </row>
    <row r="120" spans="1:17" x14ac:dyDescent="0.2">
      <c r="A120">
        <v>122</v>
      </c>
      <c r="B120">
        <v>63</v>
      </c>
      <c r="C120" s="1">
        <v>45470</v>
      </c>
      <c r="D120">
        <v>47</v>
      </c>
      <c r="E120">
        <v>9</v>
      </c>
      <c r="F120">
        <v>6371.6107000000002</v>
      </c>
      <c r="G120" t="s">
        <v>75</v>
      </c>
      <c r="H120" t="s">
        <v>6</v>
      </c>
      <c r="I120">
        <v>4201.0619999999999</v>
      </c>
      <c r="J120">
        <v>7001.77</v>
      </c>
      <c r="K120">
        <v>4</v>
      </c>
      <c r="L120">
        <v>7056.671437090944</v>
      </c>
      <c r="M120">
        <v>4859.22</v>
      </c>
      <c r="N120">
        <v>299465.70290000003</v>
      </c>
      <c r="O120">
        <v>102015.78890000001</v>
      </c>
      <c r="P120">
        <v>1512.3906999999999</v>
      </c>
      <c r="Q120">
        <v>0.31124145438979917</v>
      </c>
    </row>
    <row r="121" spans="1:17" x14ac:dyDescent="0.2">
      <c r="A121">
        <v>120</v>
      </c>
      <c r="B121">
        <v>66</v>
      </c>
      <c r="C121" s="1">
        <v>45555</v>
      </c>
      <c r="D121">
        <v>6</v>
      </c>
      <c r="E121">
        <v>8</v>
      </c>
      <c r="F121">
        <v>5359.0092000000004</v>
      </c>
      <c r="G121" t="s">
        <v>78</v>
      </c>
      <c r="H121" t="s">
        <v>6</v>
      </c>
      <c r="I121">
        <v>3495.0059999999999</v>
      </c>
      <c r="J121">
        <v>5825.01</v>
      </c>
      <c r="K121">
        <v>1</v>
      </c>
      <c r="L121">
        <v>6734.6258017153459</v>
      </c>
      <c r="M121">
        <v>6051.7379999999994</v>
      </c>
      <c r="N121">
        <v>32154.055200000003</v>
      </c>
      <c r="O121">
        <v>11184.019200000002</v>
      </c>
      <c r="P121">
        <v>-692.72879999999896</v>
      </c>
      <c r="Q121">
        <v>-0.11446774463798648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workbookViewId="0">
      <selection activeCell="H14" sqref="H14"/>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 min="7" max="7" width="16.140625" customWidth="1"/>
    <col min="8" max="8" width="11" customWidth="1"/>
    <col min="9" max="9" width="12.28515625" customWidth="1"/>
    <col min="10" max="10" width="13" customWidth="1"/>
    <col min="11" max="11" width="9.5703125" customWidth="1"/>
    <col min="12" max="12" width="18.42578125" customWidth="1"/>
    <col min="13" max="13" width="18" customWidth="1"/>
    <col min="14" max="14" width="11.140625" customWidth="1"/>
    <col min="16" max="16" width="17.7109375" customWidth="1"/>
    <col min="17" max="17" width="19.7109375" customWidth="1"/>
  </cols>
  <sheetData>
    <row r="1" spans="1:17" x14ac:dyDescent="0.2">
      <c r="A1" t="s">
        <v>163</v>
      </c>
      <c r="B1" t="s">
        <v>164</v>
      </c>
      <c r="C1" t="s">
        <v>165</v>
      </c>
      <c r="D1" t="s">
        <v>166</v>
      </c>
      <c r="E1" t="s">
        <v>167</v>
      </c>
      <c r="F1" t="s">
        <v>168</v>
      </c>
      <c r="G1" t="s">
        <v>1</v>
      </c>
      <c r="H1" t="s">
        <v>2</v>
      </c>
      <c r="I1" t="s">
        <v>3</v>
      </c>
      <c r="J1" t="s">
        <v>4</v>
      </c>
      <c r="K1" t="s">
        <v>170</v>
      </c>
      <c r="L1" t="s">
        <v>173</v>
      </c>
      <c r="M1" t="s">
        <v>185</v>
      </c>
      <c r="N1" t="s">
        <v>186</v>
      </c>
      <c r="O1" t="s">
        <v>187</v>
      </c>
      <c r="P1" t="s">
        <v>188</v>
      </c>
      <c r="Q1" t="s">
        <v>189</v>
      </c>
    </row>
    <row r="2" spans="1:17" x14ac:dyDescent="0.2">
      <c r="A2">
        <v>944</v>
      </c>
      <c r="B2">
        <v>108</v>
      </c>
      <c r="C2" s="1">
        <v>44947</v>
      </c>
      <c r="D2">
        <v>41</v>
      </c>
      <c r="E2">
        <v>4</v>
      </c>
      <c r="F2">
        <v>806.91839999999991</v>
      </c>
      <c r="G2" t="s">
        <v>120</v>
      </c>
      <c r="H2" t="s">
        <v>14</v>
      </c>
      <c r="I2">
        <v>504.32399999999996</v>
      </c>
      <c r="J2">
        <v>840.54</v>
      </c>
      <c r="K2">
        <v>3</v>
      </c>
      <c r="L2">
        <v>989.30839679178825</v>
      </c>
      <c r="M2">
        <v>5163.7120000000004</v>
      </c>
      <c r="N2">
        <v>33083.654399999999</v>
      </c>
      <c r="O2">
        <v>12406.370399999998</v>
      </c>
      <c r="P2">
        <v>-4356.7936000000009</v>
      </c>
      <c r="Q2">
        <v>-0.84373288053245432</v>
      </c>
    </row>
    <row r="3" spans="1:17" x14ac:dyDescent="0.2">
      <c r="A3">
        <v>939</v>
      </c>
      <c r="B3">
        <v>39</v>
      </c>
      <c r="C3" s="1">
        <v>44942</v>
      </c>
      <c r="D3">
        <v>22</v>
      </c>
      <c r="E3">
        <v>8</v>
      </c>
      <c r="F3">
        <v>2950.9736000000003</v>
      </c>
      <c r="G3" t="s">
        <v>51</v>
      </c>
      <c r="H3" t="s">
        <v>14</v>
      </c>
      <c r="I3">
        <v>1924.5479999999998</v>
      </c>
      <c r="J3">
        <v>3207.58</v>
      </c>
      <c r="K3">
        <v>1</v>
      </c>
      <c r="L3">
        <v>3636.3627070037419</v>
      </c>
      <c r="M3">
        <v>9555.6079999999984</v>
      </c>
      <c r="N3">
        <v>64921.419200000004</v>
      </c>
      <c r="O3">
        <v>22581.363200000011</v>
      </c>
      <c r="P3">
        <v>-6604.6343999999981</v>
      </c>
      <c r="Q3">
        <v>-0.69117887632058572</v>
      </c>
    </row>
    <row r="4" spans="1:17" x14ac:dyDescent="0.2">
      <c r="A4">
        <v>932</v>
      </c>
      <c r="B4">
        <v>16</v>
      </c>
      <c r="C4" s="1">
        <v>44957</v>
      </c>
      <c r="D4">
        <v>39</v>
      </c>
      <c r="E4">
        <v>9</v>
      </c>
      <c r="F4">
        <v>6144.1380000000008</v>
      </c>
      <c r="G4" t="s">
        <v>27</v>
      </c>
      <c r="H4" t="s">
        <v>10</v>
      </c>
      <c r="I4">
        <v>4051.08</v>
      </c>
      <c r="J4">
        <v>6751.8</v>
      </c>
      <c r="K4">
        <v>4</v>
      </c>
      <c r="L4">
        <v>8036.4471256525694</v>
      </c>
      <c r="M4">
        <v>6827.7939999999999</v>
      </c>
      <c r="N4">
        <v>239621.38200000004</v>
      </c>
      <c r="O4">
        <v>81629.262000000032</v>
      </c>
      <c r="P4">
        <v>-683.65599999999904</v>
      </c>
      <c r="Q4">
        <v>-0.10012838700171667</v>
      </c>
    </row>
    <row r="5" spans="1:17" x14ac:dyDescent="0.2">
      <c r="A5">
        <v>930</v>
      </c>
      <c r="B5">
        <v>58</v>
      </c>
      <c r="C5" s="1">
        <v>44948</v>
      </c>
      <c r="D5">
        <v>41</v>
      </c>
      <c r="E5">
        <v>6</v>
      </c>
      <c r="F5">
        <v>1070.2651999999998</v>
      </c>
      <c r="G5" t="s">
        <v>70</v>
      </c>
      <c r="H5" t="s">
        <v>6</v>
      </c>
      <c r="I5">
        <v>683.14799999999991</v>
      </c>
      <c r="J5">
        <v>1138.58</v>
      </c>
      <c r="K5">
        <v>2</v>
      </c>
      <c r="L5">
        <v>1345.0390619188779</v>
      </c>
      <c r="M5">
        <v>1439.8525</v>
      </c>
      <c r="N5">
        <v>43880.873199999995</v>
      </c>
      <c r="O5">
        <v>15871.805199999997</v>
      </c>
      <c r="P5">
        <v>-369.58730000000014</v>
      </c>
      <c r="Q5">
        <v>-0.25668413952123581</v>
      </c>
    </row>
    <row r="6" spans="1:17" x14ac:dyDescent="0.2">
      <c r="A6">
        <v>894</v>
      </c>
      <c r="B6">
        <v>127</v>
      </c>
      <c r="C6" s="1">
        <v>44951</v>
      </c>
      <c r="D6">
        <v>46</v>
      </c>
      <c r="E6">
        <v>5</v>
      </c>
      <c r="F6">
        <v>5216.0320000000002</v>
      </c>
      <c r="G6" t="s">
        <v>139</v>
      </c>
      <c r="H6" t="s">
        <v>12</v>
      </c>
      <c r="I6">
        <v>3294.3360000000002</v>
      </c>
      <c r="J6">
        <v>5490.56</v>
      </c>
      <c r="K6">
        <v>1</v>
      </c>
      <c r="L6">
        <v>5971.1069464271814</v>
      </c>
      <c r="M6">
        <v>5984.333333333333</v>
      </c>
      <c r="N6">
        <v>239937.47200000001</v>
      </c>
      <c r="O6">
        <v>88398.016000000003</v>
      </c>
      <c r="P6">
        <v>-768.30133333333288</v>
      </c>
      <c r="Q6">
        <v>-0.12838545089957104</v>
      </c>
    </row>
    <row r="7" spans="1:17" x14ac:dyDescent="0.2">
      <c r="A7">
        <v>821</v>
      </c>
      <c r="B7">
        <v>118</v>
      </c>
      <c r="C7" s="1">
        <v>44935</v>
      </c>
      <c r="D7">
        <v>29</v>
      </c>
      <c r="E7">
        <v>5</v>
      </c>
      <c r="F7">
        <v>2991.7874999999999</v>
      </c>
      <c r="G7" t="s">
        <v>130</v>
      </c>
      <c r="H7" t="s">
        <v>19</v>
      </c>
      <c r="I7">
        <v>1889.55</v>
      </c>
      <c r="J7">
        <v>3149.25</v>
      </c>
      <c r="K7">
        <v>5</v>
      </c>
      <c r="L7">
        <v>3395.4995203823646</v>
      </c>
      <c r="M7">
        <v>224.52399999999997</v>
      </c>
      <c r="N7">
        <v>86761.837499999994</v>
      </c>
      <c r="O7">
        <v>31964.887499999997</v>
      </c>
      <c r="P7">
        <v>2767.2635</v>
      </c>
      <c r="Q7">
        <v>12.325023160107607</v>
      </c>
    </row>
    <row r="8" spans="1:17" x14ac:dyDescent="0.2">
      <c r="A8">
        <v>799</v>
      </c>
      <c r="B8">
        <v>123</v>
      </c>
      <c r="C8" s="1">
        <v>44940</v>
      </c>
      <c r="D8">
        <v>50</v>
      </c>
      <c r="E8">
        <v>10</v>
      </c>
      <c r="F8">
        <v>4164.8580000000002</v>
      </c>
      <c r="G8" t="s">
        <v>135</v>
      </c>
      <c r="H8" t="s">
        <v>17</v>
      </c>
      <c r="I8">
        <v>2776.5719999999997</v>
      </c>
      <c r="J8">
        <v>4627.62</v>
      </c>
      <c r="K8">
        <v>2</v>
      </c>
      <c r="L8">
        <v>5468.9961285223844</v>
      </c>
      <c r="M8">
        <v>809.94800000000009</v>
      </c>
      <c r="N8">
        <v>208242.90000000002</v>
      </c>
      <c r="O8">
        <v>69414.300000000032</v>
      </c>
      <c r="P8">
        <v>3354.91</v>
      </c>
      <c r="Q8">
        <v>4.1421301120565754</v>
      </c>
    </row>
    <row r="9" spans="1:17" x14ac:dyDescent="0.2">
      <c r="A9">
        <v>793</v>
      </c>
      <c r="B9">
        <v>65</v>
      </c>
      <c r="C9" s="1">
        <v>44931</v>
      </c>
      <c r="D9">
        <v>41</v>
      </c>
      <c r="E9">
        <v>4</v>
      </c>
      <c r="F9">
        <v>4330.9055999999991</v>
      </c>
      <c r="G9" t="s">
        <v>77</v>
      </c>
      <c r="H9" t="s">
        <v>10</v>
      </c>
      <c r="I9">
        <v>2706.8159999999998</v>
      </c>
      <c r="J9">
        <v>4511.3599999999997</v>
      </c>
      <c r="K9">
        <v>1</v>
      </c>
      <c r="L9">
        <v>4577.5286031639871</v>
      </c>
      <c r="M9">
        <v>1786.8475000000001</v>
      </c>
      <c r="N9">
        <v>177567.12959999996</v>
      </c>
      <c r="O9">
        <v>66587.67359999998</v>
      </c>
      <c r="P9">
        <v>2544.0580999999993</v>
      </c>
      <c r="Q9">
        <v>1.423769012184867</v>
      </c>
    </row>
    <row r="10" spans="1:17" x14ac:dyDescent="0.2">
      <c r="A10">
        <v>782</v>
      </c>
      <c r="B10">
        <v>16</v>
      </c>
      <c r="C10" s="1">
        <v>44944</v>
      </c>
      <c r="D10">
        <v>19</v>
      </c>
      <c r="E10">
        <v>8</v>
      </c>
      <c r="F10">
        <v>6211.6560000000009</v>
      </c>
      <c r="G10" t="s">
        <v>27</v>
      </c>
      <c r="H10" t="s">
        <v>10</v>
      </c>
      <c r="I10">
        <v>4051.08</v>
      </c>
      <c r="J10">
        <v>6751.8</v>
      </c>
      <c r="K10">
        <v>4</v>
      </c>
      <c r="L10">
        <v>8363.2202297279819</v>
      </c>
      <c r="M10">
        <v>6827.7939999999999</v>
      </c>
      <c r="N10">
        <v>118021.46400000002</v>
      </c>
      <c r="O10">
        <v>41050.944000000018</v>
      </c>
      <c r="P10">
        <v>-616.13799999999901</v>
      </c>
      <c r="Q10">
        <v>-9.023968795777948E-2</v>
      </c>
    </row>
    <row r="11" spans="1:17" x14ac:dyDescent="0.2">
      <c r="A11">
        <v>765</v>
      </c>
      <c r="B11">
        <v>22</v>
      </c>
      <c r="C11" s="1">
        <v>44954</v>
      </c>
      <c r="D11">
        <v>3</v>
      </c>
      <c r="E11">
        <v>5</v>
      </c>
      <c r="F11">
        <v>1552.7749999999999</v>
      </c>
      <c r="G11" t="s">
        <v>33</v>
      </c>
      <c r="H11" t="s">
        <v>17</v>
      </c>
      <c r="I11">
        <v>980.69999999999993</v>
      </c>
      <c r="J11">
        <v>1634.5</v>
      </c>
      <c r="K11">
        <v>1</v>
      </c>
      <c r="L11">
        <v>1756.6336088701894</v>
      </c>
      <c r="M11">
        <v>3187.4450000000002</v>
      </c>
      <c r="N11">
        <v>4658.3249999999998</v>
      </c>
      <c r="O11">
        <v>1716.2249999999999</v>
      </c>
      <c r="P11">
        <v>-1634.6700000000003</v>
      </c>
      <c r="Q11">
        <v>-0.51284649617483602</v>
      </c>
    </row>
    <row r="12" spans="1:17" x14ac:dyDescent="0.2">
      <c r="A12">
        <v>744</v>
      </c>
      <c r="B12">
        <v>78</v>
      </c>
      <c r="C12" s="1">
        <v>44948</v>
      </c>
      <c r="D12">
        <v>34</v>
      </c>
      <c r="E12">
        <v>10</v>
      </c>
      <c r="F12">
        <v>779.16600000000005</v>
      </c>
      <c r="G12" t="s">
        <v>90</v>
      </c>
      <c r="H12" t="s">
        <v>10</v>
      </c>
      <c r="I12">
        <v>519.44399999999996</v>
      </c>
      <c r="J12">
        <v>865.74</v>
      </c>
      <c r="K12">
        <v>4</v>
      </c>
      <c r="L12">
        <v>1110.1156632993047</v>
      </c>
      <c r="M12">
        <v>398.392</v>
      </c>
      <c r="N12">
        <v>26491.644</v>
      </c>
      <c r="O12">
        <v>8830.5480000000025</v>
      </c>
      <c r="P12">
        <v>380.77400000000006</v>
      </c>
      <c r="Q12">
        <v>0.95577722444225799</v>
      </c>
    </row>
    <row r="13" spans="1:17" x14ac:dyDescent="0.2">
      <c r="A13">
        <v>742</v>
      </c>
      <c r="B13">
        <v>18</v>
      </c>
      <c r="C13" s="1">
        <v>44936</v>
      </c>
      <c r="D13">
        <v>17</v>
      </c>
      <c r="E13">
        <v>9</v>
      </c>
      <c r="F13">
        <v>7676.714500000001</v>
      </c>
      <c r="G13" t="s">
        <v>29</v>
      </c>
      <c r="H13" t="s">
        <v>6</v>
      </c>
      <c r="I13">
        <v>5061.5700000000006</v>
      </c>
      <c r="J13">
        <v>8435.9500000000007</v>
      </c>
      <c r="K13">
        <v>3</v>
      </c>
      <c r="L13">
        <v>10325.956352636169</v>
      </c>
      <c r="M13">
        <v>1552.9240000000002</v>
      </c>
      <c r="N13">
        <v>130504.14650000002</v>
      </c>
      <c r="O13">
        <v>44457.456500000008</v>
      </c>
      <c r="P13">
        <v>6123.790500000001</v>
      </c>
      <c r="Q13">
        <v>3.9433935595045218</v>
      </c>
    </row>
    <row r="14" spans="1:17" x14ac:dyDescent="0.2">
      <c r="A14">
        <v>680</v>
      </c>
      <c r="B14">
        <v>65</v>
      </c>
      <c r="C14" s="1">
        <v>44957</v>
      </c>
      <c r="D14">
        <v>37</v>
      </c>
      <c r="E14">
        <v>6</v>
      </c>
      <c r="F14">
        <v>4240.6783999999998</v>
      </c>
      <c r="G14" t="s">
        <v>77</v>
      </c>
      <c r="H14" t="s">
        <v>10</v>
      </c>
      <c r="I14">
        <v>2706.8159999999998</v>
      </c>
      <c r="J14">
        <v>4511.3599999999997</v>
      </c>
      <c r="K14">
        <v>1</v>
      </c>
      <c r="L14">
        <v>5147.8687873548251</v>
      </c>
      <c r="M14">
        <v>1786.8475000000001</v>
      </c>
      <c r="N14">
        <v>156905.10079999999</v>
      </c>
      <c r="O14">
        <v>56752.908799999997</v>
      </c>
      <c r="P14">
        <v>2453.8308999999999</v>
      </c>
      <c r="Q14">
        <v>1.3732738244310159</v>
      </c>
    </row>
    <row r="15" spans="1:17" x14ac:dyDescent="0.2">
      <c r="A15">
        <v>673</v>
      </c>
      <c r="B15">
        <v>149</v>
      </c>
      <c r="C15" s="1">
        <v>44943</v>
      </c>
      <c r="D15">
        <v>12</v>
      </c>
      <c r="E15">
        <v>6</v>
      </c>
      <c r="F15">
        <v>5760.1131999999998</v>
      </c>
      <c r="G15" t="s">
        <v>161</v>
      </c>
      <c r="H15" t="s">
        <v>35</v>
      </c>
      <c r="I15">
        <v>3676.6679999999997</v>
      </c>
      <c r="J15">
        <v>6127.78</v>
      </c>
      <c r="K15">
        <v>4</v>
      </c>
      <c r="L15">
        <v>6757.6501382416673</v>
      </c>
      <c r="M15">
        <v>3159.4639999999999</v>
      </c>
      <c r="N15">
        <v>69121.358399999997</v>
      </c>
      <c r="O15">
        <v>25001.342400000001</v>
      </c>
      <c r="P15">
        <v>2600.6491999999998</v>
      </c>
      <c r="Q15">
        <v>0.82312987266194515</v>
      </c>
    </row>
    <row r="16" spans="1:17" x14ac:dyDescent="0.2">
      <c r="A16">
        <v>664</v>
      </c>
      <c r="B16">
        <v>91</v>
      </c>
      <c r="C16" s="1">
        <v>44933</v>
      </c>
      <c r="D16">
        <v>24</v>
      </c>
      <c r="E16">
        <v>5</v>
      </c>
      <c r="F16">
        <v>3004.85</v>
      </c>
      <c r="G16" t="s">
        <v>103</v>
      </c>
      <c r="H16" t="s">
        <v>17</v>
      </c>
      <c r="I16">
        <v>1897.8</v>
      </c>
      <c r="J16">
        <v>3163</v>
      </c>
      <c r="K16">
        <v>2</v>
      </c>
      <c r="L16">
        <v>3999.9381175113199</v>
      </c>
      <c r="M16">
        <v>4782.2433333333329</v>
      </c>
      <c r="N16">
        <v>72116.399999999994</v>
      </c>
      <c r="O16">
        <v>26569.199999999997</v>
      </c>
      <c r="P16">
        <v>-1777.393333333333</v>
      </c>
      <c r="Q16">
        <v>-0.37166518084608824</v>
      </c>
    </row>
    <row r="17" spans="1:17" x14ac:dyDescent="0.2">
      <c r="A17">
        <v>639</v>
      </c>
      <c r="B17">
        <v>133</v>
      </c>
      <c r="C17" s="1">
        <v>44944</v>
      </c>
      <c r="D17">
        <v>7</v>
      </c>
      <c r="E17">
        <v>8</v>
      </c>
      <c r="F17">
        <v>6076.5079999999998</v>
      </c>
      <c r="G17" t="s">
        <v>145</v>
      </c>
      <c r="H17" t="s">
        <v>19</v>
      </c>
      <c r="I17">
        <v>3962.9399999999996</v>
      </c>
      <c r="J17">
        <v>6604.9</v>
      </c>
      <c r="K17">
        <v>4</v>
      </c>
      <c r="L17">
        <v>7706.679884396096</v>
      </c>
      <c r="M17">
        <v>4666.1933333333336</v>
      </c>
      <c r="N17">
        <v>42535.555999999997</v>
      </c>
      <c r="O17">
        <v>14794.976000000002</v>
      </c>
      <c r="P17">
        <v>1410.3146666666662</v>
      </c>
      <c r="Q17">
        <v>0.30224094158121739</v>
      </c>
    </row>
    <row r="18" spans="1:17" x14ac:dyDescent="0.2">
      <c r="A18">
        <v>613</v>
      </c>
      <c r="B18">
        <v>27</v>
      </c>
      <c r="C18" s="1">
        <v>44946</v>
      </c>
      <c r="D18">
        <v>20</v>
      </c>
      <c r="E18">
        <v>5</v>
      </c>
      <c r="F18">
        <v>1541.7550000000001</v>
      </c>
      <c r="G18" t="s">
        <v>39</v>
      </c>
      <c r="H18" t="s">
        <v>19</v>
      </c>
      <c r="I18">
        <v>973.74</v>
      </c>
      <c r="J18">
        <v>1622.9</v>
      </c>
      <c r="K18">
        <v>1</v>
      </c>
      <c r="L18">
        <v>1993.1531829873211</v>
      </c>
      <c r="M18">
        <v>4440.416666666667</v>
      </c>
      <c r="N18">
        <v>30835.100000000002</v>
      </c>
      <c r="O18">
        <v>11360.300000000003</v>
      </c>
      <c r="P18">
        <v>-2898.6616666666669</v>
      </c>
      <c r="Q18">
        <v>-0.65279046636013882</v>
      </c>
    </row>
    <row r="19" spans="1:17" x14ac:dyDescent="0.2">
      <c r="A19">
        <v>572</v>
      </c>
      <c r="B19">
        <v>116</v>
      </c>
      <c r="C19" s="1">
        <v>44927</v>
      </c>
      <c r="D19">
        <v>1</v>
      </c>
      <c r="E19">
        <v>7</v>
      </c>
      <c r="F19">
        <v>2197.7294999999999</v>
      </c>
      <c r="G19" t="s">
        <v>128</v>
      </c>
      <c r="H19" t="s">
        <v>19</v>
      </c>
      <c r="I19">
        <v>1417.89</v>
      </c>
      <c r="J19">
        <v>2363.15</v>
      </c>
      <c r="K19">
        <v>5</v>
      </c>
      <c r="L19">
        <v>2515.7158855875973</v>
      </c>
      <c r="M19">
        <v>4469.4999999999991</v>
      </c>
      <c r="N19">
        <v>2197.7294999999999</v>
      </c>
      <c r="O19">
        <v>779.83949999999982</v>
      </c>
      <c r="P19">
        <v>-2271.7704999999992</v>
      </c>
      <c r="Q19">
        <v>-0.50828291755229882</v>
      </c>
    </row>
    <row r="20" spans="1:17" x14ac:dyDescent="0.2">
      <c r="A20">
        <v>564</v>
      </c>
      <c r="B20">
        <v>42</v>
      </c>
      <c r="C20" s="1">
        <v>44942</v>
      </c>
      <c r="D20">
        <v>1</v>
      </c>
      <c r="E20">
        <v>3</v>
      </c>
      <c r="F20">
        <v>414.77199999999999</v>
      </c>
      <c r="G20" t="s">
        <v>54</v>
      </c>
      <c r="H20" t="s">
        <v>19</v>
      </c>
      <c r="I20">
        <v>256.56</v>
      </c>
      <c r="J20">
        <v>427.6</v>
      </c>
      <c r="K20">
        <v>2</v>
      </c>
      <c r="L20">
        <v>451.44925497845514</v>
      </c>
      <c r="M20">
        <v>513.45666666666671</v>
      </c>
      <c r="N20">
        <v>414.77199999999999</v>
      </c>
      <c r="O20">
        <v>158.21199999999999</v>
      </c>
      <c r="P20">
        <v>-98.684666666666715</v>
      </c>
      <c r="Q20">
        <v>-0.1921966800184372</v>
      </c>
    </row>
    <row r="21" spans="1:17" x14ac:dyDescent="0.2">
      <c r="A21">
        <v>541</v>
      </c>
      <c r="B21">
        <v>98</v>
      </c>
      <c r="C21" s="1">
        <v>44929</v>
      </c>
      <c r="D21">
        <v>9</v>
      </c>
      <c r="E21">
        <v>10</v>
      </c>
      <c r="F21">
        <v>7026.9120000000003</v>
      </c>
      <c r="G21" t="s">
        <v>110</v>
      </c>
      <c r="H21" t="s">
        <v>19</v>
      </c>
      <c r="I21">
        <v>4684.6080000000002</v>
      </c>
      <c r="J21">
        <v>7807.68</v>
      </c>
      <c r="K21">
        <v>3</v>
      </c>
      <c r="L21">
        <v>9394.8444427656996</v>
      </c>
      <c r="M21">
        <v>6533.69</v>
      </c>
      <c r="N21">
        <v>63242.207999999999</v>
      </c>
      <c r="O21">
        <v>21080.736000000001</v>
      </c>
      <c r="P21">
        <v>493.22200000000066</v>
      </c>
      <c r="Q21">
        <v>7.5489042179840288E-2</v>
      </c>
    </row>
    <row r="22" spans="1:17" x14ac:dyDescent="0.2">
      <c r="A22">
        <v>535</v>
      </c>
      <c r="B22">
        <v>88</v>
      </c>
      <c r="C22" s="1">
        <v>44952</v>
      </c>
      <c r="D22">
        <v>36</v>
      </c>
      <c r="E22">
        <v>8</v>
      </c>
      <c r="F22">
        <v>5737.4236000000001</v>
      </c>
      <c r="G22" t="s">
        <v>100</v>
      </c>
      <c r="H22" t="s">
        <v>35</v>
      </c>
      <c r="I22">
        <v>3741.7979999999998</v>
      </c>
      <c r="J22">
        <v>6236.33</v>
      </c>
      <c r="K22">
        <v>5</v>
      </c>
      <c r="L22">
        <v>8107.0245585838493</v>
      </c>
      <c r="M22">
        <v>4981.5050000000001</v>
      </c>
      <c r="N22">
        <v>206547.24960000001</v>
      </c>
      <c r="O22">
        <v>71842.521600000007</v>
      </c>
      <c r="P22">
        <v>755.91859999999997</v>
      </c>
      <c r="Q22">
        <v>0.15174502484690872</v>
      </c>
    </row>
    <row r="23" spans="1:17" x14ac:dyDescent="0.2">
      <c r="A23">
        <v>515</v>
      </c>
      <c r="B23">
        <v>138</v>
      </c>
      <c r="C23" s="1">
        <v>44937</v>
      </c>
      <c r="D23">
        <v>21</v>
      </c>
      <c r="E23">
        <v>7</v>
      </c>
      <c r="F23">
        <v>2875.0856999999996</v>
      </c>
      <c r="G23" t="s">
        <v>150</v>
      </c>
      <c r="H23" t="s">
        <v>12</v>
      </c>
      <c r="I23">
        <v>1854.8939999999998</v>
      </c>
      <c r="J23">
        <v>3091.49</v>
      </c>
      <c r="K23">
        <v>5</v>
      </c>
      <c r="L23">
        <v>3371.6682137692355</v>
      </c>
      <c r="M23">
        <v>4980.4933333333329</v>
      </c>
      <c r="N23">
        <v>60376.799699999989</v>
      </c>
      <c r="O23">
        <v>21424.025699999998</v>
      </c>
      <c r="P23">
        <v>-2105.4076333333333</v>
      </c>
      <c r="Q23">
        <v>-0.42273074019441181</v>
      </c>
    </row>
    <row r="24" spans="1:17" x14ac:dyDescent="0.2">
      <c r="A24">
        <v>502</v>
      </c>
      <c r="B24">
        <v>60</v>
      </c>
      <c r="C24" s="1">
        <v>44939</v>
      </c>
      <c r="D24">
        <v>13</v>
      </c>
      <c r="E24">
        <v>7</v>
      </c>
      <c r="F24">
        <v>2578.5272999999997</v>
      </c>
      <c r="G24" t="s">
        <v>72</v>
      </c>
      <c r="H24" t="s">
        <v>10</v>
      </c>
      <c r="I24">
        <v>1663.566</v>
      </c>
      <c r="J24">
        <v>2772.61</v>
      </c>
      <c r="K24">
        <v>2</v>
      </c>
      <c r="L24">
        <v>3477.8411199449833</v>
      </c>
      <c r="M24">
        <v>3047.7533333333336</v>
      </c>
      <c r="N24">
        <v>33520.854899999998</v>
      </c>
      <c r="O24">
        <v>11894.496899999996</v>
      </c>
      <c r="P24">
        <v>-469.22603333333382</v>
      </c>
      <c r="Q24">
        <v>-0.15395800841275445</v>
      </c>
    </row>
    <row r="25" spans="1:17" x14ac:dyDescent="0.2">
      <c r="A25">
        <v>477</v>
      </c>
      <c r="B25">
        <v>130</v>
      </c>
      <c r="C25" s="1">
        <v>44940</v>
      </c>
      <c r="D25">
        <v>12</v>
      </c>
      <c r="E25">
        <v>8</v>
      </c>
      <c r="F25">
        <v>2930.6507999999999</v>
      </c>
      <c r="G25" t="s">
        <v>142</v>
      </c>
      <c r="H25" t="s">
        <v>12</v>
      </c>
      <c r="I25">
        <v>1911.2939999999999</v>
      </c>
      <c r="J25">
        <v>3185.49</v>
      </c>
      <c r="K25">
        <v>5</v>
      </c>
      <c r="L25">
        <v>3702.3890831204699</v>
      </c>
      <c r="M25">
        <v>3865.1374999999998</v>
      </c>
      <c r="N25">
        <v>35167.809600000001</v>
      </c>
      <c r="O25">
        <v>12232.2816</v>
      </c>
      <c r="P25">
        <v>-934.48669999999993</v>
      </c>
      <c r="Q25">
        <v>-0.24177320987933806</v>
      </c>
    </row>
    <row r="26" spans="1:17" x14ac:dyDescent="0.2">
      <c r="A26">
        <v>461</v>
      </c>
      <c r="B26">
        <v>79</v>
      </c>
      <c r="C26" s="1">
        <v>44950</v>
      </c>
      <c r="D26">
        <v>26</v>
      </c>
      <c r="E26">
        <v>7</v>
      </c>
      <c r="F26">
        <v>2053.3748999999998</v>
      </c>
      <c r="G26" t="s">
        <v>91</v>
      </c>
      <c r="H26" t="s">
        <v>10</v>
      </c>
      <c r="I26">
        <v>1324.7579999999998</v>
      </c>
      <c r="J26">
        <v>2207.9299999999998</v>
      </c>
      <c r="K26">
        <v>1</v>
      </c>
      <c r="L26">
        <v>2340.8034346612731</v>
      </c>
      <c r="M26">
        <v>197.005</v>
      </c>
      <c r="N26">
        <v>53387.747399999993</v>
      </c>
      <c r="O26">
        <v>18944.039400000001</v>
      </c>
      <c r="P26">
        <v>1856.3698999999997</v>
      </c>
      <c r="Q26">
        <v>9.4229583005507465</v>
      </c>
    </row>
    <row r="27" spans="1:17" x14ac:dyDescent="0.2">
      <c r="A27">
        <v>430</v>
      </c>
      <c r="B27">
        <v>14</v>
      </c>
      <c r="C27" s="1">
        <v>44940</v>
      </c>
      <c r="D27">
        <v>45</v>
      </c>
      <c r="E27">
        <v>7</v>
      </c>
      <c r="F27">
        <v>5599.1765999999998</v>
      </c>
      <c r="G27" t="s">
        <v>25</v>
      </c>
      <c r="H27" t="s">
        <v>6</v>
      </c>
      <c r="I27">
        <v>3612.3719999999998</v>
      </c>
      <c r="J27">
        <v>6020.62</v>
      </c>
      <c r="K27">
        <v>5</v>
      </c>
      <c r="L27">
        <v>6798.6755543940735</v>
      </c>
      <c r="M27">
        <v>3652.5316666666672</v>
      </c>
      <c r="N27">
        <v>251962.94699999999</v>
      </c>
      <c r="O27">
        <v>89406.206999999995</v>
      </c>
      <c r="P27">
        <v>1946.6449333333326</v>
      </c>
      <c r="Q27">
        <v>0.5329577156301174</v>
      </c>
    </row>
    <row r="28" spans="1:17" x14ac:dyDescent="0.2">
      <c r="A28">
        <v>297</v>
      </c>
      <c r="B28">
        <v>111</v>
      </c>
      <c r="C28" s="1">
        <v>44941</v>
      </c>
      <c r="D28">
        <v>50</v>
      </c>
      <c r="E28">
        <v>4</v>
      </c>
      <c r="F28">
        <v>724.05119999999999</v>
      </c>
      <c r="G28" t="s">
        <v>123</v>
      </c>
      <c r="H28" t="s">
        <v>14</v>
      </c>
      <c r="I28">
        <v>452.53199999999998</v>
      </c>
      <c r="J28">
        <v>754.22</v>
      </c>
      <c r="K28">
        <v>3</v>
      </c>
      <c r="L28">
        <v>766.02104910337482</v>
      </c>
      <c r="M28">
        <v>3824.0450000000001</v>
      </c>
      <c r="N28">
        <v>36202.559999999998</v>
      </c>
      <c r="O28">
        <v>13575.960000000001</v>
      </c>
      <c r="P28">
        <v>-3099.9938000000002</v>
      </c>
      <c r="Q28">
        <v>-0.81065829507759457</v>
      </c>
    </row>
    <row r="29" spans="1:17" x14ac:dyDescent="0.2">
      <c r="A29">
        <v>294</v>
      </c>
      <c r="B29">
        <v>68</v>
      </c>
      <c r="C29" s="1">
        <v>44939</v>
      </c>
      <c r="D29">
        <v>22</v>
      </c>
      <c r="E29">
        <v>6</v>
      </c>
      <c r="F29">
        <v>5680.8805999999995</v>
      </c>
      <c r="G29" t="s">
        <v>80</v>
      </c>
      <c r="H29" t="s">
        <v>14</v>
      </c>
      <c r="I29">
        <v>3626.0939999999996</v>
      </c>
      <c r="J29">
        <v>6043.49</v>
      </c>
      <c r="K29">
        <v>2</v>
      </c>
      <c r="L29">
        <v>7734.3864020628143</v>
      </c>
      <c r="M29">
        <v>796.21333333333325</v>
      </c>
      <c r="N29">
        <v>124979.37319999999</v>
      </c>
      <c r="O29">
        <v>45205.305199999995</v>
      </c>
      <c r="P29">
        <v>4884.6672666666664</v>
      </c>
      <c r="Q29">
        <v>6.1348724797374237</v>
      </c>
    </row>
    <row r="30" spans="1:17" x14ac:dyDescent="0.2">
      <c r="A30">
        <v>275</v>
      </c>
      <c r="B30">
        <v>110</v>
      </c>
      <c r="C30" s="1">
        <v>44927</v>
      </c>
      <c r="D30">
        <v>7</v>
      </c>
      <c r="E30">
        <v>4</v>
      </c>
      <c r="F30">
        <v>1492.0416</v>
      </c>
      <c r="G30" t="s">
        <v>122</v>
      </c>
      <c r="H30" t="s">
        <v>10</v>
      </c>
      <c r="I30">
        <v>932.52599999999995</v>
      </c>
      <c r="J30">
        <v>1554.21</v>
      </c>
      <c r="K30">
        <v>3</v>
      </c>
      <c r="L30">
        <v>1835.4360136405326</v>
      </c>
      <c r="M30">
        <v>764.66499999999996</v>
      </c>
      <c r="N30">
        <v>10444.2912</v>
      </c>
      <c r="O30">
        <v>3916.6092000000003</v>
      </c>
      <c r="P30">
        <v>727.37660000000005</v>
      </c>
      <c r="Q30">
        <v>0.95123563913609244</v>
      </c>
    </row>
    <row r="31" spans="1:17" x14ac:dyDescent="0.2">
      <c r="A31">
        <v>213</v>
      </c>
      <c r="B31">
        <v>145</v>
      </c>
      <c r="C31" s="1">
        <v>44933</v>
      </c>
      <c r="D31">
        <v>13</v>
      </c>
      <c r="E31">
        <v>10</v>
      </c>
      <c r="F31">
        <v>5817.1950000000006</v>
      </c>
      <c r="G31" t="s">
        <v>157</v>
      </c>
      <c r="H31" t="s">
        <v>10</v>
      </c>
      <c r="I31">
        <v>3878.13</v>
      </c>
      <c r="J31">
        <v>6463.55</v>
      </c>
      <c r="K31">
        <v>5</v>
      </c>
      <c r="L31">
        <v>6613.3015621297427</v>
      </c>
      <c r="M31">
        <v>699.73666666666668</v>
      </c>
      <c r="N31">
        <v>75623.535000000003</v>
      </c>
      <c r="O31">
        <v>25207.845000000008</v>
      </c>
      <c r="P31">
        <v>5117.4583333333339</v>
      </c>
      <c r="Q31">
        <v>7.3134059955888171</v>
      </c>
    </row>
    <row r="32" spans="1:17" x14ac:dyDescent="0.2">
      <c r="A32">
        <v>206</v>
      </c>
      <c r="B32">
        <v>47</v>
      </c>
      <c r="C32" s="1">
        <v>44956</v>
      </c>
      <c r="D32">
        <v>42</v>
      </c>
      <c r="E32">
        <v>4</v>
      </c>
      <c r="F32">
        <v>3277.0367999999999</v>
      </c>
      <c r="G32" t="s">
        <v>59</v>
      </c>
      <c r="H32" t="s">
        <v>10</v>
      </c>
      <c r="I32">
        <v>2048.1479999999997</v>
      </c>
      <c r="J32">
        <v>3413.58</v>
      </c>
      <c r="K32">
        <v>5</v>
      </c>
      <c r="L32">
        <v>4387.3890586410125</v>
      </c>
      <c r="M32">
        <v>2051.0440000000003</v>
      </c>
      <c r="N32">
        <v>137635.54559999998</v>
      </c>
      <c r="O32">
        <v>51613.329600000005</v>
      </c>
      <c r="P32">
        <v>1225.9927999999995</v>
      </c>
      <c r="Q32">
        <v>0.5977408578265504</v>
      </c>
    </row>
    <row r="33" spans="1:17" x14ac:dyDescent="0.2">
      <c r="A33">
        <v>76</v>
      </c>
      <c r="B33">
        <v>126</v>
      </c>
      <c r="C33" s="1">
        <v>44937</v>
      </c>
      <c r="D33">
        <v>40</v>
      </c>
      <c r="E33">
        <v>9</v>
      </c>
      <c r="F33">
        <v>922.03930000000003</v>
      </c>
      <c r="G33" t="s">
        <v>138</v>
      </c>
      <c r="H33" t="s">
        <v>12</v>
      </c>
      <c r="I33">
        <v>607.93799999999999</v>
      </c>
      <c r="J33">
        <v>1013.23</v>
      </c>
      <c r="K33">
        <v>5</v>
      </c>
      <c r="L33">
        <v>1054.7528431800156</v>
      </c>
      <c r="M33">
        <v>7593.0025000000005</v>
      </c>
      <c r="N33">
        <v>36881.572</v>
      </c>
      <c r="O33">
        <v>12564.052000000001</v>
      </c>
      <c r="P33">
        <v>-6670.9632000000001</v>
      </c>
      <c r="Q33">
        <v>-0.87856723344948195</v>
      </c>
    </row>
    <row r="34" spans="1:17" x14ac:dyDescent="0.2">
      <c r="A34">
        <v>57</v>
      </c>
      <c r="B34">
        <v>119</v>
      </c>
      <c r="C34" s="1">
        <v>44934</v>
      </c>
      <c r="D34">
        <v>27</v>
      </c>
      <c r="E34">
        <v>7</v>
      </c>
      <c r="F34">
        <v>1805.9763</v>
      </c>
      <c r="G34" t="s">
        <v>131</v>
      </c>
      <c r="H34" t="s">
        <v>6</v>
      </c>
      <c r="I34">
        <v>1165.146</v>
      </c>
      <c r="J34">
        <v>1941.91</v>
      </c>
      <c r="K34">
        <v>4</v>
      </c>
      <c r="L34">
        <v>2278.0249643119819</v>
      </c>
      <c r="M34">
        <v>4902.3539999999994</v>
      </c>
      <c r="N34">
        <v>48761.360099999998</v>
      </c>
      <c r="O34">
        <v>17302.418100000003</v>
      </c>
      <c r="P34">
        <v>-3096.3776999999991</v>
      </c>
      <c r="Q34">
        <v>-0.63161038554131332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9"/>
  <sheetViews>
    <sheetView workbookViewId="0">
      <selection activeCell="G14" sqref="G14"/>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 min="7" max="7" width="16.140625" customWidth="1"/>
    <col min="8" max="8" width="11" customWidth="1"/>
    <col min="9" max="9" width="12.28515625" customWidth="1"/>
    <col min="10" max="10" width="13" customWidth="1"/>
    <col min="11" max="11" width="9.5703125" customWidth="1"/>
    <col min="12" max="12" width="18.42578125" customWidth="1"/>
    <col min="13" max="13" width="18" customWidth="1"/>
    <col min="14" max="14" width="11.140625" customWidth="1"/>
    <col min="16" max="16" width="17.7109375" customWidth="1"/>
    <col min="17" max="17" width="19.7109375" customWidth="1"/>
    <col min="18" max="18" width="15.42578125" customWidth="1"/>
  </cols>
  <sheetData>
    <row r="1" spans="1:18" x14ac:dyDescent="0.2">
      <c r="A1" t="s">
        <v>163</v>
      </c>
      <c r="B1" t="s">
        <v>164</v>
      </c>
      <c r="C1" t="s">
        <v>165</v>
      </c>
      <c r="D1" t="s">
        <v>166</v>
      </c>
      <c r="E1" t="s">
        <v>167</v>
      </c>
      <c r="F1" t="s">
        <v>168</v>
      </c>
      <c r="G1" t="s">
        <v>1</v>
      </c>
      <c r="H1" t="s">
        <v>2</v>
      </c>
      <c r="I1" t="s">
        <v>3</v>
      </c>
      <c r="J1" t="s">
        <v>4</v>
      </c>
      <c r="K1" t="s">
        <v>170</v>
      </c>
      <c r="L1" t="s">
        <v>173</v>
      </c>
      <c r="M1" t="s">
        <v>185</v>
      </c>
      <c r="N1" t="s">
        <v>186</v>
      </c>
      <c r="O1" t="s">
        <v>187</v>
      </c>
      <c r="P1" t="s">
        <v>188</v>
      </c>
      <c r="Q1" t="s">
        <v>189</v>
      </c>
      <c r="R1" t="s">
        <v>215</v>
      </c>
    </row>
    <row r="2" spans="1:18" x14ac:dyDescent="0.2">
      <c r="A2">
        <v>996</v>
      </c>
      <c r="B2">
        <v>88</v>
      </c>
      <c r="C2" s="1">
        <v>45680</v>
      </c>
      <c r="D2">
        <v>4</v>
      </c>
      <c r="E2">
        <v>5</v>
      </c>
      <c r="F2">
        <v>5924.5135</v>
      </c>
      <c r="G2" t="s">
        <v>100</v>
      </c>
      <c r="H2" t="s">
        <v>35</v>
      </c>
      <c r="I2">
        <v>3741.7979999999998</v>
      </c>
      <c r="J2">
        <v>6236.33</v>
      </c>
      <c r="K2">
        <v>5</v>
      </c>
      <c r="L2">
        <v>7706.007599839525</v>
      </c>
      <c r="M2">
        <v>4981.5050000000001</v>
      </c>
      <c r="N2">
        <v>23698.054</v>
      </c>
      <c r="O2">
        <v>8730.862000000001</v>
      </c>
      <c r="P2">
        <v>943.00849999999991</v>
      </c>
      <c r="Q2">
        <v>0.18930192783104702</v>
      </c>
      <c r="R2">
        <v>0.36842105263157898</v>
      </c>
    </row>
    <row r="3" spans="1:18" x14ac:dyDescent="0.2">
      <c r="A3">
        <v>992</v>
      </c>
      <c r="B3">
        <v>28</v>
      </c>
      <c r="C3" s="1">
        <v>45856</v>
      </c>
      <c r="D3">
        <v>35</v>
      </c>
      <c r="E3">
        <v>6</v>
      </c>
      <c r="F3">
        <v>5373.6227999999992</v>
      </c>
      <c r="G3" t="s">
        <v>40</v>
      </c>
      <c r="H3" t="s">
        <v>8</v>
      </c>
      <c r="I3">
        <v>3429.9719999999998</v>
      </c>
      <c r="J3">
        <v>5716.62</v>
      </c>
      <c r="K3">
        <v>5</v>
      </c>
      <c r="L3">
        <v>6945.0727805270608</v>
      </c>
      <c r="M3">
        <v>3542.9559999999997</v>
      </c>
      <c r="N3">
        <v>188076.79799999998</v>
      </c>
      <c r="O3">
        <v>68027.777999999977</v>
      </c>
      <c r="P3">
        <v>1830.6667999999995</v>
      </c>
      <c r="Q3">
        <v>0.51670604997634739</v>
      </c>
      <c r="R3">
        <v>0.36170212765957438</v>
      </c>
    </row>
    <row r="4" spans="1:18" x14ac:dyDescent="0.2">
      <c r="A4">
        <v>991</v>
      </c>
      <c r="B4">
        <v>135</v>
      </c>
      <c r="C4" s="1">
        <v>45723</v>
      </c>
      <c r="D4">
        <v>6</v>
      </c>
      <c r="E4">
        <v>4</v>
      </c>
      <c r="F4">
        <v>7468.5216</v>
      </c>
      <c r="G4" t="s">
        <v>147</v>
      </c>
      <c r="H4" t="s">
        <v>8</v>
      </c>
      <c r="I4">
        <v>4667.826</v>
      </c>
      <c r="J4">
        <v>7779.71</v>
      </c>
      <c r="K4">
        <v>5</v>
      </c>
      <c r="L4">
        <v>9810.9014717954506</v>
      </c>
      <c r="M4">
        <v>4172.7833333333338</v>
      </c>
      <c r="N4">
        <v>44811.1296</v>
      </c>
      <c r="O4">
        <v>16804.173600000002</v>
      </c>
      <c r="P4">
        <v>3295.7382666666663</v>
      </c>
      <c r="Q4">
        <v>0.78981773157005497</v>
      </c>
      <c r="R4">
        <v>0.37500000000000006</v>
      </c>
    </row>
    <row r="5" spans="1:18" x14ac:dyDescent="0.2">
      <c r="A5">
        <v>985</v>
      </c>
      <c r="B5">
        <v>80</v>
      </c>
      <c r="C5" s="1">
        <v>45758</v>
      </c>
      <c r="D5">
        <v>36</v>
      </c>
      <c r="E5">
        <v>6</v>
      </c>
      <c r="F5">
        <v>939.12580000000003</v>
      </c>
      <c r="G5" t="s">
        <v>92</v>
      </c>
      <c r="H5" t="s">
        <v>8</v>
      </c>
      <c r="I5">
        <v>599.44200000000001</v>
      </c>
      <c r="J5">
        <v>999.07</v>
      </c>
      <c r="K5">
        <v>5</v>
      </c>
      <c r="L5">
        <v>1235.966169744032</v>
      </c>
      <c r="M5">
        <v>4319.1966666666667</v>
      </c>
      <c r="N5">
        <v>33808.5288</v>
      </c>
      <c r="O5">
        <v>12228.6168</v>
      </c>
      <c r="P5">
        <v>-3380.0708666666669</v>
      </c>
      <c r="Q5">
        <v>-0.78256933581013144</v>
      </c>
      <c r="R5">
        <v>0.36170212765957444</v>
      </c>
    </row>
    <row r="6" spans="1:18" x14ac:dyDescent="0.2">
      <c r="A6">
        <v>982</v>
      </c>
      <c r="B6">
        <v>61</v>
      </c>
      <c r="C6" s="1">
        <v>45078</v>
      </c>
      <c r="D6">
        <v>41</v>
      </c>
      <c r="E6">
        <v>9</v>
      </c>
      <c r="F6">
        <v>2222.4384</v>
      </c>
      <c r="G6" t="s">
        <v>73</v>
      </c>
      <c r="H6" t="s">
        <v>6</v>
      </c>
      <c r="I6">
        <v>1465.3439999999998</v>
      </c>
      <c r="J6">
        <v>2442.2399999999998</v>
      </c>
      <c r="K6">
        <v>5</v>
      </c>
      <c r="L6">
        <v>2491.9872419620101</v>
      </c>
      <c r="M6">
        <v>411.75600000000003</v>
      </c>
      <c r="N6">
        <v>91119.974400000006</v>
      </c>
      <c r="O6">
        <v>31040.870400000007</v>
      </c>
      <c r="P6">
        <v>1810.6823999999999</v>
      </c>
      <c r="Q6">
        <v>4.3974645178212333</v>
      </c>
      <c r="R6">
        <v>0.34065934065934073</v>
      </c>
    </row>
    <row r="7" spans="1:18" x14ac:dyDescent="0.2">
      <c r="A7">
        <v>978</v>
      </c>
      <c r="B7">
        <v>80</v>
      </c>
      <c r="C7" s="1">
        <v>45187</v>
      </c>
      <c r="D7">
        <v>17</v>
      </c>
      <c r="E7">
        <v>5</v>
      </c>
      <c r="F7">
        <v>949.11649999999997</v>
      </c>
      <c r="G7" t="s">
        <v>92</v>
      </c>
      <c r="H7" t="s">
        <v>8</v>
      </c>
      <c r="I7">
        <v>599.44200000000001</v>
      </c>
      <c r="J7">
        <v>999.07</v>
      </c>
      <c r="K7">
        <v>5</v>
      </c>
      <c r="L7">
        <v>1039.2049794374991</v>
      </c>
      <c r="M7">
        <v>4319.1966666666667</v>
      </c>
      <c r="N7">
        <v>16134.9805</v>
      </c>
      <c r="O7">
        <v>5944.4664999999995</v>
      </c>
      <c r="P7">
        <v>-3370.0801666666666</v>
      </c>
      <c r="Q7">
        <v>-0.78025624363789869</v>
      </c>
      <c r="R7">
        <v>0.36842105263157893</v>
      </c>
    </row>
    <row r="8" spans="1:18" x14ac:dyDescent="0.2">
      <c r="A8">
        <v>958</v>
      </c>
      <c r="B8">
        <v>116</v>
      </c>
      <c r="C8" s="1">
        <v>46013</v>
      </c>
      <c r="D8">
        <v>11</v>
      </c>
      <c r="E8">
        <v>3</v>
      </c>
      <c r="F8">
        <v>2292.2555000000002</v>
      </c>
      <c r="G8" t="s">
        <v>128</v>
      </c>
      <c r="H8" t="s">
        <v>19</v>
      </c>
      <c r="I8">
        <v>1417.89</v>
      </c>
      <c r="J8">
        <v>2363.15</v>
      </c>
      <c r="K8">
        <v>5</v>
      </c>
      <c r="L8">
        <v>2435.5170717995311</v>
      </c>
      <c r="M8">
        <v>4469.4999999999991</v>
      </c>
      <c r="N8">
        <v>25214.810500000003</v>
      </c>
      <c r="O8">
        <v>9618.0205000000005</v>
      </c>
      <c r="P8">
        <v>-2177.2444999999989</v>
      </c>
      <c r="Q8">
        <v>-0.48713379572659121</v>
      </c>
      <c r="R8">
        <v>0.38144329896907214</v>
      </c>
    </row>
    <row r="9" spans="1:18" x14ac:dyDescent="0.2">
      <c r="A9">
        <v>955</v>
      </c>
      <c r="B9">
        <v>9</v>
      </c>
      <c r="C9" s="1">
        <v>45960</v>
      </c>
      <c r="D9">
        <v>9</v>
      </c>
      <c r="E9">
        <v>6</v>
      </c>
      <c r="F9">
        <v>2692.0189999999998</v>
      </c>
      <c r="G9" t="s">
        <v>20</v>
      </c>
      <c r="H9" t="s">
        <v>8</v>
      </c>
      <c r="I9">
        <v>1718.31</v>
      </c>
      <c r="J9">
        <v>2863.85</v>
      </c>
      <c r="K9">
        <v>5</v>
      </c>
      <c r="L9">
        <v>3104.1192996419572</v>
      </c>
      <c r="M9">
        <v>6325.1699999999992</v>
      </c>
      <c r="N9">
        <v>24228.170999999998</v>
      </c>
      <c r="O9">
        <v>8763.3809999999976</v>
      </c>
      <c r="P9">
        <v>-3633.1509999999994</v>
      </c>
      <c r="Q9">
        <v>-0.57439578699070537</v>
      </c>
      <c r="R9">
        <v>0.36170212765957438</v>
      </c>
    </row>
    <row r="10" spans="1:18" x14ac:dyDescent="0.2">
      <c r="A10">
        <v>952</v>
      </c>
      <c r="B10">
        <v>9</v>
      </c>
      <c r="C10" s="1">
        <v>45208</v>
      </c>
      <c r="D10">
        <v>7</v>
      </c>
      <c r="E10">
        <v>6</v>
      </c>
      <c r="F10">
        <v>2692.0189999999998</v>
      </c>
      <c r="G10" t="s">
        <v>20</v>
      </c>
      <c r="H10" t="s">
        <v>8</v>
      </c>
      <c r="I10">
        <v>1718.31</v>
      </c>
      <c r="J10">
        <v>2863.85</v>
      </c>
      <c r="K10">
        <v>5</v>
      </c>
      <c r="L10">
        <v>3677.4393815733479</v>
      </c>
      <c r="M10">
        <v>6325.1699999999992</v>
      </c>
      <c r="N10">
        <v>18844.132999999998</v>
      </c>
      <c r="O10">
        <v>6815.9629999999988</v>
      </c>
      <c r="P10">
        <v>-3633.1509999999994</v>
      </c>
      <c r="Q10">
        <v>-0.57439578699070537</v>
      </c>
      <c r="R10">
        <v>0.36170212765957444</v>
      </c>
    </row>
    <row r="11" spans="1:18" x14ac:dyDescent="0.2">
      <c r="A11">
        <v>940</v>
      </c>
      <c r="B11">
        <v>28</v>
      </c>
      <c r="C11" s="1">
        <v>45151</v>
      </c>
      <c r="D11">
        <v>8</v>
      </c>
      <c r="E11">
        <v>2</v>
      </c>
      <c r="F11">
        <v>5602.2875999999997</v>
      </c>
      <c r="G11" t="s">
        <v>40</v>
      </c>
      <c r="H11" t="s">
        <v>8</v>
      </c>
      <c r="I11">
        <v>3429.9719999999998</v>
      </c>
      <c r="J11">
        <v>5716.62</v>
      </c>
      <c r="K11">
        <v>5</v>
      </c>
      <c r="L11">
        <v>7385.6346134127789</v>
      </c>
      <c r="M11">
        <v>3542.9559999999997</v>
      </c>
      <c r="N11">
        <v>44818.300799999997</v>
      </c>
      <c r="O11">
        <v>17378.524799999999</v>
      </c>
      <c r="P11">
        <v>2059.3316</v>
      </c>
      <c r="Q11">
        <v>0.58124673295406437</v>
      </c>
      <c r="R11">
        <v>0.38775510204081631</v>
      </c>
    </row>
    <row r="12" spans="1:18" x14ac:dyDescent="0.2">
      <c r="A12">
        <v>935</v>
      </c>
      <c r="B12">
        <v>138</v>
      </c>
      <c r="C12" s="1">
        <v>45013</v>
      </c>
      <c r="D12">
        <v>23</v>
      </c>
      <c r="E12">
        <v>2</v>
      </c>
      <c r="F12">
        <v>3029.6601999999998</v>
      </c>
      <c r="G12" t="s">
        <v>150</v>
      </c>
      <c r="H12" t="s">
        <v>12</v>
      </c>
      <c r="I12">
        <v>1854.8939999999998</v>
      </c>
      <c r="J12">
        <v>3091.49</v>
      </c>
      <c r="K12">
        <v>5</v>
      </c>
      <c r="L12">
        <v>3619.8341958061096</v>
      </c>
      <c r="M12">
        <v>4980.4933333333329</v>
      </c>
      <c r="N12">
        <v>69682.184599999993</v>
      </c>
      <c r="O12">
        <v>27019.622600000002</v>
      </c>
      <c r="P12">
        <v>-1950.8331333333331</v>
      </c>
      <c r="Q12">
        <v>-0.39169475848443391</v>
      </c>
      <c r="R12">
        <v>0.38775510204081642</v>
      </c>
    </row>
    <row r="13" spans="1:18" x14ac:dyDescent="0.2">
      <c r="A13">
        <v>931</v>
      </c>
      <c r="B13">
        <v>141</v>
      </c>
      <c r="C13" s="1">
        <v>45203</v>
      </c>
      <c r="D13">
        <v>40</v>
      </c>
      <c r="E13">
        <v>7</v>
      </c>
      <c r="F13">
        <v>7314.6266999999989</v>
      </c>
      <c r="G13" t="s">
        <v>153</v>
      </c>
      <c r="H13" t="s">
        <v>19</v>
      </c>
      <c r="I13">
        <v>4719.1139999999996</v>
      </c>
      <c r="J13">
        <v>7865.19</v>
      </c>
      <c r="K13">
        <v>5</v>
      </c>
      <c r="L13">
        <v>8319.4486905866434</v>
      </c>
      <c r="M13">
        <v>7586.8133333333344</v>
      </c>
      <c r="N13">
        <v>292585.06799999997</v>
      </c>
      <c r="O13">
        <v>103820.50799999997</v>
      </c>
      <c r="P13">
        <v>-272.18663333333552</v>
      </c>
      <c r="Q13">
        <v>-3.58762791931969E-2</v>
      </c>
      <c r="R13">
        <v>0.35483870967741932</v>
      </c>
    </row>
    <row r="14" spans="1:18" x14ac:dyDescent="0.2">
      <c r="A14">
        <v>929</v>
      </c>
      <c r="B14">
        <v>132</v>
      </c>
      <c r="C14" s="1">
        <v>45168</v>
      </c>
      <c r="D14">
        <v>2</v>
      </c>
      <c r="E14">
        <v>4</v>
      </c>
      <c r="F14">
        <v>5268.7968000000001</v>
      </c>
      <c r="G14" t="s">
        <v>144</v>
      </c>
      <c r="H14" t="s">
        <v>12</v>
      </c>
      <c r="I14">
        <v>3292.998</v>
      </c>
      <c r="J14">
        <v>5488.33</v>
      </c>
      <c r="K14">
        <v>5</v>
      </c>
      <c r="L14">
        <v>7059.4246338351431</v>
      </c>
      <c r="M14">
        <v>3374.6533333333332</v>
      </c>
      <c r="N14">
        <v>10537.5936</v>
      </c>
      <c r="O14">
        <v>3951.5976000000001</v>
      </c>
      <c r="P14">
        <v>1894.1434666666669</v>
      </c>
      <c r="Q14">
        <v>0.56128534684056441</v>
      </c>
      <c r="R14">
        <v>0.375</v>
      </c>
    </row>
    <row r="15" spans="1:18" x14ac:dyDescent="0.2">
      <c r="A15">
        <v>928</v>
      </c>
      <c r="B15">
        <v>118</v>
      </c>
      <c r="C15" s="1">
        <v>45690</v>
      </c>
      <c r="D15">
        <v>18</v>
      </c>
      <c r="E15">
        <v>6</v>
      </c>
      <c r="F15">
        <v>2960.2949999999996</v>
      </c>
      <c r="G15" t="s">
        <v>130</v>
      </c>
      <c r="H15" t="s">
        <v>19</v>
      </c>
      <c r="I15">
        <v>1889.55</v>
      </c>
      <c r="J15">
        <v>3149.25</v>
      </c>
      <c r="K15">
        <v>5</v>
      </c>
      <c r="L15">
        <v>3666.5775891463959</v>
      </c>
      <c r="M15">
        <v>224.52399999999997</v>
      </c>
      <c r="N15">
        <v>53285.30999999999</v>
      </c>
      <c r="O15">
        <v>19273.409999999993</v>
      </c>
      <c r="P15">
        <v>2735.7709999999997</v>
      </c>
      <c r="Q15">
        <v>12.184759758422263</v>
      </c>
      <c r="R15">
        <v>0.36170212765957438</v>
      </c>
    </row>
    <row r="16" spans="1:18" x14ac:dyDescent="0.2">
      <c r="A16">
        <v>927</v>
      </c>
      <c r="B16">
        <v>126</v>
      </c>
      <c r="C16" s="1">
        <v>45686</v>
      </c>
      <c r="D16">
        <v>2</v>
      </c>
      <c r="E16">
        <v>3</v>
      </c>
      <c r="F16">
        <v>982.83309999999994</v>
      </c>
      <c r="G16" t="s">
        <v>138</v>
      </c>
      <c r="H16" t="s">
        <v>12</v>
      </c>
      <c r="I16">
        <v>607.93799999999999</v>
      </c>
      <c r="J16">
        <v>1013.23</v>
      </c>
      <c r="K16">
        <v>5</v>
      </c>
      <c r="L16">
        <v>1201.4495049068555</v>
      </c>
      <c r="M16">
        <v>7593.0025000000005</v>
      </c>
      <c r="N16">
        <v>1965.6661999999999</v>
      </c>
      <c r="O16">
        <v>749.79019999999991</v>
      </c>
      <c r="P16">
        <v>-6610.1694000000007</v>
      </c>
      <c r="Q16">
        <v>-0.8705606774131841</v>
      </c>
      <c r="R16">
        <v>0.38144329896907214</v>
      </c>
    </row>
    <row r="17" spans="1:18" x14ac:dyDescent="0.2">
      <c r="A17">
        <v>16</v>
      </c>
      <c r="B17">
        <v>138</v>
      </c>
      <c r="C17" s="1">
        <v>45213</v>
      </c>
      <c r="D17">
        <v>38</v>
      </c>
      <c r="E17">
        <v>7</v>
      </c>
      <c r="F17">
        <v>2875.0856999999996</v>
      </c>
      <c r="G17" t="s">
        <v>150</v>
      </c>
      <c r="H17" t="s">
        <v>12</v>
      </c>
      <c r="I17">
        <v>1854.8939999999998</v>
      </c>
      <c r="J17">
        <v>3091.49</v>
      </c>
      <c r="K17">
        <v>5</v>
      </c>
      <c r="L17">
        <v>3519.954309712492</v>
      </c>
      <c r="M17">
        <v>4980.4933333333329</v>
      </c>
      <c r="N17">
        <v>109253.25659999999</v>
      </c>
      <c r="O17">
        <v>38767.284599999992</v>
      </c>
      <c r="P17">
        <v>-2105.4076333333333</v>
      </c>
      <c r="Q17">
        <v>-0.42273074019441181</v>
      </c>
      <c r="R17">
        <v>0.35483870967741932</v>
      </c>
    </row>
    <row r="18" spans="1:18" x14ac:dyDescent="0.2">
      <c r="A18">
        <v>921</v>
      </c>
      <c r="B18">
        <v>141</v>
      </c>
      <c r="C18" s="1">
        <v>45858</v>
      </c>
      <c r="D18">
        <v>24</v>
      </c>
      <c r="E18">
        <v>4</v>
      </c>
      <c r="F18">
        <v>7550.5823999999993</v>
      </c>
      <c r="G18" t="s">
        <v>153</v>
      </c>
      <c r="H18" t="s">
        <v>19</v>
      </c>
      <c r="I18">
        <v>4719.1139999999996</v>
      </c>
      <c r="J18">
        <v>7865.19</v>
      </c>
      <c r="K18">
        <v>5</v>
      </c>
      <c r="L18">
        <v>7884.4923953602383</v>
      </c>
      <c r="M18">
        <v>7586.8133333333344</v>
      </c>
      <c r="N18">
        <v>181213.97759999998</v>
      </c>
      <c r="O18">
        <v>67955.241599999994</v>
      </c>
      <c r="P18">
        <v>-36.230933333335088</v>
      </c>
      <c r="Q18">
        <v>-4.7755140058806092E-3</v>
      </c>
      <c r="R18">
        <v>0.375</v>
      </c>
    </row>
    <row r="19" spans="1:18" x14ac:dyDescent="0.2">
      <c r="A19">
        <v>918</v>
      </c>
      <c r="B19">
        <v>9</v>
      </c>
      <c r="C19" s="1">
        <v>45347</v>
      </c>
      <c r="D19">
        <v>36</v>
      </c>
      <c r="E19">
        <v>10</v>
      </c>
      <c r="F19">
        <v>2577.4650000000001</v>
      </c>
      <c r="G19" t="s">
        <v>20</v>
      </c>
      <c r="H19" t="s">
        <v>8</v>
      </c>
      <c r="I19">
        <v>1718.31</v>
      </c>
      <c r="J19">
        <v>2863.85</v>
      </c>
      <c r="K19">
        <v>5</v>
      </c>
      <c r="L19">
        <v>3473.3782560648083</v>
      </c>
      <c r="M19">
        <v>6325.1699999999992</v>
      </c>
      <c r="N19">
        <v>92788.74</v>
      </c>
      <c r="O19">
        <v>30929.580000000009</v>
      </c>
      <c r="P19">
        <v>-3747.704999999999</v>
      </c>
      <c r="Q19">
        <v>-0.59250660456556892</v>
      </c>
      <c r="R19">
        <v>0.33333333333333343</v>
      </c>
    </row>
    <row r="20" spans="1:18" x14ac:dyDescent="0.2">
      <c r="A20">
        <v>908</v>
      </c>
      <c r="B20">
        <v>13</v>
      </c>
      <c r="C20" s="1">
        <v>45078</v>
      </c>
      <c r="D20">
        <v>37</v>
      </c>
      <c r="E20">
        <v>4</v>
      </c>
      <c r="F20">
        <v>1725.1776</v>
      </c>
      <c r="G20" t="s">
        <v>24</v>
      </c>
      <c r="H20" t="s">
        <v>12</v>
      </c>
      <c r="I20">
        <v>1078.2359999999999</v>
      </c>
      <c r="J20">
        <v>1797.06</v>
      </c>
      <c r="K20">
        <v>5</v>
      </c>
      <c r="L20">
        <v>2153.8948061974857</v>
      </c>
      <c r="M20">
        <v>1712.5580000000002</v>
      </c>
      <c r="N20">
        <v>63831.571199999998</v>
      </c>
      <c r="O20">
        <v>23936.839200000002</v>
      </c>
      <c r="P20">
        <v>12.619599999999764</v>
      </c>
      <c r="Q20">
        <v>7.368859915985188E-3</v>
      </c>
      <c r="R20">
        <v>0.37500000000000006</v>
      </c>
    </row>
    <row r="21" spans="1:18" x14ac:dyDescent="0.2">
      <c r="A21">
        <v>20</v>
      </c>
      <c r="B21">
        <v>56</v>
      </c>
      <c r="C21" s="1">
        <v>45819</v>
      </c>
      <c r="D21">
        <v>27</v>
      </c>
      <c r="E21">
        <v>4</v>
      </c>
      <c r="F21">
        <v>7662.5280000000002</v>
      </c>
      <c r="G21" t="s">
        <v>68</v>
      </c>
      <c r="H21" t="s">
        <v>35</v>
      </c>
      <c r="I21">
        <v>4789.08</v>
      </c>
      <c r="J21">
        <v>7981.8</v>
      </c>
      <c r="K21">
        <v>5</v>
      </c>
      <c r="L21">
        <v>8646.4864141835442</v>
      </c>
      <c r="M21">
        <v>3458.9274999999998</v>
      </c>
      <c r="N21">
        <v>206888.25599999999</v>
      </c>
      <c r="O21">
        <v>77583.096000000005</v>
      </c>
      <c r="P21">
        <v>4203.6005000000005</v>
      </c>
      <c r="Q21">
        <v>1.2152901441270454</v>
      </c>
      <c r="R21">
        <v>0.37500000000000006</v>
      </c>
    </row>
    <row r="22" spans="1:18" x14ac:dyDescent="0.2">
      <c r="A22">
        <v>907</v>
      </c>
      <c r="B22">
        <v>61</v>
      </c>
      <c r="C22" s="1">
        <v>45786</v>
      </c>
      <c r="D22">
        <v>2</v>
      </c>
      <c r="E22">
        <v>7</v>
      </c>
      <c r="F22">
        <v>2271.2831999999999</v>
      </c>
      <c r="G22" t="s">
        <v>73</v>
      </c>
      <c r="H22" t="s">
        <v>6</v>
      </c>
      <c r="I22">
        <v>1465.3439999999998</v>
      </c>
      <c r="J22">
        <v>2442.2399999999998</v>
      </c>
      <c r="K22">
        <v>5</v>
      </c>
      <c r="L22">
        <v>2777.3915195572581</v>
      </c>
      <c r="M22">
        <v>411.75600000000003</v>
      </c>
      <c r="N22">
        <v>4542.5663999999997</v>
      </c>
      <c r="O22">
        <v>1611.8784000000001</v>
      </c>
      <c r="P22">
        <v>1859.5271999999998</v>
      </c>
      <c r="Q22">
        <v>4.5160901116195022</v>
      </c>
      <c r="R22">
        <v>0.35483870967741937</v>
      </c>
    </row>
    <row r="23" spans="1:18" x14ac:dyDescent="0.2">
      <c r="A23">
        <v>900</v>
      </c>
      <c r="B23">
        <v>139</v>
      </c>
      <c r="C23" s="1">
        <v>45470</v>
      </c>
      <c r="D23">
        <v>10</v>
      </c>
      <c r="E23">
        <v>9</v>
      </c>
      <c r="F23">
        <v>2357.8827999999999</v>
      </c>
      <c r="G23" t="s">
        <v>151</v>
      </c>
      <c r="H23" t="s">
        <v>17</v>
      </c>
      <c r="I23">
        <v>1554.6479999999999</v>
      </c>
      <c r="J23">
        <v>2591.08</v>
      </c>
      <c r="K23">
        <v>5</v>
      </c>
      <c r="L23">
        <v>3109.2806399992255</v>
      </c>
      <c r="M23">
        <v>2839.1733333333336</v>
      </c>
      <c r="N23">
        <v>23578.827999999998</v>
      </c>
      <c r="O23">
        <v>8032.348</v>
      </c>
      <c r="P23">
        <v>-481.29053333333377</v>
      </c>
      <c r="Q23">
        <v>-0.16951784087386954</v>
      </c>
      <c r="R23">
        <v>0.34065934065934067</v>
      </c>
    </row>
    <row r="24" spans="1:18" x14ac:dyDescent="0.2">
      <c r="A24">
        <v>23</v>
      </c>
      <c r="B24">
        <v>9</v>
      </c>
      <c r="C24" s="1">
        <v>45615</v>
      </c>
      <c r="D24">
        <v>2</v>
      </c>
      <c r="E24">
        <v>2</v>
      </c>
      <c r="F24">
        <v>2806.5729999999999</v>
      </c>
      <c r="G24" t="s">
        <v>20</v>
      </c>
      <c r="H24" t="s">
        <v>8</v>
      </c>
      <c r="I24">
        <v>1718.31</v>
      </c>
      <c r="J24">
        <v>2863.85</v>
      </c>
      <c r="K24">
        <v>5</v>
      </c>
      <c r="L24">
        <v>2889.339709162</v>
      </c>
      <c r="M24">
        <v>6325.1699999999992</v>
      </c>
      <c r="N24">
        <v>5613.1459999999997</v>
      </c>
      <c r="O24">
        <v>2176.5259999999998</v>
      </c>
      <c r="P24">
        <v>-3518.5969999999993</v>
      </c>
      <c r="Q24">
        <v>-0.55628496941584171</v>
      </c>
      <c r="R24">
        <v>0.38775510204081631</v>
      </c>
    </row>
    <row r="25" spans="1:18" x14ac:dyDescent="0.2">
      <c r="A25">
        <v>895</v>
      </c>
      <c r="B25">
        <v>141</v>
      </c>
      <c r="C25" s="1">
        <v>45064</v>
      </c>
      <c r="D25">
        <v>7</v>
      </c>
      <c r="E25">
        <v>3</v>
      </c>
      <c r="F25">
        <v>7629.2342999999992</v>
      </c>
      <c r="G25" t="s">
        <v>153</v>
      </c>
      <c r="H25" t="s">
        <v>19</v>
      </c>
      <c r="I25">
        <v>4719.1139999999996</v>
      </c>
      <c r="J25">
        <v>7865.19</v>
      </c>
      <c r="K25">
        <v>5</v>
      </c>
      <c r="L25">
        <v>7903.7083270331168</v>
      </c>
      <c r="M25">
        <v>7586.8133333333344</v>
      </c>
      <c r="N25">
        <v>53404.640099999997</v>
      </c>
      <c r="O25">
        <v>20370.842099999998</v>
      </c>
      <c r="P25">
        <v>42.420966666664754</v>
      </c>
      <c r="Q25">
        <v>5.5914077232247818E-3</v>
      </c>
      <c r="R25">
        <v>0.38144329896907214</v>
      </c>
    </row>
    <row r="26" spans="1:18" x14ac:dyDescent="0.2">
      <c r="A26">
        <v>891</v>
      </c>
      <c r="B26">
        <v>56</v>
      </c>
      <c r="C26" s="1">
        <v>45480</v>
      </c>
      <c r="D26">
        <v>34</v>
      </c>
      <c r="E26">
        <v>10</v>
      </c>
      <c r="F26">
        <v>7183.62</v>
      </c>
      <c r="G26" t="s">
        <v>68</v>
      </c>
      <c r="H26" t="s">
        <v>35</v>
      </c>
      <c r="I26">
        <v>4789.08</v>
      </c>
      <c r="J26">
        <v>7981.8</v>
      </c>
      <c r="K26">
        <v>5</v>
      </c>
      <c r="L26">
        <v>9733.0245037722252</v>
      </c>
      <c r="M26">
        <v>3458.9274999999998</v>
      </c>
      <c r="N26">
        <v>244243.08</v>
      </c>
      <c r="O26">
        <v>81414.36</v>
      </c>
      <c r="P26">
        <v>3724.6925000000001</v>
      </c>
      <c r="Q26">
        <v>1.076834510119105</v>
      </c>
      <c r="R26">
        <v>0.33333333333333337</v>
      </c>
    </row>
    <row r="27" spans="1:18" x14ac:dyDescent="0.2">
      <c r="A27">
        <v>26</v>
      </c>
      <c r="B27">
        <v>125</v>
      </c>
      <c r="C27" s="1">
        <v>45752</v>
      </c>
      <c r="D27">
        <v>10</v>
      </c>
      <c r="E27">
        <v>10</v>
      </c>
      <c r="F27">
        <v>3915.9629999999997</v>
      </c>
      <c r="G27" t="s">
        <v>137</v>
      </c>
      <c r="H27" t="s">
        <v>8</v>
      </c>
      <c r="I27">
        <v>2610.6419999999998</v>
      </c>
      <c r="J27">
        <v>4351.07</v>
      </c>
      <c r="K27">
        <v>5</v>
      </c>
      <c r="L27">
        <v>4602.4790969098358</v>
      </c>
      <c r="M27">
        <v>5094.8040000000001</v>
      </c>
      <c r="N27">
        <v>39159.629999999997</v>
      </c>
      <c r="O27">
        <v>13053.21</v>
      </c>
      <c r="P27">
        <v>-1178.8410000000003</v>
      </c>
      <c r="Q27">
        <v>-0.23138103055583695</v>
      </c>
      <c r="R27">
        <v>0.33333333333333331</v>
      </c>
    </row>
    <row r="28" spans="1:18" x14ac:dyDescent="0.2">
      <c r="A28">
        <v>890</v>
      </c>
      <c r="B28">
        <v>139</v>
      </c>
      <c r="C28" s="1">
        <v>45094</v>
      </c>
      <c r="D28">
        <v>7</v>
      </c>
      <c r="E28">
        <v>5</v>
      </c>
      <c r="F28">
        <v>2461.5259999999998</v>
      </c>
      <c r="G28" t="s">
        <v>151</v>
      </c>
      <c r="H28" t="s">
        <v>17</v>
      </c>
      <c r="I28">
        <v>1554.6479999999999</v>
      </c>
      <c r="J28">
        <v>2591.08</v>
      </c>
      <c r="K28">
        <v>5</v>
      </c>
      <c r="L28">
        <v>2645.724842084117</v>
      </c>
      <c r="M28">
        <v>2839.1733333333336</v>
      </c>
      <c r="N28">
        <v>17230.682000000001</v>
      </c>
      <c r="O28">
        <v>6348.1459999999997</v>
      </c>
      <c r="P28">
        <v>-377.64733333333379</v>
      </c>
      <c r="Q28">
        <v>-0.13301313058261105</v>
      </c>
      <c r="R28">
        <v>0.36842105263157893</v>
      </c>
    </row>
    <row r="29" spans="1:18" x14ac:dyDescent="0.2">
      <c r="A29">
        <v>889</v>
      </c>
      <c r="B29">
        <v>141</v>
      </c>
      <c r="C29" s="1">
        <v>45308</v>
      </c>
      <c r="D29">
        <v>43</v>
      </c>
      <c r="E29">
        <v>4</v>
      </c>
      <c r="F29">
        <v>7550.5823999999993</v>
      </c>
      <c r="G29" t="s">
        <v>153</v>
      </c>
      <c r="H29" t="s">
        <v>19</v>
      </c>
      <c r="I29">
        <v>4719.1139999999996</v>
      </c>
      <c r="J29">
        <v>7865.19</v>
      </c>
      <c r="K29">
        <v>5</v>
      </c>
      <c r="L29">
        <v>9233.7572575516788</v>
      </c>
      <c r="M29">
        <v>7586.8133333333344</v>
      </c>
      <c r="N29">
        <v>324675.04319999996</v>
      </c>
      <c r="O29">
        <v>121753.14119999998</v>
      </c>
      <c r="P29">
        <v>-36.230933333335088</v>
      </c>
      <c r="Q29">
        <v>-4.7755140058806092E-3</v>
      </c>
      <c r="R29">
        <v>0.375</v>
      </c>
    </row>
    <row r="30" spans="1:18" x14ac:dyDescent="0.2">
      <c r="A30">
        <v>29</v>
      </c>
      <c r="B30">
        <v>139</v>
      </c>
      <c r="C30" s="1">
        <v>45269</v>
      </c>
      <c r="D30">
        <v>36</v>
      </c>
      <c r="E30">
        <v>4</v>
      </c>
      <c r="F30">
        <v>2487.4367999999999</v>
      </c>
      <c r="G30" t="s">
        <v>151</v>
      </c>
      <c r="H30" t="s">
        <v>17</v>
      </c>
      <c r="I30">
        <v>1554.6479999999999</v>
      </c>
      <c r="J30">
        <v>2591.08</v>
      </c>
      <c r="K30">
        <v>5</v>
      </c>
      <c r="L30">
        <v>2896.6437403686587</v>
      </c>
      <c r="M30">
        <v>2839.1733333333336</v>
      </c>
      <c r="N30">
        <v>89547.724799999996</v>
      </c>
      <c r="O30">
        <v>33580.396800000002</v>
      </c>
      <c r="P30">
        <v>-351.73653333333368</v>
      </c>
      <c r="Q30">
        <v>-0.12388695300979639</v>
      </c>
      <c r="R30">
        <v>0.37500000000000006</v>
      </c>
    </row>
    <row r="31" spans="1:18" x14ac:dyDescent="0.2">
      <c r="A31">
        <v>30</v>
      </c>
      <c r="B31">
        <v>56</v>
      </c>
      <c r="C31" s="1">
        <v>45165</v>
      </c>
      <c r="D31">
        <v>48</v>
      </c>
      <c r="E31">
        <v>7</v>
      </c>
      <c r="F31">
        <v>7423.0739999999996</v>
      </c>
      <c r="G31" t="s">
        <v>68</v>
      </c>
      <c r="H31" t="s">
        <v>35</v>
      </c>
      <c r="I31">
        <v>4789.08</v>
      </c>
      <c r="J31">
        <v>7981.8</v>
      </c>
      <c r="K31">
        <v>5</v>
      </c>
      <c r="L31">
        <v>8609.6429505551496</v>
      </c>
      <c r="M31">
        <v>3458.9274999999998</v>
      </c>
      <c r="N31">
        <v>356307.55199999997</v>
      </c>
      <c r="O31">
        <v>126431.71199999998</v>
      </c>
      <c r="P31">
        <v>3964.1464999999998</v>
      </c>
      <c r="Q31">
        <v>1.146062327123075</v>
      </c>
      <c r="R31">
        <v>0.35483870967741937</v>
      </c>
    </row>
    <row r="32" spans="1:18" x14ac:dyDescent="0.2">
      <c r="A32">
        <v>885</v>
      </c>
      <c r="B32">
        <v>141</v>
      </c>
      <c r="C32" s="1">
        <v>45637</v>
      </c>
      <c r="D32">
        <v>29</v>
      </c>
      <c r="E32">
        <v>2</v>
      </c>
      <c r="F32">
        <v>7707.8861999999999</v>
      </c>
      <c r="G32" t="s">
        <v>153</v>
      </c>
      <c r="H32" t="s">
        <v>19</v>
      </c>
      <c r="I32">
        <v>4719.1139999999996</v>
      </c>
      <c r="J32">
        <v>7865.19</v>
      </c>
      <c r="K32">
        <v>5</v>
      </c>
      <c r="L32">
        <v>8144.9338457868271</v>
      </c>
      <c r="M32">
        <v>7586.8133333333344</v>
      </c>
      <c r="N32">
        <v>223528.6998</v>
      </c>
      <c r="O32">
        <v>86674.393800000005</v>
      </c>
      <c r="P32">
        <v>121.0728666666655</v>
      </c>
      <c r="Q32">
        <v>1.5958329452330292E-2</v>
      </c>
      <c r="R32">
        <v>0.38775510204081637</v>
      </c>
    </row>
    <row r="33" spans="1:18" x14ac:dyDescent="0.2">
      <c r="A33">
        <v>884</v>
      </c>
      <c r="B33">
        <v>28</v>
      </c>
      <c r="C33" s="1">
        <v>45462</v>
      </c>
      <c r="D33">
        <v>42</v>
      </c>
      <c r="E33">
        <v>7</v>
      </c>
      <c r="F33">
        <v>5316.4565999999995</v>
      </c>
      <c r="G33" t="s">
        <v>40</v>
      </c>
      <c r="H33" t="s">
        <v>8</v>
      </c>
      <c r="I33">
        <v>3429.9719999999998</v>
      </c>
      <c r="J33">
        <v>5716.62</v>
      </c>
      <c r="K33">
        <v>5</v>
      </c>
      <c r="L33">
        <v>6569.2413149808863</v>
      </c>
      <c r="M33">
        <v>3542.9559999999997</v>
      </c>
      <c r="N33">
        <v>223291.17719999998</v>
      </c>
      <c r="O33">
        <v>79232.353199999983</v>
      </c>
      <c r="P33">
        <v>1773.5005999999998</v>
      </c>
      <c r="Q33">
        <v>0.50057087923191823</v>
      </c>
      <c r="R33">
        <v>0.35483870967741932</v>
      </c>
    </row>
    <row r="34" spans="1:18" x14ac:dyDescent="0.2">
      <c r="A34">
        <v>882</v>
      </c>
      <c r="B34">
        <v>74</v>
      </c>
      <c r="C34" s="1">
        <v>45733</v>
      </c>
      <c r="D34">
        <v>31</v>
      </c>
      <c r="E34">
        <v>2</v>
      </c>
      <c r="F34">
        <v>1867.1058</v>
      </c>
      <c r="G34" t="s">
        <v>86</v>
      </c>
      <c r="H34" t="s">
        <v>17</v>
      </c>
      <c r="I34">
        <v>1143.126</v>
      </c>
      <c r="J34">
        <v>1905.21</v>
      </c>
      <c r="K34">
        <v>5</v>
      </c>
      <c r="L34">
        <v>1927.2228987142271</v>
      </c>
      <c r="M34">
        <v>2585.9039999999995</v>
      </c>
      <c r="N34">
        <v>57880.279800000004</v>
      </c>
      <c r="O34">
        <v>22443.373800000001</v>
      </c>
      <c r="P34">
        <v>-718.7981999999995</v>
      </c>
      <c r="Q34">
        <v>-0.27796785959571568</v>
      </c>
      <c r="R34">
        <v>0.38775510204081631</v>
      </c>
    </row>
    <row r="35" spans="1:18" x14ac:dyDescent="0.2">
      <c r="A35">
        <v>879</v>
      </c>
      <c r="B35">
        <v>130</v>
      </c>
      <c r="C35" s="1">
        <v>45809</v>
      </c>
      <c r="D35">
        <v>27</v>
      </c>
      <c r="E35">
        <v>3</v>
      </c>
      <c r="F35">
        <v>3089.9252999999999</v>
      </c>
      <c r="G35" t="s">
        <v>142</v>
      </c>
      <c r="H35" t="s">
        <v>12</v>
      </c>
      <c r="I35">
        <v>1911.2939999999999</v>
      </c>
      <c r="J35">
        <v>3185.49</v>
      </c>
      <c r="K35">
        <v>5</v>
      </c>
      <c r="L35">
        <v>3845.5539174522009</v>
      </c>
      <c r="M35">
        <v>3865.1374999999998</v>
      </c>
      <c r="N35">
        <v>83427.983099999998</v>
      </c>
      <c r="O35">
        <v>31823.045099999999</v>
      </c>
      <c r="P35">
        <v>-775.21219999999994</v>
      </c>
      <c r="Q35">
        <v>-0.20056523215538904</v>
      </c>
      <c r="R35">
        <v>0.38144329896907214</v>
      </c>
    </row>
    <row r="36" spans="1:18" x14ac:dyDescent="0.2">
      <c r="A36">
        <v>862</v>
      </c>
      <c r="B36">
        <v>56</v>
      </c>
      <c r="C36" s="1">
        <v>45598</v>
      </c>
      <c r="D36">
        <v>20</v>
      </c>
      <c r="E36">
        <v>7</v>
      </c>
      <c r="F36">
        <v>7423.0739999999996</v>
      </c>
      <c r="G36" t="s">
        <v>68</v>
      </c>
      <c r="H36" t="s">
        <v>35</v>
      </c>
      <c r="I36">
        <v>4789.08</v>
      </c>
      <c r="J36">
        <v>7981.8</v>
      </c>
      <c r="K36">
        <v>5</v>
      </c>
      <c r="L36">
        <v>9818.959415810501</v>
      </c>
      <c r="M36">
        <v>3458.9274999999998</v>
      </c>
      <c r="N36">
        <v>148461.47999999998</v>
      </c>
      <c r="O36">
        <v>52679.87999999999</v>
      </c>
      <c r="P36">
        <v>3964.1464999999998</v>
      </c>
      <c r="Q36">
        <v>1.146062327123075</v>
      </c>
      <c r="R36">
        <v>0.35483870967741932</v>
      </c>
    </row>
    <row r="37" spans="1:18" x14ac:dyDescent="0.2">
      <c r="A37">
        <v>856</v>
      </c>
      <c r="B37">
        <v>13</v>
      </c>
      <c r="C37" s="1">
        <v>45621</v>
      </c>
      <c r="D37">
        <v>48</v>
      </c>
      <c r="E37">
        <v>3</v>
      </c>
      <c r="F37">
        <v>1743.1481999999999</v>
      </c>
      <c r="G37" t="s">
        <v>24</v>
      </c>
      <c r="H37" t="s">
        <v>12</v>
      </c>
      <c r="I37">
        <v>1078.2359999999999</v>
      </c>
      <c r="J37">
        <v>1797.06</v>
      </c>
      <c r="K37">
        <v>5</v>
      </c>
      <c r="L37">
        <v>1832.5854110753821</v>
      </c>
      <c r="M37">
        <v>1712.5580000000002</v>
      </c>
      <c r="N37">
        <v>83671.113599999997</v>
      </c>
      <c r="O37">
        <v>31915.785599999999</v>
      </c>
      <c r="P37">
        <v>30.590199999999641</v>
      </c>
      <c r="Q37">
        <v>1.7862285540109962E-2</v>
      </c>
      <c r="R37">
        <v>0.3814432989690722</v>
      </c>
    </row>
    <row r="38" spans="1:18" x14ac:dyDescent="0.2">
      <c r="A38">
        <v>853</v>
      </c>
      <c r="B38">
        <v>74</v>
      </c>
      <c r="C38" s="1">
        <v>45074</v>
      </c>
      <c r="D38">
        <v>6</v>
      </c>
      <c r="E38">
        <v>3</v>
      </c>
      <c r="F38">
        <v>1848.0536999999999</v>
      </c>
      <c r="G38" t="s">
        <v>86</v>
      </c>
      <c r="H38" t="s">
        <v>17</v>
      </c>
      <c r="I38">
        <v>1143.126</v>
      </c>
      <c r="J38">
        <v>1905.21</v>
      </c>
      <c r="K38">
        <v>5</v>
      </c>
      <c r="L38">
        <v>2447.0205988580938</v>
      </c>
      <c r="M38">
        <v>2585.9039999999995</v>
      </c>
      <c r="N38">
        <v>11088.322199999999</v>
      </c>
      <c r="O38">
        <v>4229.5661999999993</v>
      </c>
      <c r="P38">
        <v>-737.85029999999961</v>
      </c>
      <c r="Q38">
        <v>-0.2853355344978003</v>
      </c>
      <c r="R38">
        <v>0.38144329896907214</v>
      </c>
    </row>
    <row r="39" spans="1:18" x14ac:dyDescent="0.2">
      <c r="A39">
        <v>38</v>
      </c>
      <c r="B39">
        <v>9</v>
      </c>
      <c r="C39" s="1">
        <v>45256</v>
      </c>
      <c r="D39">
        <v>10</v>
      </c>
      <c r="E39">
        <v>2</v>
      </c>
      <c r="F39">
        <v>2806.5729999999999</v>
      </c>
      <c r="G39" t="s">
        <v>20</v>
      </c>
      <c r="H39" t="s">
        <v>8</v>
      </c>
      <c r="I39">
        <v>1718.31</v>
      </c>
      <c r="J39">
        <v>2863.85</v>
      </c>
      <c r="K39">
        <v>5</v>
      </c>
      <c r="L39">
        <v>3013.7214708972192</v>
      </c>
      <c r="M39">
        <v>6325.1699999999992</v>
      </c>
      <c r="N39">
        <v>28065.73</v>
      </c>
      <c r="O39">
        <v>10882.63</v>
      </c>
      <c r="P39">
        <v>-3518.5969999999993</v>
      </c>
      <c r="Q39">
        <v>-0.55628496941584171</v>
      </c>
      <c r="R39">
        <v>0.38775510204081631</v>
      </c>
    </row>
    <row r="40" spans="1:18" x14ac:dyDescent="0.2">
      <c r="A40">
        <v>852</v>
      </c>
      <c r="B40">
        <v>139</v>
      </c>
      <c r="C40" s="1">
        <v>45570</v>
      </c>
      <c r="D40">
        <v>4</v>
      </c>
      <c r="E40">
        <v>5</v>
      </c>
      <c r="F40">
        <v>2461.5259999999998</v>
      </c>
      <c r="G40" t="s">
        <v>151</v>
      </c>
      <c r="H40" t="s">
        <v>17</v>
      </c>
      <c r="I40">
        <v>1554.6479999999999</v>
      </c>
      <c r="J40">
        <v>2591.08</v>
      </c>
      <c r="K40">
        <v>5</v>
      </c>
      <c r="L40">
        <v>2983.2946624746464</v>
      </c>
      <c r="M40">
        <v>2839.1733333333336</v>
      </c>
      <c r="N40">
        <v>9846.1039999999994</v>
      </c>
      <c r="O40">
        <v>3627.5119999999997</v>
      </c>
      <c r="P40">
        <v>-377.64733333333379</v>
      </c>
      <c r="Q40">
        <v>-0.13301313058261105</v>
      </c>
      <c r="R40">
        <v>0.36842105263157893</v>
      </c>
    </row>
    <row r="41" spans="1:18" x14ac:dyDescent="0.2">
      <c r="A41">
        <v>841</v>
      </c>
      <c r="B41">
        <v>125</v>
      </c>
      <c r="C41" s="1">
        <v>45367</v>
      </c>
      <c r="D41">
        <v>7</v>
      </c>
      <c r="E41">
        <v>8</v>
      </c>
      <c r="F41">
        <v>4002.9843999999998</v>
      </c>
      <c r="G41" t="s">
        <v>137</v>
      </c>
      <c r="H41" t="s">
        <v>8</v>
      </c>
      <c r="I41">
        <v>2610.6419999999998</v>
      </c>
      <c r="J41">
        <v>4351.07</v>
      </c>
      <c r="K41">
        <v>5</v>
      </c>
      <c r="L41">
        <v>4483.3989907846453</v>
      </c>
      <c r="M41">
        <v>5094.8040000000001</v>
      </c>
      <c r="N41">
        <v>28020.890799999997</v>
      </c>
      <c r="O41">
        <v>9746.3968000000004</v>
      </c>
      <c r="P41">
        <v>-1091.8196000000003</v>
      </c>
      <c r="Q41">
        <v>-0.21430060901263331</v>
      </c>
      <c r="R41">
        <v>0.34782608695652178</v>
      </c>
    </row>
    <row r="42" spans="1:18" x14ac:dyDescent="0.2">
      <c r="A42">
        <v>836</v>
      </c>
      <c r="B42">
        <v>88</v>
      </c>
      <c r="C42" s="1">
        <v>45163</v>
      </c>
      <c r="D42">
        <v>14</v>
      </c>
      <c r="E42">
        <v>2</v>
      </c>
      <c r="F42">
        <v>6111.6034</v>
      </c>
      <c r="G42" t="s">
        <v>100</v>
      </c>
      <c r="H42" t="s">
        <v>35</v>
      </c>
      <c r="I42">
        <v>3741.7979999999998</v>
      </c>
      <c r="J42">
        <v>6236.33</v>
      </c>
      <c r="K42">
        <v>5</v>
      </c>
      <c r="L42">
        <v>6722.9805629828179</v>
      </c>
      <c r="M42">
        <v>4981.5050000000001</v>
      </c>
      <c r="N42">
        <v>85562.4476</v>
      </c>
      <c r="O42">
        <v>33177.275600000001</v>
      </c>
      <c r="P42">
        <v>1130.0983999999999</v>
      </c>
      <c r="Q42">
        <v>0.22685883081518535</v>
      </c>
      <c r="R42">
        <v>0.38775510204081631</v>
      </c>
    </row>
    <row r="43" spans="1:18" x14ac:dyDescent="0.2">
      <c r="A43">
        <v>829</v>
      </c>
      <c r="B43">
        <v>139</v>
      </c>
      <c r="C43" s="1">
        <v>45392</v>
      </c>
      <c r="D43">
        <v>50</v>
      </c>
      <c r="E43">
        <v>6</v>
      </c>
      <c r="F43">
        <v>2435.6151999999997</v>
      </c>
      <c r="G43" t="s">
        <v>151</v>
      </c>
      <c r="H43" t="s">
        <v>17</v>
      </c>
      <c r="I43">
        <v>1554.6479999999999</v>
      </c>
      <c r="J43">
        <v>2591.08</v>
      </c>
      <c r="K43">
        <v>5</v>
      </c>
      <c r="L43">
        <v>3319.556459428054</v>
      </c>
      <c r="M43">
        <v>2839.1733333333336</v>
      </c>
      <c r="N43">
        <v>121780.75999999998</v>
      </c>
      <c r="O43">
        <v>44048.359999999993</v>
      </c>
      <c r="P43">
        <v>-403.5581333333339</v>
      </c>
      <c r="Q43">
        <v>-0.14213930815542572</v>
      </c>
      <c r="R43">
        <v>0.36170212765957449</v>
      </c>
    </row>
    <row r="44" spans="1:18" x14ac:dyDescent="0.2">
      <c r="A44">
        <v>43</v>
      </c>
      <c r="B44">
        <v>6</v>
      </c>
      <c r="C44" s="1">
        <v>45612</v>
      </c>
      <c r="D44">
        <v>50</v>
      </c>
      <c r="E44">
        <v>3</v>
      </c>
      <c r="F44">
        <v>4001.4246000000003</v>
      </c>
      <c r="G44" t="s">
        <v>15</v>
      </c>
      <c r="H44" t="s">
        <v>8</v>
      </c>
      <c r="I44">
        <v>2475.1080000000002</v>
      </c>
      <c r="J44">
        <v>4125.18</v>
      </c>
      <c r="K44">
        <v>5</v>
      </c>
      <c r="L44">
        <v>4948.0726964442483</v>
      </c>
      <c r="M44">
        <v>6862.0275000000001</v>
      </c>
      <c r="N44">
        <v>200071.23</v>
      </c>
      <c r="O44">
        <v>76315.83</v>
      </c>
      <c r="P44">
        <v>-2860.6028999999999</v>
      </c>
      <c r="Q44">
        <v>-0.41687429844896423</v>
      </c>
      <c r="R44">
        <v>0.38144329896907214</v>
      </c>
    </row>
    <row r="45" spans="1:18" x14ac:dyDescent="0.2">
      <c r="A45">
        <v>827</v>
      </c>
      <c r="B45">
        <v>130</v>
      </c>
      <c r="C45" s="1">
        <v>45028</v>
      </c>
      <c r="D45">
        <v>10</v>
      </c>
      <c r="E45">
        <v>3</v>
      </c>
      <c r="F45">
        <v>3089.9252999999999</v>
      </c>
      <c r="G45" t="s">
        <v>142</v>
      </c>
      <c r="H45" t="s">
        <v>12</v>
      </c>
      <c r="I45">
        <v>1911.2939999999999</v>
      </c>
      <c r="J45">
        <v>3185.49</v>
      </c>
      <c r="K45">
        <v>5</v>
      </c>
      <c r="L45">
        <v>4067.3095757264323</v>
      </c>
      <c r="M45">
        <v>3865.1374999999998</v>
      </c>
      <c r="N45">
        <v>30899.252999999997</v>
      </c>
      <c r="O45">
        <v>11786.313</v>
      </c>
      <c r="P45">
        <v>-775.21219999999994</v>
      </c>
      <c r="Q45">
        <v>-0.20056523215538904</v>
      </c>
      <c r="R45">
        <v>0.3814432989690722</v>
      </c>
    </row>
    <row r="46" spans="1:18" x14ac:dyDescent="0.2">
      <c r="A46">
        <v>821</v>
      </c>
      <c r="B46">
        <v>118</v>
      </c>
      <c r="C46" s="1">
        <v>44935</v>
      </c>
      <c r="D46">
        <v>29</v>
      </c>
      <c r="E46">
        <v>5</v>
      </c>
      <c r="F46">
        <v>2991.7874999999999</v>
      </c>
      <c r="G46" t="s">
        <v>130</v>
      </c>
      <c r="H46" t="s">
        <v>19</v>
      </c>
      <c r="I46">
        <v>1889.55</v>
      </c>
      <c r="J46">
        <v>3149.25</v>
      </c>
      <c r="K46">
        <v>5</v>
      </c>
      <c r="L46">
        <v>3395.4995203823646</v>
      </c>
      <c r="M46">
        <v>224.52399999999997</v>
      </c>
      <c r="N46">
        <v>86761.837499999994</v>
      </c>
      <c r="O46">
        <v>31964.887499999997</v>
      </c>
      <c r="P46">
        <v>2767.2635</v>
      </c>
      <c r="Q46">
        <v>12.325023160107607</v>
      </c>
      <c r="R46">
        <v>0.36842105263157893</v>
      </c>
    </row>
    <row r="47" spans="1:18" x14ac:dyDescent="0.2">
      <c r="A47">
        <v>46</v>
      </c>
      <c r="B47">
        <v>125</v>
      </c>
      <c r="C47" s="1">
        <v>45362</v>
      </c>
      <c r="D47">
        <v>14</v>
      </c>
      <c r="E47">
        <v>7</v>
      </c>
      <c r="F47">
        <v>4046.4950999999996</v>
      </c>
      <c r="G47" t="s">
        <v>137</v>
      </c>
      <c r="H47" t="s">
        <v>8</v>
      </c>
      <c r="I47">
        <v>2610.6419999999998</v>
      </c>
      <c r="J47">
        <v>4351.07</v>
      </c>
      <c r="K47">
        <v>5</v>
      </c>
      <c r="L47">
        <v>4688.0643522763348</v>
      </c>
      <c r="M47">
        <v>5094.8040000000001</v>
      </c>
      <c r="N47">
        <v>56650.931399999994</v>
      </c>
      <c r="O47">
        <v>20101.943399999996</v>
      </c>
      <c r="P47">
        <v>-1048.3089000000004</v>
      </c>
      <c r="Q47">
        <v>-0.20576039824103154</v>
      </c>
      <c r="R47">
        <v>0.35483870967741932</v>
      </c>
    </row>
    <row r="48" spans="1:18" x14ac:dyDescent="0.2">
      <c r="A48">
        <v>810</v>
      </c>
      <c r="B48">
        <v>56</v>
      </c>
      <c r="C48" s="1">
        <v>45792</v>
      </c>
      <c r="D48">
        <v>5</v>
      </c>
      <c r="E48">
        <v>8</v>
      </c>
      <c r="F48">
        <v>7343.2560000000003</v>
      </c>
      <c r="G48" t="s">
        <v>68</v>
      </c>
      <c r="H48" t="s">
        <v>35</v>
      </c>
      <c r="I48">
        <v>4789.08</v>
      </c>
      <c r="J48">
        <v>7981.8</v>
      </c>
      <c r="K48">
        <v>5</v>
      </c>
      <c r="L48">
        <v>10183.894994765038</v>
      </c>
      <c r="M48">
        <v>3458.9274999999998</v>
      </c>
      <c r="N48">
        <v>36716.28</v>
      </c>
      <c r="O48">
        <v>12770.880000000001</v>
      </c>
      <c r="P48">
        <v>3884.3285000000005</v>
      </c>
      <c r="Q48">
        <v>1.1229863881217519</v>
      </c>
      <c r="R48">
        <v>0.34782608695652178</v>
      </c>
    </row>
    <row r="49" spans="1:18" x14ac:dyDescent="0.2">
      <c r="A49">
        <v>808</v>
      </c>
      <c r="B49">
        <v>141</v>
      </c>
      <c r="C49" s="1">
        <v>45419</v>
      </c>
      <c r="D49">
        <v>49</v>
      </c>
      <c r="E49">
        <v>8</v>
      </c>
      <c r="F49">
        <v>7235.9748</v>
      </c>
      <c r="G49" t="s">
        <v>153</v>
      </c>
      <c r="H49" t="s">
        <v>19</v>
      </c>
      <c r="I49">
        <v>4719.1139999999996</v>
      </c>
      <c r="J49">
        <v>7865.19</v>
      </c>
      <c r="K49">
        <v>5</v>
      </c>
      <c r="L49">
        <v>7949.1073826536312</v>
      </c>
      <c r="M49">
        <v>7586.8133333333344</v>
      </c>
      <c r="N49">
        <v>354562.76520000002</v>
      </c>
      <c r="O49">
        <v>123326.17920000001</v>
      </c>
      <c r="P49">
        <v>-350.83853333333445</v>
      </c>
      <c r="Q49">
        <v>-4.624320092230217E-2</v>
      </c>
      <c r="R49">
        <v>0.34782608695652173</v>
      </c>
    </row>
    <row r="50" spans="1:18" x14ac:dyDescent="0.2">
      <c r="A50">
        <v>49</v>
      </c>
      <c r="B50">
        <v>138</v>
      </c>
      <c r="C50" s="1">
        <v>45785</v>
      </c>
      <c r="D50">
        <v>42</v>
      </c>
      <c r="E50">
        <v>10</v>
      </c>
      <c r="F50">
        <v>2782.3409999999999</v>
      </c>
      <c r="G50" t="s">
        <v>150</v>
      </c>
      <c r="H50" t="s">
        <v>12</v>
      </c>
      <c r="I50">
        <v>1854.8939999999998</v>
      </c>
      <c r="J50">
        <v>3091.49</v>
      </c>
      <c r="K50">
        <v>5</v>
      </c>
      <c r="L50">
        <v>3153.8614469437111</v>
      </c>
      <c r="M50">
        <v>4980.4933333333329</v>
      </c>
      <c r="N50">
        <v>116858.322</v>
      </c>
      <c r="O50">
        <v>38952.774000000005</v>
      </c>
      <c r="P50">
        <v>-2198.152333333333</v>
      </c>
      <c r="Q50">
        <v>-0.44135232922039846</v>
      </c>
      <c r="R50">
        <v>0.33333333333333337</v>
      </c>
    </row>
    <row r="51" spans="1:18" x14ac:dyDescent="0.2">
      <c r="A51">
        <v>797</v>
      </c>
      <c r="B51">
        <v>74</v>
      </c>
      <c r="C51" s="1">
        <v>45068</v>
      </c>
      <c r="D51">
        <v>40</v>
      </c>
      <c r="E51">
        <v>8</v>
      </c>
      <c r="F51">
        <v>1752.7932000000001</v>
      </c>
      <c r="G51" t="s">
        <v>86</v>
      </c>
      <c r="H51" t="s">
        <v>17</v>
      </c>
      <c r="I51">
        <v>1143.126</v>
      </c>
      <c r="J51">
        <v>1905.21</v>
      </c>
      <c r="K51">
        <v>5</v>
      </c>
      <c r="L51">
        <v>1963.8049613548997</v>
      </c>
      <c r="M51">
        <v>2585.9039999999995</v>
      </c>
      <c r="N51">
        <v>70111.728000000003</v>
      </c>
      <c r="O51">
        <v>24386.688000000002</v>
      </c>
      <c r="P51">
        <v>-833.11079999999947</v>
      </c>
      <c r="Q51">
        <v>-0.3221739090082229</v>
      </c>
      <c r="R51">
        <v>0.34782608695652173</v>
      </c>
    </row>
    <row r="52" spans="1:18" x14ac:dyDescent="0.2">
      <c r="A52">
        <v>791</v>
      </c>
      <c r="B52">
        <v>38</v>
      </c>
      <c r="C52" s="1">
        <v>45014</v>
      </c>
      <c r="D52">
        <v>4</v>
      </c>
      <c r="E52">
        <v>10</v>
      </c>
      <c r="F52">
        <v>5935.9409999999998</v>
      </c>
      <c r="G52" t="s">
        <v>50</v>
      </c>
      <c r="H52" t="s">
        <v>17</v>
      </c>
      <c r="I52">
        <v>3957.2939999999999</v>
      </c>
      <c r="J52">
        <v>6595.49</v>
      </c>
      <c r="K52">
        <v>5</v>
      </c>
      <c r="L52">
        <v>6712.1489409621145</v>
      </c>
      <c r="M52">
        <v>517.86</v>
      </c>
      <c r="N52">
        <v>23743.763999999999</v>
      </c>
      <c r="O52">
        <v>7914.5879999999997</v>
      </c>
      <c r="P52">
        <v>5418.0810000000001</v>
      </c>
      <c r="Q52">
        <v>10.462443517553007</v>
      </c>
      <c r="R52">
        <v>0.33333333333333331</v>
      </c>
    </row>
    <row r="53" spans="1:18" x14ac:dyDescent="0.2">
      <c r="A53">
        <v>786</v>
      </c>
      <c r="B53">
        <v>92</v>
      </c>
      <c r="C53" s="1">
        <v>45677</v>
      </c>
      <c r="D53">
        <v>13</v>
      </c>
      <c r="E53">
        <v>4</v>
      </c>
      <c r="F53">
        <v>3434.8991999999998</v>
      </c>
      <c r="G53" t="s">
        <v>104</v>
      </c>
      <c r="H53" t="s">
        <v>19</v>
      </c>
      <c r="I53">
        <v>2146.8119999999999</v>
      </c>
      <c r="J53">
        <v>3578.02</v>
      </c>
      <c r="K53">
        <v>5</v>
      </c>
      <c r="L53">
        <v>3943.7143659506992</v>
      </c>
      <c r="M53">
        <v>5387.83</v>
      </c>
      <c r="N53">
        <v>44653.689599999998</v>
      </c>
      <c r="O53">
        <v>16745.133600000001</v>
      </c>
      <c r="P53">
        <v>-1952.9308000000001</v>
      </c>
      <c r="Q53">
        <v>-0.36247075353157027</v>
      </c>
      <c r="R53">
        <v>0.37500000000000006</v>
      </c>
    </row>
    <row r="54" spans="1:18" x14ac:dyDescent="0.2">
      <c r="A54">
        <v>784</v>
      </c>
      <c r="B54">
        <v>28</v>
      </c>
      <c r="C54" s="1">
        <v>45343</v>
      </c>
      <c r="D54">
        <v>2</v>
      </c>
      <c r="E54">
        <v>3</v>
      </c>
      <c r="F54">
        <v>5545.1214</v>
      </c>
      <c r="G54" t="s">
        <v>40</v>
      </c>
      <c r="H54" t="s">
        <v>8</v>
      </c>
      <c r="I54">
        <v>3429.9719999999998</v>
      </c>
      <c r="J54">
        <v>5716.62</v>
      </c>
      <c r="K54">
        <v>5</v>
      </c>
      <c r="L54">
        <v>6803.658921132147</v>
      </c>
      <c r="M54">
        <v>3542.9559999999997</v>
      </c>
      <c r="N54">
        <v>11090.2428</v>
      </c>
      <c r="O54">
        <v>4230.2988000000005</v>
      </c>
      <c r="P54">
        <v>2002.1654000000003</v>
      </c>
      <c r="Q54">
        <v>0.56511156220963521</v>
      </c>
      <c r="R54">
        <v>0.3814432989690722</v>
      </c>
    </row>
    <row r="55" spans="1:18" x14ac:dyDescent="0.2">
      <c r="A55">
        <v>783</v>
      </c>
      <c r="B55">
        <v>135</v>
      </c>
      <c r="C55" s="1">
        <v>45018</v>
      </c>
      <c r="D55">
        <v>48</v>
      </c>
      <c r="E55">
        <v>6</v>
      </c>
      <c r="F55">
        <v>7312.9273999999996</v>
      </c>
      <c r="G55" t="s">
        <v>147</v>
      </c>
      <c r="H55" t="s">
        <v>8</v>
      </c>
      <c r="I55">
        <v>4667.826</v>
      </c>
      <c r="J55">
        <v>7779.71</v>
      </c>
      <c r="K55">
        <v>5</v>
      </c>
      <c r="L55">
        <v>9587.6407846672337</v>
      </c>
      <c r="M55">
        <v>4172.7833333333338</v>
      </c>
      <c r="N55">
        <v>351020.51519999997</v>
      </c>
      <c r="O55">
        <v>126964.86719999998</v>
      </c>
      <c r="P55">
        <v>3140.1440666666658</v>
      </c>
      <c r="Q55">
        <v>0.75252986216234541</v>
      </c>
      <c r="R55">
        <v>0.36170212765957444</v>
      </c>
    </row>
    <row r="56" spans="1:18" x14ac:dyDescent="0.2">
      <c r="A56">
        <v>773</v>
      </c>
      <c r="B56">
        <v>139</v>
      </c>
      <c r="C56" s="1">
        <v>45243</v>
      </c>
      <c r="D56">
        <v>36</v>
      </c>
      <c r="E56">
        <v>8</v>
      </c>
      <c r="F56">
        <v>2383.7936</v>
      </c>
      <c r="G56" t="s">
        <v>151</v>
      </c>
      <c r="H56" t="s">
        <v>17</v>
      </c>
      <c r="I56">
        <v>1554.6479999999999</v>
      </c>
      <c r="J56">
        <v>2591.08</v>
      </c>
      <c r="K56">
        <v>5</v>
      </c>
      <c r="L56">
        <v>2694.2355681718591</v>
      </c>
      <c r="M56">
        <v>2839.1733333333336</v>
      </c>
      <c r="N56">
        <v>85816.569600000003</v>
      </c>
      <c r="O56">
        <v>29849.241600000001</v>
      </c>
      <c r="P56">
        <v>-455.37973333333366</v>
      </c>
      <c r="Q56">
        <v>-0.16039166330105487</v>
      </c>
      <c r="R56">
        <v>0.34782608695652173</v>
      </c>
    </row>
    <row r="57" spans="1:18" x14ac:dyDescent="0.2">
      <c r="A57">
        <v>761</v>
      </c>
      <c r="B57">
        <v>9</v>
      </c>
      <c r="C57" s="1">
        <v>45072</v>
      </c>
      <c r="D57">
        <v>28</v>
      </c>
      <c r="E57">
        <v>9</v>
      </c>
      <c r="F57">
        <v>2606.1035000000002</v>
      </c>
      <c r="G57" t="s">
        <v>20</v>
      </c>
      <c r="H57" t="s">
        <v>8</v>
      </c>
      <c r="I57">
        <v>1718.31</v>
      </c>
      <c r="J57">
        <v>2863.85</v>
      </c>
      <c r="K57">
        <v>5</v>
      </c>
      <c r="L57">
        <v>2996.3606424966447</v>
      </c>
      <c r="M57">
        <v>6325.1699999999992</v>
      </c>
      <c r="N57">
        <v>72970.898000000001</v>
      </c>
      <c r="O57">
        <v>24858.218000000008</v>
      </c>
      <c r="P57">
        <v>-3719.066499999999</v>
      </c>
      <c r="Q57">
        <v>-0.58797890017185306</v>
      </c>
      <c r="R57">
        <v>0.34065934065934078</v>
      </c>
    </row>
    <row r="58" spans="1:18" x14ac:dyDescent="0.2">
      <c r="A58">
        <v>760</v>
      </c>
      <c r="B58">
        <v>139</v>
      </c>
      <c r="C58" s="1">
        <v>45698</v>
      </c>
      <c r="D58">
        <v>50</v>
      </c>
      <c r="E58">
        <v>2</v>
      </c>
      <c r="F58">
        <v>2539.2583999999997</v>
      </c>
      <c r="G58" t="s">
        <v>151</v>
      </c>
      <c r="H58" t="s">
        <v>17</v>
      </c>
      <c r="I58">
        <v>1554.6479999999999</v>
      </c>
      <c r="J58">
        <v>2591.08</v>
      </c>
      <c r="K58">
        <v>5</v>
      </c>
      <c r="L58">
        <v>3038.2307582838093</v>
      </c>
      <c r="M58">
        <v>2839.1733333333336</v>
      </c>
      <c r="N58">
        <v>126962.91999999998</v>
      </c>
      <c r="O58">
        <v>49230.51999999999</v>
      </c>
      <c r="P58">
        <v>-299.91493333333392</v>
      </c>
      <c r="Q58">
        <v>-0.10563459786416723</v>
      </c>
      <c r="R58">
        <v>0.38775510204081631</v>
      </c>
    </row>
    <row r="59" spans="1:18" x14ac:dyDescent="0.2">
      <c r="A59">
        <v>758</v>
      </c>
      <c r="B59">
        <v>61</v>
      </c>
      <c r="C59" s="1">
        <v>45571</v>
      </c>
      <c r="D59">
        <v>9</v>
      </c>
      <c r="E59">
        <v>8</v>
      </c>
      <c r="F59">
        <v>2246.8607999999999</v>
      </c>
      <c r="G59" t="s">
        <v>73</v>
      </c>
      <c r="H59" t="s">
        <v>6</v>
      </c>
      <c r="I59">
        <v>1465.3439999999998</v>
      </c>
      <c r="J59">
        <v>2442.2399999999998</v>
      </c>
      <c r="K59">
        <v>5</v>
      </c>
      <c r="L59">
        <v>2648.3965535890679</v>
      </c>
      <c r="M59">
        <v>411.75600000000003</v>
      </c>
      <c r="N59">
        <v>20221.747199999998</v>
      </c>
      <c r="O59">
        <v>7033.6512000000012</v>
      </c>
      <c r="P59">
        <v>1835.1047999999998</v>
      </c>
      <c r="Q59">
        <v>4.4567773147203678</v>
      </c>
      <c r="R59">
        <v>0.34782608695652184</v>
      </c>
    </row>
    <row r="60" spans="1:18" x14ac:dyDescent="0.2">
      <c r="A60">
        <v>755</v>
      </c>
      <c r="B60">
        <v>47</v>
      </c>
      <c r="C60" s="1">
        <v>45042</v>
      </c>
      <c r="D60">
        <v>25</v>
      </c>
      <c r="E60">
        <v>9</v>
      </c>
      <c r="F60">
        <v>3106.3578000000002</v>
      </c>
      <c r="G60" t="s">
        <v>59</v>
      </c>
      <c r="H60" t="s">
        <v>10</v>
      </c>
      <c r="I60">
        <v>2048.1479999999997</v>
      </c>
      <c r="J60">
        <v>3413.58</v>
      </c>
      <c r="K60">
        <v>5</v>
      </c>
      <c r="L60">
        <v>3668.5562295698742</v>
      </c>
      <c r="M60">
        <v>2051.0440000000003</v>
      </c>
      <c r="N60">
        <v>77658.945000000007</v>
      </c>
      <c r="O60">
        <v>26455.245000000014</v>
      </c>
      <c r="P60">
        <v>1055.3137999999999</v>
      </c>
      <c r="Q60">
        <v>0.51452518814808446</v>
      </c>
      <c r="R60">
        <v>0.34065934065934078</v>
      </c>
    </row>
    <row r="61" spans="1:18" x14ac:dyDescent="0.2">
      <c r="A61">
        <v>747</v>
      </c>
      <c r="B61">
        <v>126</v>
      </c>
      <c r="C61" s="1">
        <v>46013</v>
      </c>
      <c r="D61">
        <v>14</v>
      </c>
      <c r="E61">
        <v>4</v>
      </c>
      <c r="F61">
        <v>972.70079999999996</v>
      </c>
      <c r="G61" t="s">
        <v>138</v>
      </c>
      <c r="H61" t="s">
        <v>12</v>
      </c>
      <c r="I61">
        <v>607.93799999999999</v>
      </c>
      <c r="J61">
        <v>1013.23</v>
      </c>
      <c r="K61">
        <v>5</v>
      </c>
      <c r="L61">
        <v>1095.9504059533529</v>
      </c>
      <c r="M61">
        <v>7593.0025000000005</v>
      </c>
      <c r="N61">
        <v>13617.8112</v>
      </c>
      <c r="O61">
        <v>5106.6791999999996</v>
      </c>
      <c r="P61">
        <v>-6620.3017000000009</v>
      </c>
      <c r="Q61">
        <v>-0.87189510341923371</v>
      </c>
      <c r="R61">
        <v>0.37499999999999994</v>
      </c>
    </row>
    <row r="62" spans="1:18" x14ac:dyDescent="0.2">
      <c r="A62">
        <v>741</v>
      </c>
      <c r="B62">
        <v>135</v>
      </c>
      <c r="C62" s="1">
        <v>45617</v>
      </c>
      <c r="D62">
        <v>30</v>
      </c>
      <c r="E62">
        <v>7</v>
      </c>
      <c r="F62">
        <v>7235.1302999999998</v>
      </c>
      <c r="G62" t="s">
        <v>147</v>
      </c>
      <c r="H62" t="s">
        <v>8</v>
      </c>
      <c r="I62">
        <v>4667.826</v>
      </c>
      <c r="J62">
        <v>7779.71</v>
      </c>
      <c r="K62">
        <v>5</v>
      </c>
      <c r="L62">
        <v>8819.99650146567</v>
      </c>
      <c r="M62">
        <v>4172.7833333333338</v>
      </c>
      <c r="N62">
        <v>217053.90899999999</v>
      </c>
      <c r="O62">
        <v>77019.128999999986</v>
      </c>
      <c r="P62">
        <v>3062.346966666666</v>
      </c>
      <c r="Q62">
        <v>0.73388592745849068</v>
      </c>
      <c r="R62">
        <v>0.35483870967741932</v>
      </c>
    </row>
    <row r="63" spans="1:18" x14ac:dyDescent="0.2">
      <c r="A63">
        <v>730</v>
      </c>
      <c r="B63">
        <v>130</v>
      </c>
      <c r="C63" s="1">
        <v>45671</v>
      </c>
      <c r="D63">
        <v>15</v>
      </c>
      <c r="E63">
        <v>7</v>
      </c>
      <c r="F63">
        <v>2962.5056999999997</v>
      </c>
      <c r="G63" t="s">
        <v>142</v>
      </c>
      <c r="H63" t="s">
        <v>12</v>
      </c>
      <c r="I63">
        <v>1911.2939999999999</v>
      </c>
      <c r="J63">
        <v>3185.49</v>
      </c>
      <c r="K63">
        <v>5</v>
      </c>
      <c r="L63">
        <v>3324.9763578046718</v>
      </c>
      <c r="M63">
        <v>3865.1374999999998</v>
      </c>
      <c r="N63">
        <v>44437.585499999994</v>
      </c>
      <c r="O63">
        <v>15768.175499999998</v>
      </c>
      <c r="P63">
        <v>-902.63180000000011</v>
      </c>
      <c r="Q63">
        <v>-0.2335316143345483</v>
      </c>
      <c r="R63">
        <v>0.35483870967741937</v>
      </c>
    </row>
    <row r="64" spans="1:18" x14ac:dyDescent="0.2">
      <c r="A64">
        <v>722</v>
      </c>
      <c r="B64">
        <v>139</v>
      </c>
      <c r="C64" s="1">
        <v>45911</v>
      </c>
      <c r="D64">
        <v>3</v>
      </c>
      <c r="E64">
        <v>5</v>
      </c>
      <c r="F64">
        <v>2461.5259999999998</v>
      </c>
      <c r="G64" t="s">
        <v>151</v>
      </c>
      <c r="H64" t="s">
        <v>17</v>
      </c>
      <c r="I64">
        <v>1554.6479999999999</v>
      </c>
      <c r="J64">
        <v>2591.08</v>
      </c>
      <c r="K64">
        <v>5</v>
      </c>
      <c r="L64">
        <v>3358.5674624961944</v>
      </c>
      <c r="M64">
        <v>2839.1733333333336</v>
      </c>
      <c r="N64">
        <v>7384.5779999999995</v>
      </c>
      <c r="O64">
        <v>2720.634</v>
      </c>
      <c r="P64">
        <v>-377.64733333333379</v>
      </c>
      <c r="Q64">
        <v>-0.13301313058261105</v>
      </c>
      <c r="R64">
        <v>0.36842105263157898</v>
      </c>
    </row>
    <row r="65" spans="1:18" x14ac:dyDescent="0.2">
      <c r="A65">
        <v>710</v>
      </c>
      <c r="B65">
        <v>23</v>
      </c>
      <c r="C65" s="1">
        <v>45506</v>
      </c>
      <c r="D65">
        <v>3</v>
      </c>
      <c r="E65">
        <v>3</v>
      </c>
      <c r="F65">
        <v>3844.498</v>
      </c>
      <c r="G65" t="s">
        <v>34</v>
      </c>
      <c r="H65" t="s">
        <v>35</v>
      </c>
      <c r="I65">
        <v>2378.04</v>
      </c>
      <c r="J65">
        <v>3963.4</v>
      </c>
      <c r="K65">
        <v>5</v>
      </c>
      <c r="L65">
        <v>5121.912519345271</v>
      </c>
      <c r="M65">
        <v>5343.3279999999995</v>
      </c>
      <c r="N65">
        <v>11533.494000000001</v>
      </c>
      <c r="O65">
        <v>4399.3739999999998</v>
      </c>
      <c r="P65">
        <v>-1498.8299999999995</v>
      </c>
      <c r="Q65">
        <v>-0.28050495870738229</v>
      </c>
      <c r="R65">
        <v>0.38144329896907214</v>
      </c>
    </row>
    <row r="66" spans="1:18" x14ac:dyDescent="0.2">
      <c r="A66">
        <v>65</v>
      </c>
      <c r="B66">
        <v>125</v>
      </c>
      <c r="C66" s="1">
        <v>45692</v>
      </c>
      <c r="D66">
        <v>24</v>
      </c>
      <c r="E66">
        <v>4</v>
      </c>
      <c r="F66">
        <v>4177.0271999999995</v>
      </c>
      <c r="G66" t="s">
        <v>137</v>
      </c>
      <c r="H66" t="s">
        <v>8</v>
      </c>
      <c r="I66">
        <v>2610.6419999999998</v>
      </c>
      <c r="J66">
        <v>4351.07</v>
      </c>
      <c r="K66">
        <v>5</v>
      </c>
      <c r="L66">
        <v>5469.9757295197842</v>
      </c>
      <c r="M66">
        <v>5094.8040000000001</v>
      </c>
      <c r="N66">
        <v>100248.65279999998</v>
      </c>
      <c r="O66">
        <v>37593.244799999993</v>
      </c>
      <c r="P66">
        <v>-917.77680000000055</v>
      </c>
      <c r="Q66">
        <v>-0.18013976592622613</v>
      </c>
      <c r="R66">
        <v>0.375</v>
      </c>
    </row>
    <row r="67" spans="1:18" x14ac:dyDescent="0.2">
      <c r="A67">
        <v>705</v>
      </c>
      <c r="B67">
        <v>56</v>
      </c>
      <c r="C67" s="1">
        <v>45699</v>
      </c>
      <c r="D67">
        <v>27</v>
      </c>
      <c r="E67">
        <v>7</v>
      </c>
      <c r="F67">
        <v>7423.0739999999996</v>
      </c>
      <c r="G67" t="s">
        <v>68</v>
      </c>
      <c r="H67" t="s">
        <v>35</v>
      </c>
      <c r="I67">
        <v>4789.08</v>
      </c>
      <c r="J67">
        <v>7981.8</v>
      </c>
      <c r="K67">
        <v>5</v>
      </c>
      <c r="L67">
        <v>10370.746557352233</v>
      </c>
      <c r="M67">
        <v>3458.9274999999998</v>
      </c>
      <c r="N67">
        <v>200422.99799999999</v>
      </c>
      <c r="O67">
        <v>71117.837999999989</v>
      </c>
      <c r="P67">
        <v>3964.1464999999998</v>
      </c>
      <c r="Q67">
        <v>1.146062327123075</v>
      </c>
      <c r="R67">
        <v>0.35483870967741932</v>
      </c>
    </row>
    <row r="68" spans="1:18" x14ac:dyDescent="0.2">
      <c r="A68">
        <v>693</v>
      </c>
      <c r="B68">
        <v>61</v>
      </c>
      <c r="C68" s="1">
        <v>45654</v>
      </c>
      <c r="D68">
        <v>16</v>
      </c>
      <c r="E68">
        <v>3</v>
      </c>
      <c r="F68">
        <v>2368.9727999999996</v>
      </c>
      <c r="G68" t="s">
        <v>73</v>
      </c>
      <c r="H68" t="s">
        <v>6</v>
      </c>
      <c r="I68">
        <v>1465.3439999999998</v>
      </c>
      <c r="J68">
        <v>2442.2399999999998</v>
      </c>
      <c r="K68">
        <v>5</v>
      </c>
      <c r="L68">
        <v>2620.6785654536166</v>
      </c>
      <c r="M68">
        <v>411.75600000000003</v>
      </c>
      <c r="N68">
        <v>37903.564799999993</v>
      </c>
      <c r="O68">
        <v>14458.060799999996</v>
      </c>
      <c r="P68">
        <v>1957.2167999999995</v>
      </c>
      <c r="Q68">
        <v>4.7533412992160393</v>
      </c>
      <c r="R68">
        <v>0.38144329896907214</v>
      </c>
    </row>
    <row r="69" spans="1:18" x14ac:dyDescent="0.2">
      <c r="A69">
        <v>688</v>
      </c>
      <c r="B69">
        <v>130</v>
      </c>
      <c r="C69" s="1">
        <v>45363</v>
      </c>
      <c r="D69">
        <v>46</v>
      </c>
      <c r="E69">
        <v>10</v>
      </c>
      <c r="F69">
        <v>2866.9409999999998</v>
      </c>
      <c r="G69" t="s">
        <v>142</v>
      </c>
      <c r="H69" t="s">
        <v>12</v>
      </c>
      <c r="I69">
        <v>1911.2939999999999</v>
      </c>
      <c r="J69">
        <v>3185.49</v>
      </c>
      <c r="K69">
        <v>5</v>
      </c>
      <c r="L69">
        <v>3516.5447825019814</v>
      </c>
      <c r="M69">
        <v>3865.1374999999998</v>
      </c>
      <c r="N69">
        <v>131879.28599999999</v>
      </c>
      <c r="O69">
        <v>43959.761999999995</v>
      </c>
      <c r="P69">
        <v>-998.19650000000001</v>
      </c>
      <c r="Q69">
        <v>-0.25825640096891767</v>
      </c>
      <c r="R69">
        <v>0.33333333333333331</v>
      </c>
    </row>
    <row r="70" spans="1:18" x14ac:dyDescent="0.2">
      <c r="A70">
        <v>678</v>
      </c>
      <c r="B70">
        <v>126</v>
      </c>
      <c r="C70" s="1">
        <v>45484</v>
      </c>
      <c r="D70">
        <v>7</v>
      </c>
      <c r="E70">
        <v>9</v>
      </c>
      <c r="F70">
        <v>922.03930000000003</v>
      </c>
      <c r="G70" t="s">
        <v>138</v>
      </c>
      <c r="H70" t="s">
        <v>12</v>
      </c>
      <c r="I70">
        <v>607.93799999999999</v>
      </c>
      <c r="J70">
        <v>1013.23</v>
      </c>
      <c r="K70">
        <v>5</v>
      </c>
      <c r="L70">
        <v>1119.9693055310322</v>
      </c>
      <c r="M70">
        <v>7593.0025000000005</v>
      </c>
      <c r="N70">
        <v>6454.2750999999998</v>
      </c>
      <c r="O70">
        <v>2198.7091</v>
      </c>
      <c r="P70">
        <v>-6670.9632000000001</v>
      </c>
      <c r="Q70">
        <v>-0.87856723344948195</v>
      </c>
      <c r="R70">
        <v>0.34065934065934067</v>
      </c>
    </row>
    <row r="71" spans="1:18" x14ac:dyDescent="0.2">
      <c r="A71">
        <v>670</v>
      </c>
      <c r="B71">
        <v>126</v>
      </c>
      <c r="C71" s="1">
        <v>45186</v>
      </c>
      <c r="D71">
        <v>10</v>
      </c>
      <c r="E71">
        <v>7</v>
      </c>
      <c r="F71">
        <v>942.3039</v>
      </c>
      <c r="G71" t="s">
        <v>138</v>
      </c>
      <c r="H71" t="s">
        <v>12</v>
      </c>
      <c r="I71">
        <v>607.93799999999999</v>
      </c>
      <c r="J71">
        <v>1013.23</v>
      </c>
      <c r="K71">
        <v>5</v>
      </c>
      <c r="L71">
        <v>1255.3524076074291</v>
      </c>
      <c r="M71">
        <v>7593.0025000000005</v>
      </c>
      <c r="N71">
        <v>9423.0390000000007</v>
      </c>
      <c r="O71">
        <v>3343.6590000000001</v>
      </c>
      <c r="P71">
        <v>-6650.6986000000006</v>
      </c>
      <c r="Q71">
        <v>-0.87589838143738263</v>
      </c>
      <c r="R71">
        <v>0.35483870967741932</v>
      </c>
    </row>
    <row r="72" spans="1:18" x14ac:dyDescent="0.2">
      <c r="A72">
        <v>662</v>
      </c>
      <c r="B72">
        <v>125</v>
      </c>
      <c r="C72" s="1">
        <v>45487</v>
      </c>
      <c r="D72">
        <v>47</v>
      </c>
      <c r="E72">
        <v>4</v>
      </c>
      <c r="F72">
        <v>4177.0271999999995</v>
      </c>
      <c r="G72" t="s">
        <v>137</v>
      </c>
      <c r="H72" t="s">
        <v>8</v>
      </c>
      <c r="I72">
        <v>2610.6419999999998</v>
      </c>
      <c r="J72">
        <v>4351.07</v>
      </c>
      <c r="K72">
        <v>5</v>
      </c>
      <c r="L72">
        <v>4845.3549941536903</v>
      </c>
      <c r="M72">
        <v>5094.8040000000001</v>
      </c>
      <c r="N72">
        <v>196320.27839999998</v>
      </c>
      <c r="O72">
        <v>73620.104399999982</v>
      </c>
      <c r="P72">
        <v>-917.77680000000055</v>
      </c>
      <c r="Q72">
        <v>-0.18013976592622613</v>
      </c>
      <c r="R72">
        <v>0.37499999999999994</v>
      </c>
    </row>
    <row r="73" spans="1:18" x14ac:dyDescent="0.2">
      <c r="A73">
        <v>655</v>
      </c>
      <c r="B73">
        <v>28</v>
      </c>
      <c r="C73" s="1">
        <v>45957</v>
      </c>
      <c r="D73">
        <v>18</v>
      </c>
      <c r="E73">
        <v>10</v>
      </c>
      <c r="F73">
        <v>5144.9579999999996</v>
      </c>
      <c r="G73" t="s">
        <v>40</v>
      </c>
      <c r="H73" t="s">
        <v>8</v>
      </c>
      <c r="I73">
        <v>3429.9719999999998</v>
      </c>
      <c r="J73">
        <v>5716.62</v>
      </c>
      <c r="K73">
        <v>5</v>
      </c>
      <c r="L73">
        <v>6647.4592122556096</v>
      </c>
      <c r="M73">
        <v>3542.9559999999997</v>
      </c>
      <c r="N73">
        <v>92609.243999999992</v>
      </c>
      <c r="O73">
        <v>30869.748</v>
      </c>
      <c r="P73">
        <v>1602.002</v>
      </c>
      <c r="Q73">
        <v>0.45216536699863052</v>
      </c>
      <c r="R73">
        <v>0.33333333333333337</v>
      </c>
    </row>
    <row r="74" spans="1:18" x14ac:dyDescent="0.2">
      <c r="A74">
        <v>652</v>
      </c>
      <c r="B74">
        <v>74</v>
      </c>
      <c r="C74" s="1">
        <v>45715</v>
      </c>
      <c r="D74">
        <v>17</v>
      </c>
      <c r="E74">
        <v>5</v>
      </c>
      <c r="F74">
        <v>1809.9494999999999</v>
      </c>
      <c r="G74" t="s">
        <v>86</v>
      </c>
      <c r="H74" t="s">
        <v>17</v>
      </c>
      <c r="I74">
        <v>1143.126</v>
      </c>
      <c r="J74">
        <v>1905.21</v>
      </c>
      <c r="K74">
        <v>5</v>
      </c>
      <c r="L74">
        <v>2201.2180491824752</v>
      </c>
      <c r="M74">
        <v>2585.9039999999995</v>
      </c>
      <c r="N74">
        <v>30769.141499999998</v>
      </c>
      <c r="O74">
        <v>11335.9995</v>
      </c>
      <c r="P74">
        <v>-775.9544999999996</v>
      </c>
      <c r="Q74">
        <v>-0.30007088430196932</v>
      </c>
      <c r="R74">
        <v>0.36842105263157898</v>
      </c>
    </row>
    <row r="75" spans="1:18" x14ac:dyDescent="0.2">
      <c r="A75">
        <v>650</v>
      </c>
      <c r="B75">
        <v>138</v>
      </c>
      <c r="C75" s="1">
        <v>45746</v>
      </c>
      <c r="D75">
        <v>21</v>
      </c>
      <c r="E75">
        <v>10</v>
      </c>
      <c r="F75">
        <v>2782.3409999999999</v>
      </c>
      <c r="G75" t="s">
        <v>150</v>
      </c>
      <c r="H75" t="s">
        <v>12</v>
      </c>
      <c r="I75">
        <v>1854.8939999999998</v>
      </c>
      <c r="J75">
        <v>3091.49</v>
      </c>
      <c r="K75">
        <v>5</v>
      </c>
      <c r="L75">
        <v>3208.1140502710464</v>
      </c>
      <c r="M75">
        <v>4980.4933333333329</v>
      </c>
      <c r="N75">
        <v>58429.161</v>
      </c>
      <c r="O75">
        <v>19476.387000000002</v>
      </c>
      <c r="P75">
        <v>-2198.152333333333</v>
      </c>
      <c r="Q75">
        <v>-0.44135232922039846</v>
      </c>
      <c r="R75">
        <v>0.33333333333333337</v>
      </c>
    </row>
    <row r="76" spans="1:18" x14ac:dyDescent="0.2">
      <c r="A76">
        <v>75</v>
      </c>
      <c r="B76">
        <v>116</v>
      </c>
      <c r="C76" s="1">
        <v>45828</v>
      </c>
      <c r="D76">
        <v>30</v>
      </c>
      <c r="E76">
        <v>9</v>
      </c>
      <c r="F76">
        <v>2150.4665</v>
      </c>
      <c r="G76" t="s">
        <v>128</v>
      </c>
      <c r="H76" t="s">
        <v>19</v>
      </c>
      <c r="I76">
        <v>1417.89</v>
      </c>
      <c r="J76">
        <v>2363.15</v>
      </c>
      <c r="K76">
        <v>5</v>
      </c>
      <c r="L76">
        <v>2681.421864678653</v>
      </c>
      <c r="M76">
        <v>4469.4999999999991</v>
      </c>
      <c r="N76">
        <v>64513.995000000003</v>
      </c>
      <c r="O76">
        <v>21977.294999999998</v>
      </c>
      <c r="P76">
        <v>-2319.0334999999991</v>
      </c>
      <c r="Q76">
        <v>-0.51885747846515262</v>
      </c>
      <c r="R76">
        <v>0.34065934065934061</v>
      </c>
    </row>
    <row r="77" spans="1:18" x14ac:dyDescent="0.2">
      <c r="A77">
        <v>76</v>
      </c>
      <c r="B77">
        <v>126</v>
      </c>
      <c r="C77" s="1">
        <v>44937</v>
      </c>
      <c r="D77">
        <v>40</v>
      </c>
      <c r="E77">
        <v>9</v>
      </c>
      <c r="F77">
        <v>922.03930000000003</v>
      </c>
      <c r="G77" t="s">
        <v>138</v>
      </c>
      <c r="H77" t="s">
        <v>12</v>
      </c>
      <c r="I77">
        <v>607.93799999999999</v>
      </c>
      <c r="J77">
        <v>1013.23</v>
      </c>
      <c r="K77">
        <v>5</v>
      </c>
      <c r="L77">
        <v>1054.7528431800156</v>
      </c>
      <c r="M77">
        <v>7593.0025000000005</v>
      </c>
      <c r="N77">
        <v>36881.572</v>
      </c>
      <c r="O77">
        <v>12564.052000000001</v>
      </c>
      <c r="P77">
        <v>-6670.9632000000001</v>
      </c>
      <c r="Q77">
        <v>-0.87856723344948195</v>
      </c>
      <c r="R77">
        <v>0.34065934065934073</v>
      </c>
    </row>
    <row r="78" spans="1:18" x14ac:dyDescent="0.2">
      <c r="A78">
        <v>645</v>
      </c>
      <c r="B78">
        <v>139</v>
      </c>
      <c r="C78" s="1">
        <v>45827</v>
      </c>
      <c r="D78">
        <v>41</v>
      </c>
      <c r="E78">
        <v>6</v>
      </c>
      <c r="F78">
        <v>2435.6151999999997</v>
      </c>
      <c r="G78" t="s">
        <v>151</v>
      </c>
      <c r="H78" t="s">
        <v>17</v>
      </c>
      <c r="I78">
        <v>1554.6479999999999</v>
      </c>
      <c r="J78">
        <v>2591.08</v>
      </c>
      <c r="K78">
        <v>5</v>
      </c>
      <c r="L78">
        <v>3010.4511868513782</v>
      </c>
      <c r="M78">
        <v>2839.1733333333336</v>
      </c>
      <c r="N78">
        <v>99860.223199999993</v>
      </c>
      <c r="O78">
        <v>36119.655199999994</v>
      </c>
      <c r="P78">
        <v>-403.5581333333339</v>
      </c>
      <c r="Q78">
        <v>-0.14213930815542572</v>
      </c>
      <c r="R78">
        <v>0.36170212765957444</v>
      </c>
    </row>
    <row r="79" spans="1:18" x14ac:dyDescent="0.2">
      <c r="A79">
        <v>634</v>
      </c>
      <c r="B79">
        <v>92</v>
      </c>
      <c r="C79" s="1">
        <v>45901</v>
      </c>
      <c r="D79">
        <v>12</v>
      </c>
      <c r="E79">
        <v>8</v>
      </c>
      <c r="F79">
        <v>3291.7784000000001</v>
      </c>
      <c r="G79" t="s">
        <v>104</v>
      </c>
      <c r="H79" t="s">
        <v>19</v>
      </c>
      <c r="I79">
        <v>2146.8119999999999</v>
      </c>
      <c r="J79">
        <v>3578.02</v>
      </c>
      <c r="K79">
        <v>5</v>
      </c>
      <c r="L79">
        <v>3870.9729565039338</v>
      </c>
      <c r="M79">
        <v>5387.83</v>
      </c>
      <c r="N79">
        <v>39501.340800000005</v>
      </c>
      <c r="O79">
        <v>13739.596800000003</v>
      </c>
      <c r="P79">
        <v>-2096.0515999999998</v>
      </c>
      <c r="Q79">
        <v>-0.38903447213442144</v>
      </c>
      <c r="R79">
        <v>0.34782608695652178</v>
      </c>
    </row>
    <row r="80" spans="1:18" x14ac:dyDescent="0.2">
      <c r="A80">
        <v>629</v>
      </c>
      <c r="B80">
        <v>130</v>
      </c>
      <c r="C80" s="1">
        <v>45340</v>
      </c>
      <c r="D80">
        <v>25</v>
      </c>
      <c r="E80">
        <v>5</v>
      </c>
      <c r="F80">
        <v>3026.2154999999998</v>
      </c>
      <c r="G80" t="s">
        <v>142</v>
      </c>
      <c r="H80" t="s">
        <v>12</v>
      </c>
      <c r="I80">
        <v>1911.2939999999999</v>
      </c>
      <c r="J80">
        <v>3185.49</v>
      </c>
      <c r="K80">
        <v>5</v>
      </c>
      <c r="L80">
        <v>3626.8009820024445</v>
      </c>
      <c r="M80">
        <v>3865.1374999999998</v>
      </c>
      <c r="N80">
        <v>75655.387499999997</v>
      </c>
      <c r="O80">
        <v>27873.037499999999</v>
      </c>
      <c r="P80">
        <v>-838.92200000000003</v>
      </c>
      <c r="Q80">
        <v>-0.21704842324496867</v>
      </c>
      <c r="R80">
        <v>0.36842105263157893</v>
      </c>
    </row>
    <row r="81" spans="1:18" x14ac:dyDescent="0.2">
      <c r="A81">
        <v>628</v>
      </c>
      <c r="B81">
        <v>118</v>
      </c>
      <c r="C81" s="1">
        <v>45816</v>
      </c>
      <c r="D81">
        <v>18</v>
      </c>
      <c r="E81">
        <v>8</v>
      </c>
      <c r="F81">
        <v>2897.31</v>
      </c>
      <c r="G81" t="s">
        <v>130</v>
      </c>
      <c r="H81" t="s">
        <v>19</v>
      </c>
      <c r="I81">
        <v>1889.55</v>
      </c>
      <c r="J81">
        <v>3149.25</v>
      </c>
      <c r="K81">
        <v>5</v>
      </c>
      <c r="L81">
        <v>3381.9647923399052</v>
      </c>
      <c r="M81">
        <v>224.52399999999997</v>
      </c>
      <c r="N81">
        <v>52151.58</v>
      </c>
      <c r="O81">
        <v>18139.68</v>
      </c>
      <c r="P81">
        <v>2672.7860000000001</v>
      </c>
      <c r="Q81">
        <v>11.904232955051578</v>
      </c>
      <c r="R81">
        <v>0.34782608695652173</v>
      </c>
    </row>
    <row r="82" spans="1:18" x14ac:dyDescent="0.2">
      <c r="A82">
        <v>623</v>
      </c>
      <c r="B82">
        <v>13</v>
      </c>
      <c r="C82" s="1">
        <v>45636</v>
      </c>
      <c r="D82">
        <v>28</v>
      </c>
      <c r="E82">
        <v>7</v>
      </c>
      <c r="F82">
        <v>1671.2657999999999</v>
      </c>
      <c r="G82" t="s">
        <v>24</v>
      </c>
      <c r="H82" t="s">
        <v>12</v>
      </c>
      <c r="I82">
        <v>1078.2359999999999</v>
      </c>
      <c r="J82">
        <v>1797.06</v>
      </c>
      <c r="K82">
        <v>5</v>
      </c>
      <c r="L82">
        <v>1932.0253154227346</v>
      </c>
      <c r="M82">
        <v>1712.5580000000002</v>
      </c>
      <c r="N82">
        <v>46795.4424</v>
      </c>
      <c r="O82">
        <v>16604.8344</v>
      </c>
      <c r="P82">
        <v>-41.292200000000321</v>
      </c>
      <c r="Q82">
        <v>-2.4111416956389398E-2</v>
      </c>
      <c r="R82">
        <v>0.35483870967741937</v>
      </c>
    </row>
    <row r="83" spans="1:18" x14ac:dyDescent="0.2">
      <c r="A83">
        <v>617</v>
      </c>
      <c r="B83">
        <v>132</v>
      </c>
      <c r="C83" s="1">
        <v>45911</v>
      </c>
      <c r="D83">
        <v>46</v>
      </c>
      <c r="E83">
        <v>3</v>
      </c>
      <c r="F83">
        <v>5323.6800999999996</v>
      </c>
      <c r="G83" t="s">
        <v>144</v>
      </c>
      <c r="H83" t="s">
        <v>12</v>
      </c>
      <c r="I83">
        <v>3292.998</v>
      </c>
      <c r="J83">
        <v>5488.33</v>
      </c>
      <c r="K83">
        <v>5</v>
      </c>
      <c r="L83">
        <v>6773.7490516712969</v>
      </c>
      <c r="M83">
        <v>3374.6533333333332</v>
      </c>
      <c r="N83">
        <v>244889.28459999998</v>
      </c>
      <c r="O83">
        <v>93411.376599999974</v>
      </c>
      <c r="P83">
        <v>1949.0267666666664</v>
      </c>
      <c r="Q83">
        <v>0.57754873587015354</v>
      </c>
      <c r="R83">
        <v>0.38144329896907209</v>
      </c>
    </row>
    <row r="84" spans="1:18" x14ac:dyDescent="0.2">
      <c r="A84">
        <v>615</v>
      </c>
      <c r="B84">
        <v>6</v>
      </c>
      <c r="C84" s="1">
        <v>45999</v>
      </c>
      <c r="D84">
        <v>40</v>
      </c>
      <c r="E84">
        <v>8</v>
      </c>
      <c r="F84">
        <v>3795.1656000000003</v>
      </c>
      <c r="G84" t="s">
        <v>15</v>
      </c>
      <c r="H84" t="s">
        <v>8</v>
      </c>
      <c r="I84">
        <v>2475.1080000000002</v>
      </c>
      <c r="J84">
        <v>4125.18</v>
      </c>
      <c r="K84">
        <v>5</v>
      </c>
      <c r="L84">
        <v>5282.8577872678015</v>
      </c>
      <c r="M84">
        <v>6862.0275000000001</v>
      </c>
      <c r="N84">
        <v>151806.62400000001</v>
      </c>
      <c r="O84">
        <v>52802.304000000004</v>
      </c>
      <c r="P84">
        <v>-3066.8618999999999</v>
      </c>
      <c r="Q84">
        <v>-0.44693232430211038</v>
      </c>
      <c r="R84">
        <v>0.34782608695652173</v>
      </c>
    </row>
    <row r="85" spans="1:18" x14ac:dyDescent="0.2">
      <c r="A85">
        <v>608</v>
      </c>
      <c r="B85">
        <v>80</v>
      </c>
      <c r="C85" s="1">
        <v>45453</v>
      </c>
      <c r="D85">
        <v>45</v>
      </c>
      <c r="E85">
        <v>5</v>
      </c>
      <c r="F85">
        <v>949.11649999999997</v>
      </c>
      <c r="G85" t="s">
        <v>92</v>
      </c>
      <c r="H85" t="s">
        <v>8</v>
      </c>
      <c r="I85">
        <v>599.44200000000001</v>
      </c>
      <c r="J85">
        <v>999.07</v>
      </c>
      <c r="K85">
        <v>5</v>
      </c>
      <c r="L85">
        <v>1197.2620321170702</v>
      </c>
      <c r="M85">
        <v>4319.1966666666667</v>
      </c>
      <c r="N85">
        <v>42710.2425</v>
      </c>
      <c r="O85">
        <v>15735.352499999999</v>
      </c>
      <c r="P85">
        <v>-3370.0801666666666</v>
      </c>
      <c r="Q85">
        <v>-0.78025624363789869</v>
      </c>
      <c r="R85">
        <v>0.36842105263157893</v>
      </c>
    </row>
    <row r="86" spans="1:18" x14ac:dyDescent="0.2">
      <c r="A86">
        <v>604</v>
      </c>
      <c r="B86">
        <v>56</v>
      </c>
      <c r="C86" s="1">
        <v>45453</v>
      </c>
      <c r="D86">
        <v>48</v>
      </c>
      <c r="E86">
        <v>6</v>
      </c>
      <c r="F86">
        <v>7502.8919999999998</v>
      </c>
      <c r="G86" t="s">
        <v>68</v>
      </c>
      <c r="H86" t="s">
        <v>35</v>
      </c>
      <c r="I86">
        <v>4789.08</v>
      </c>
      <c r="J86">
        <v>7981.8</v>
      </c>
      <c r="K86">
        <v>5</v>
      </c>
      <c r="L86">
        <v>10303.480192886496</v>
      </c>
      <c r="M86">
        <v>3458.9274999999998</v>
      </c>
      <c r="N86">
        <v>360138.81599999999</v>
      </c>
      <c r="O86">
        <v>130262.976</v>
      </c>
      <c r="P86">
        <v>4043.9645</v>
      </c>
      <c r="Q86">
        <v>1.1691382661243985</v>
      </c>
      <c r="R86">
        <v>0.36170212765957449</v>
      </c>
    </row>
    <row r="87" spans="1:18" x14ac:dyDescent="0.2">
      <c r="A87">
        <v>598</v>
      </c>
      <c r="B87">
        <v>139</v>
      </c>
      <c r="C87" s="1">
        <v>44980</v>
      </c>
      <c r="D87">
        <v>16</v>
      </c>
      <c r="E87">
        <v>8</v>
      </c>
      <c r="F87">
        <v>2383.7936</v>
      </c>
      <c r="G87" t="s">
        <v>151</v>
      </c>
      <c r="H87" t="s">
        <v>17</v>
      </c>
      <c r="I87">
        <v>1554.6479999999999</v>
      </c>
      <c r="J87">
        <v>2591.08</v>
      </c>
      <c r="K87">
        <v>5</v>
      </c>
      <c r="L87">
        <v>3218.685462211085</v>
      </c>
      <c r="M87">
        <v>2839.1733333333336</v>
      </c>
      <c r="N87">
        <v>38140.6976</v>
      </c>
      <c r="O87">
        <v>13266.329600000001</v>
      </c>
      <c r="P87">
        <v>-455.37973333333366</v>
      </c>
      <c r="Q87">
        <v>-0.16039166330105487</v>
      </c>
      <c r="R87">
        <v>0.34782608695652178</v>
      </c>
    </row>
    <row r="88" spans="1:18" x14ac:dyDescent="0.2">
      <c r="A88">
        <v>595</v>
      </c>
      <c r="B88">
        <v>47</v>
      </c>
      <c r="C88" s="1">
        <v>45709</v>
      </c>
      <c r="D88">
        <v>34</v>
      </c>
      <c r="E88">
        <v>7</v>
      </c>
      <c r="F88">
        <v>3174.6293999999998</v>
      </c>
      <c r="G88" t="s">
        <v>59</v>
      </c>
      <c r="H88" t="s">
        <v>10</v>
      </c>
      <c r="I88">
        <v>2048.1479999999997</v>
      </c>
      <c r="J88">
        <v>3413.58</v>
      </c>
      <c r="K88">
        <v>5</v>
      </c>
      <c r="L88">
        <v>3470.9997152164729</v>
      </c>
      <c r="M88">
        <v>2051.0440000000003</v>
      </c>
      <c r="N88">
        <v>107937.39959999999</v>
      </c>
      <c r="O88">
        <v>38300.367600000005</v>
      </c>
      <c r="P88">
        <v>1123.5853999999995</v>
      </c>
      <c r="Q88">
        <v>0.54781145601947068</v>
      </c>
      <c r="R88">
        <v>0.35483870967741943</v>
      </c>
    </row>
    <row r="89" spans="1:18" x14ac:dyDescent="0.2">
      <c r="A89">
        <v>593</v>
      </c>
      <c r="B89">
        <v>47</v>
      </c>
      <c r="C89" s="1">
        <v>45823</v>
      </c>
      <c r="D89">
        <v>18</v>
      </c>
      <c r="E89">
        <v>5</v>
      </c>
      <c r="F89">
        <v>3242.9009999999998</v>
      </c>
      <c r="G89" t="s">
        <v>59</v>
      </c>
      <c r="H89" t="s">
        <v>10</v>
      </c>
      <c r="I89">
        <v>2048.1479999999997</v>
      </c>
      <c r="J89">
        <v>3413.58</v>
      </c>
      <c r="K89">
        <v>5</v>
      </c>
      <c r="L89">
        <v>4226.286377791389</v>
      </c>
      <c r="M89">
        <v>2051.0440000000003</v>
      </c>
      <c r="N89">
        <v>58372.217999999993</v>
      </c>
      <c r="O89">
        <v>21505.554000000004</v>
      </c>
      <c r="P89">
        <v>1191.8569999999995</v>
      </c>
      <c r="Q89">
        <v>0.58109772389085723</v>
      </c>
      <c r="R89">
        <v>0.36842105263157904</v>
      </c>
    </row>
    <row r="90" spans="1:18" x14ac:dyDescent="0.2">
      <c r="A90">
        <v>590</v>
      </c>
      <c r="B90">
        <v>135</v>
      </c>
      <c r="C90" s="1">
        <v>45912</v>
      </c>
      <c r="D90">
        <v>6</v>
      </c>
      <c r="E90">
        <v>3</v>
      </c>
      <c r="F90">
        <v>7546.3186999999998</v>
      </c>
      <c r="G90" t="s">
        <v>147</v>
      </c>
      <c r="H90" t="s">
        <v>8</v>
      </c>
      <c r="I90">
        <v>4667.826</v>
      </c>
      <c r="J90">
        <v>7779.71</v>
      </c>
      <c r="K90">
        <v>5</v>
      </c>
      <c r="L90">
        <v>8715.634760524712</v>
      </c>
      <c r="M90">
        <v>4172.7833333333338</v>
      </c>
      <c r="N90">
        <v>45277.912199999999</v>
      </c>
      <c r="O90">
        <v>17270.956200000001</v>
      </c>
      <c r="P90">
        <v>3373.5353666666661</v>
      </c>
      <c r="Q90">
        <v>0.8084616662739097</v>
      </c>
      <c r="R90">
        <v>0.3814432989690722</v>
      </c>
    </row>
    <row r="91" spans="1:18" x14ac:dyDescent="0.2">
      <c r="A91">
        <v>583</v>
      </c>
      <c r="B91">
        <v>23</v>
      </c>
      <c r="C91" s="1">
        <v>45051</v>
      </c>
      <c r="D91">
        <v>8</v>
      </c>
      <c r="E91">
        <v>2</v>
      </c>
      <c r="F91">
        <v>3884.1320000000001</v>
      </c>
      <c r="G91" t="s">
        <v>34</v>
      </c>
      <c r="H91" t="s">
        <v>35</v>
      </c>
      <c r="I91">
        <v>2378.04</v>
      </c>
      <c r="J91">
        <v>3963.4</v>
      </c>
      <c r="K91">
        <v>5</v>
      </c>
      <c r="L91">
        <v>4986.3578730001036</v>
      </c>
      <c r="M91">
        <v>5343.3279999999995</v>
      </c>
      <c r="N91">
        <v>31073.056</v>
      </c>
      <c r="O91">
        <v>12048.736000000001</v>
      </c>
      <c r="P91">
        <v>-1459.1959999999995</v>
      </c>
      <c r="Q91">
        <v>-0.27308748405488109</v>
      </c>
      <c r="R91">
        <v>0.38775510204081637</v>
      </c>
    </row>
    <row r="92" spans="1:18" x14ac:dyDescent="0.2">
      <c r="A92">
        <v>582</v>
      </c>
      <c r="B92">
        <v>116</v>
      </c>
      <c r="C92" s="1">
        <v>45726</v>
      </c>
      <c r="D92">
        <v>37</v>
      </c>
      <c r="E92">
        <v>7</v>
      </c>
      <c r="F92">
        <v>2197.7294999999999</v>
      </c>
      <c r="G92" t="s">
        <v>128</v>
      </c>
      <c r="H92" t="s">
        <v>19</v>
      </c>
      <c r="I92">
        <v>1417.89</v>
      </c>
      <c r="J92">
        <v>2363.15</v>
      </c>
      <c r="K92">
        <v>5</v>
      </c>
      <c r="L92">
        <v>2568.8907863390168</v>
      </c>
      <c r="M92">
        <v>4469.4999999999991</v>
      </c>
      <c r="N92">
        <v>81315.991500000004</v>
      </c>
      <c r="O92">
        <v>28854.061499999993</v>
      </c>
      <c r="P92">
        <v>-2271.7704999999992</v>
      </c>
      <c r="Q92">
        <v>-0.50828291755229882</v>
      </c>
      <c r="R92">
        <v>0.35483870967741926</v>
      </c>
    </row>
    <row r="93" spans="1:18" x14ac:dyDescent="0.2">
      <c r="A93">
        <v>92</v>
      </c>
      <c r="B93">
        <v>6</v>
      </c>
      <c r="C93" s="1">
        <v>45525</v>
      </c>
      <c r="D93">
        <v>32</v>
      </c>
      <c r="E93">
        <v>10</v>
      </c>
      <c r="F93">
        <v>3712.6620000000003</v>
      </c>
      <c r="G93" t="s">
        <v>15</v>
      </c>
      <c r="H93" t="s">
        <v>8</v>
      </c>
      <c r="I93">
        <v>2475.1080000000002</v>
      </c>
      <c r="J93">
        <v>4125.18</v>
      </c>
      <c r="K93">
        <v>5</v>
      </c>
      <c r="L93">
        <v>4882.4191886245362</v>
      </c>
      <c r="M93">
        <v>6862.0275000000001</v>
      </c>
      <c r="N93">
        <v>118805.18400000001</v>
      </c>
      <c r="O93">
        <v>39601.728000000003</v>
      </c>
      <c r="P93">
        <v>-3149.3654999999999</v>
      </c>
      <c r="Q93">
        <v>-0.45895553464336886</v>
      </c>
      <c r="R93">
        <v>0.33333333333333331</v>
      </c>
    </row>
    <row r="94" spans="1:18" x14ac:dyDescent="0.2">
      <c r="A94">
        <v>573</v>
      </c>
      <c r="B94">
        <v>141</v>
      </c>
      <c r="C94" s="1">
        <v>45459</v>
      </c>
      <c r="D94">
        <v>10</v>
      </c>
      <c r="E94">
        <v>3</v>
      </c>
      <c r="F94">
        <v>7629.2342999999992</v>
      </c>
      <c r="G94" t="s">
        <v>153</v>
      </c>
      <c r="H94" t="s">
        <v>19</v>
      </c>
      <c r="I94">
        <v>4719.1139999999996</v>
      </c>
      <c r="J94">
        <v>7865.19</v>
      </c>
      <c r="K94">
        <v>5</v>
      </c>
      <c r="L94">
        <v>9972.5913841888578</v>
      </c>
      <c r="M94">
        <v>7586.8133333333344</v>
      </c>
      <c r="N94">
        <v>76292.342999999993</v>
      </c>
      <c r="O94">
        <v>29101.202999999994</v>
      </c>
      <c r="P94">
        <v>42.420966666664754</v>
      </c>
      <c r="Q94">
        <v>5.5914077232247818E-3</v>
      </c>
      <c r="R94">
        <v>0.38144329896907214</v>
      </c>
    </row>
    <row r="95" spans="1:18" x14ac:dyDescent="0.2">
      <c r="A95">
        <v>572</v>
      </c>
      <c r="B95">
        <v>116</v>
      </c>
      <c r="C95" s="1">
        <v>44927</v>
      </c>
      <c r="D95">
        <v>1</v>
      </c>
      <c r="E95">
        <v>7</v>
      </c>
      <c r="F95">
        <v>2197.7294999999999</v>
      </c>
      <c r="G95" t="s">
        <v>128</v>
      </c>
      <c r="H95" t="s">
        <v>19</v>
      </c>
      <c r="I95">
        <v>1417.89</v>
      </c>
      <c r="J95">
        <v>2363.15</v>
      </c>
      <c r="K95">
        <v>5</v>
      </c>
      <c r="L95">
        <v>2515.7158855875973</v>
      </c>
      <c r="M95">
        <v>4469.4999999999991</v>
      </c>
      <c r="N95">
        <v>2197.7294999999999</v>
      </c>
      <c r="O95">
        <v>779.83949999999982</v>
      </c>
      <c r="P95">
        <v>-2271.7704999999992</v>
      </c>
      <c r="Q95">
        <v>-0.50828291755229882</v>
      </c>
      <c r="R95">
        <v>0.35483870967741926</v>
      </c>
    </row>
    <row r="96" spans="1:18" x14ac:dyDescent="0.2">
      <c r="A96">
        <v>95</v>
      </c>
      <c r="B96">
        <v>28</v>
      </c>
      <c r="C96" s="1">
        <v>44967</v>
      </c>
      <c r="D96">
        <v>34</v>
      </c>
      <c r="E96">
        <v>10</v>
      </c>
      <c r="F96">
        <v>5144.9579999999996</v>
      </c>
      <c r="G96" t="s">
        <v>40</v>
      </c>
      <c r="H96" t="s">
        <v>8</v>
      </c>
      <c r="I96">
        <v>3429.9719999999998</v>
      </c>
      <c r="J96">
        <v>5716.62</v>
      </c>
      <c r="K96">
        <v>5</v>
      </c>
      <c r="L96">
        <v>7151.4023257542167</v>
      </c>
      <c r="M96">
        <v>3542.9559999999997</v>
      </c>
      <c r="N96">
        <v>174928.57199999999</v>
      </c>
      <c r="O96">
        <v>58309.523999999998</v>
      </c>
      <c r="P96">
        <v>1602.002</v>
      </c>
      <c r="Q96">
        <v>0.45216536699863052</v>
      </c>
      <c r="R96">
        <v>0.33333333333333337</v>
      </c>
    </row>
    <row r="97" spans="1:18" x14ac:dyDescent="0.2">
      <c r="A97">
        <v>559</v>
      </c>
      <c r="B97">
        <v>56</v>
      </c>
      <c r="C97" s="1">
        <v>45067</v>
      </c>
      <c r="D97">
        <v>29</v>
      </c>
      <c r="E97">
        <v>6</v>
      </c>
      <c r="F97">
        <v>7502.8919999999998</v>
      </c>
      <c r="G97" t="s">
        <v>68</v>
      </c>
      <c r="H97" t="s">
        <v>35</v>
      </c>
      <c r="I97">
        <v>4789.08</v>
      </c>
      <c r="J97">
        <v>7981.8</v>
      </c>
      <c r="K97">
        <v>5</v>
      </c>
      <c r="L97">
        <v>9800.8466102398143</v>
      </c>
      <c r="M97">
        <v>3458.9274999999998</v>
      </c>
      <c r="N97">
        <v>217583.86799999999</v>
      </c>
      <c r="O97">
        <v>78700.547999999995</v>
      </c>
      <c r="P97">
        <v>4043.9645</v>
      </c>
      <c r="Q97">
        <v>1.1691382661243985</v>
      </c>
      <c r="R97">
        <v>0.36170212765957449</v>
      </c>
    </row>
    <row r="98" spans="1:18" x14ac:dyDescent="0.2">
      <c r="A98">
        <v>557</v>
      </c>
      <c r="B98">
        <v>88</v>
      </c>
      <c r="C98" s="1">
        <v>45409</v>
      </c>
      <c r="D98">
        <v>9</v>
      </c>
      <c r="E98">
        <v>3</v>
      </c>
      <c r="F98">
        <v>6049.2401</v>
      </c>
      <c r="G98" t="s">
        <v>100</v>
      </c>
      <c r="H98" t="s">
        <v>35</v>
      </c>
      <c r="I98">
        <v>3741.7979999999998</v>
      </c>
      <c r="J98">
        <v>6236.33</v>
      </c>
      <c r="K98">
        <v>5</v>
      </c>
      <c r="L98">
        <v>7896.1392629089778</v>
      </c>
      <c r="M98">
        <v>4981.5050000000001</v>
      </c>
      <c r="N98">
        <v>54443.160900000003</v>
      </c>
      <c r="O98">
        <v>20766.978900000002</v>
      </c>
      <c r="P98">
        <v>1067.7350999999999</v>
      </c>
      <c r="Q98">
        <v>0.2143398631538059</v>
      </c>
      <c r="R98">
        <v>0.3814432989690722</v>
      </c>
    </row>
    <row r="99" spans="1:18" x14ac:dyDescent="0.2">
      <c r="A99">
        <v>552</v>
      </c>
      <c r="B99">
        <v>47</v>
      </c>
      <c r="C99" s="1">
        <v>45336</v>
      </c>
      <c r="D99">
        <v>23</v>
      </c>
      <c r="E99">
        <v>5</v>
      </c>
      <c r="F99">
        <v>3242.9009999999998</v>
      </c>
      <c r="G99" t="s">
        <v>59</v>
      </c>
      <c r="H99" t="s">
        <v>10</v>
      </c>
      <c r="I99">
        <v>2048.1479999999997</v>
      </c>
      <c r="J99">
        <v>3413.58</v>
      </c>
      <c r="K99">
        <v>5</v>
      </c>
      <c r="L99">
        <v>4139.7700356505411</v>
      </c>
      <c r="M99">
        <v>2051.0440000000003</v>
      </c>
      <c r="N99">
        <v>74586.722999999998</v>
      </c>
      <c r="O99">
        <v>27479.319000000003</v>
      </c>
      <c r="P99">
        <v>1191.8569999999995</v>
      </c>
      <c r="Q99">
        <v>0.58109772389085723</v>
      </c>
      <c r="R99">
        <v>0.36842105263157898</v>
      </c>
    </row>
    <row r="100" spans="1:18" x14ac:dyDescent="0.2">
      <c r="A100">
        <v>539</v>
      </c>
      <c r="B100">
        <v>118</v>
      </c>
      <c r="C100" s="1">
        <v>45025</v>
      </c>
      <c r="D100">
        <v>41</v>
      </c>
      <c r="E100">
        <v>2</v>
      </c>
      <c r="F100">
        <v>3086.2649999999999</v>
      </c>
      <c r="G100" t="s">
        <v>130</v>
      </c>
      <c r="H100" t="s">
        <v>19</v>
      </c>
      <c r="I100">
        <v>1889.55</v>
      </c>
      <c r="J100">
        <v>3149.25</v>
      </c>
      <c r="K100">
        <v>5</v>
      </c>
      <c r="L100">
        <v>3700.3995500681235</v>
      </c>
      <c r="M100">
        <v>224.52399999999997</v>
      </c>
      <c r="N100">
        <v>126536.86499999999</v>
      </c>
      <c r="O100">
        <v>49065.314999999995</v>
      </c>
      <c r="P100">
        <v>2861.741</v>
      </c>
      <c r="Q100">
        <v>12.745813365163636</v>
      </c>
      <c r="R100">
        <v>0.38775510204081631</v>
      </c>
    </row>
    <row r="101" spans="1:18" x14ac:dyDescent="0.2">
      <c r="A101">
        <v>537</v>
      </c>
      <c r="B101">
        <v>92</v>
      </c>
      <c r="C101" s="1">
        <v>45326</v>
      </c>
      <c r="D101">
        <v>25</v>
      </c>
      <c r="E101">
        <v>4</v>
      </c>
      <c r="F101">
        <v>3434.8991999999998</v>
      </c>
      <c r="G101" t="s">
        <v>104</v>
      </c>
      <c r="H101" t="s">
        <v>19</v>
      </c>
      <c r="I101">
        <v>2146.8119999999999</v>
      </c>
      <c r="J101">
        <v>3578.02</v>
      </c>
      <c r="K101">
        <v>5</v>
      </c>
      <c r="L101">
        <v>4267.5033549857499</v>
      </c>
      <c r="M101">
        <v>5387.83</v>
      </c>
      <c r="N101">
        <v>85872.48</v>
      </c>
      <c r="O101">
        <v>32202.18</v>
      </c>
      <c r="P101">
        <v>-1952.9308000000001</v>
      </c>
      <c r="Q101">
        <v>-0.36247075353157027</v>
      </c>
      <c r="R101">
        <v>0.375</v>
      </c>
    </row>
    <row r="102" spans="1:18" x14ac:dyDescent="0.2">
      <c r="A102">
        <v>535</v>
      </c>
      <c r="B102">
        <v>88</v>
      </c>
      <c r="C102" s="1">
        <v>44952</v>
      </c>
      <c r="D102">
        <v>36</v>
      </c>
      <c r="E102">
        <v>8</v>
      </c>
      <c r="F102">
        <v>5737.4236000000001</v>
      </c>
      <c r="G102" t="s">
        <v>100</v>
      </c>
      <c r="H102" t="s">
        <v>35</v>
      </c>
      <c r="I102">
        <v>3741.7979999999998</v>
      </c>
      <c r="J102">
        <v>6236.33</v>
      </c>
      <c r="K102">
        <v>5</v>
      </c>
      <c r="L102">
        <v>8107.0245585838493</v>
      </c>
      <c r="M102">
        <v>4981.5050000000001</v>
      </c>
      <c r="N102">
        <v>206547.24960000001</v>
      </c>
      <c r="O102">
        <v>71842.521600000007</v>
      </c>
      <c r="P102">
        <v>755.91859999999997</v>
      </c>
      <c r="Q102">
        <v>0.15174502484690872</v>
      </c>
      <c r="R102">
        <v>0.34782608695652178</v>
      </c>
    </row>
    <row r="103" spans="1:18" x14ac:dyDescent="0.2">
      <c r="A103">
        <v>529</v>
      </c>
      <c r="B103">
        <v>130</v>
      </c>
      <c r="C103" s="1">
        <v>45988</v>
      </c>
      <c r="D103">
        <v>4</v>
      </c>
      <c r="E103">
        <v>7</v>
      </c>
      <c r="F103">
        <v>2962.5056999999997</v>
      </c>
      <c r="G103" t="s">
        <v>142</v>
      </c>
      <c r="H103" t="s">
        <v>12</v>
      </c>
      <c r="I103">
        <v>1911.2939999999999</v>
      </c>
      <c r="J103">
        <v>3185.49</v>
      </c>
      <c r="K103">
        <v>5</v>
      </c>
      <c r="L103">
        <v>3591.1613390169268</v>
      </c>
      <c r="M103">
        <v>3865.1374999999998</v>
      </c>
      <c r="N103">
        <v>11850.022799999999</v>
      </c>
      <c r="O103">
        <v>4204.8467999999993</v>
      </c>
      <c r="P103">
        <v>-902.63180000000011</v>
      </c>
      <c r="Q103">
        <v>-0.2335316143345483</v>
      </c>
      <c r="R103">
        <v>0.35483870967741932</v>
      </c>
    </row>
    <row r="104" spans="1:18" x14ac:dyDescent="0.2">
      <c r="A104">
        <v>527</v>
      </c>
      <c r="B104">
        <v>80</v>
      </c>
      <c r="C104" s="1">
        <v>45257</v>
      </c>
      <c r="D104">
        <v>34</v>
      </c>
      <c r="E104">
        <v>4</v>
      </c>
      <c r="F104">
        <v>959.10720000000003</v>
      </c>
      <c r="G104" t="s">
        <v>92</v>
      </c>
      <c r="H104" t="s">
        <v>8</v>
      </c>
      <c r="I104">
        <v>599.44200000000001</v>
      </c>
      <c r="J104">
        <v>999.07</v>
      </c>
      <c r="K104">
        <v>5</v>
      </c>
      <c r="L104">
        <v>1055.9021807200243</v>
      </c>
      <c r="M104">
        <v>4319.1966666666667</v>
      </c>
      <c r="N104">
        <v>32609.644800000002</v>
      </c>
      <c r="O104">
        <v>12228.616800000002</v>
      </c>
      <c r="P104">
        <v>-3360.0894666666668</v>
      </c>
      <c r="Q104">
        <v>-0.77794315146566606</v>
      </c>
      <c r="R104">
        <v>0.37500000000000006</v>
      </c>
    </row>
    <row r="105" spans="1:18" x14ac:dyDescent="0.2">
      <c r="A105">
        <v>519</v>
      </c>
      <c r="B105">
        <v>5</v>
      </c>
      <c r="C105" s="1">
        <v>45517</v>
      </c>
      <c r="D105">
        <v>26</v>
      </c>
      <c r="E105">
        <v>4</v>
      </c>
      <c r="F105">
        <v>797.04</v>
      </c>
      <c r="G105" t="s">
        <v>13</v>
      </c>
      <c r="H105" t="s">
        <v>14</v>
      </c>
      <c r="I105">
        <v>498.15</v>
      </c>
      <c r="J105">
        <v>830.25</v>
      </c>
      <c r="K105">
        <v>5</v>
      </c>
      <c r="L105">
        <v>845.09098355473998</v>
      </c>
      <c r="M105">
        <v>7010.5333333333328</v>
      </c>
      <c r="N105">
        <v>20723.04</v>
      </c>
      <c r="O105">
        <v>7771.1399999999994</v>
      </c>
      <c r="P105">
        <v>-6213.4933333333329</v>
      </c>
      <c r="Q105">
        <v>-0.88630822191369174</v>
      </c>
      <c r="R105">
        <v>0.37499999999999994</v>
      </c>
    </row>
    <row r="106" spans="1:18" x14ac:dyDescent="0.2">
      <c r="A106">
        <v>105</v>
      </c>
      <c r="B106">
        <v>126</v>
      </c>
      <c r="C106" s="1">
        <v>45975</v>
      </c>
      <c r="D106">
        <v>47</v>
      </c>
      <c r="E106">
        <v>7</v>
      </c>
      <c r="F106">
        <v>942.3039</v>
      </c>
      <c r="G106" t="s">
        <v>138</v>
      </c>
      <c r="H106" t="s">
        <v>12</v>
      </c>
      <c r="I106">
        <v>607.93799999999999</v>
      </c>
      <c r="J106">
        <v>1013.23</v>
      </c>
      <c r="K106">
        <v>5</v>
      </c>
      <c r="L106">
        <v>1290.8411885327321</v>
      </c>
      <c r="M106">
        <v>7593.0025000000005</v>
      </c>
      <c r="N106">
        <v>44288.283300000003</v>
      </c>
      <c r="O106">
        <v>15715.1973</v>
      </c>
      <c r="P106">
        <v>-6650.6986000000006</v>
      </c>
      <c r="Q106">
        <v>-0.87589838143738263</v>
      </c>
      <c r="R106">
        <v>0.35483870967741932</v>
      </c>
    </row>
    <row r="107" spans="1:18" x14ac:dyDescent="0.2">
      <c r="A107">
        <v>516</v>
      </c>
      <c r="B107">
        <v>74</v>
      </c>
      <c r="C107" s="1">
        <v>45509</v>
      </c>
      <c r="D107">
        <v>46</v>
      </c>
      <c r="E107">
        <v>6</v>
      </c>
      <c r="F107">
        <v>1790.8973999999998</v>
      </c>
      <c r="G107" t="s">
        <v>86</v>
      </c>
      <c r="H107" t="s">
        <v>17</v>
      </c>
      <c r="I107">
        <v>1143.126</v>
      </c>
      <c r="J107">
        <v>1905.21</v>
      </c>
      <c r="K107">
        <v>5</v>
      </c>
      <c r="L107">
        <v>2314.2025124638121</v>
      </c>
      <c r="M107">
        <v>2585.9039999999995</v>
      </c>
      <c r="N107">
        <v>82381.280399999989</v>
      </c>
      <c r="O107">
        <v>29797.484399999994</v>
      </c>
      <c r="P107">
        <v>-795.00659999999971</v>
      </c>
      <c r="Q107">
        <v>-0.30743855920405394</v>
      </c>
      <c r="R107">
        <v>0.36170212765957444</v>
      </c>
    </row>
    <row r="108" spans="1:18" x14ac:dyDescent="0.2">
      <c r="A108">
        <v>515</v>
      </c>
      <c r="B108">
        <v>138</v>
      </c>
      <c r="C108" s="1">
        <v>44937</v>
      </c>
      <c r="D108">
        <v>21</v>
      </c>
      <c r="E108">
        <v>7</v>
      </c>
      <c r="F108">
        <v>2875.0856999999996</v>
      </c>
      <c r="G108" t="s">
        <v>150</v>
      </c>
      <c r="H108" t="s">
        <v>12</v>
      </c>
      <c r="I108">
        <v>1854.8939999999998</v>
      </c>
      <c r="J108">
        <v>3091.49</v>
      </c>
      <c r="K108">
        <v>5</v>
      </c>
      <c r="L108">
        <v>3371.6682137692355</v>
      </c>
      <c r="M108">
        <v>4980.4933333333329</v>
      </c>
      <c r="N108">
        <v>60376.799699999989</v>
      </c>
      <c r="O108">
        <v>21424.025699999998</v>
      </c>
      <c r="P108">
        <v>-2105.4076333333333</v>
      </c>
      <c r="Q108">
        <v>-0.42273074019441181</v>
      </c>
      <c r="R108">
        <v>0.35483870967741937</v>
      </c>
    </row>
    <row r="109" spans="1:18" x14ac:dyDescent="0.2">
      <c r="A109">
        <v>511</v>
      </c>
      <c r="B109">
        <v>143</v>
      </c>
      <c r="C109" s="1">
        <v>45563</v>
      </c>
      <c r="D109">
        <v>23</v>
      </c>
      <c r="E109">
        <v>10</v>
      </c>
      <c r="F109">
        <v>270.26100000000002</v>
      </c>
      <c r="G109" t="s">
        <v>155</v>
      </c>
      <c r="H109" t="s">
        <v>19</v>
      </c>
      <c r="I109">
        <v>180.17400000000001</v>
      </c>
      <c r="J109">
        <v>300.29000000000002</v>
      </c>
      <c r="K109">
        <v>5</v>
      </c>
      <c r="L109">
        <v>331.91505353148239</v>
      </c>
      <c r="M109">
        <v>2883.9133333333339</v>
      </c>
      <c r="N109">
        <v>6216.0030000000006</v>
      </c>
      <c r="O109">
        <v>2072.0010000000002</v>
      </c>
      <c r="P109">
        <v>-2613.6523333333339</v>
      </c>
      <c r="Q109">
        <v>-0.90628671226828361</v>
      </c>
      <c r="R109">
        <v>0.33333333333333331</v>
      </c>
    </row>
    <row r="110" spans="1:18" x14ac:dyDescent="0.2">
      <c r="A110">
        <v>508</v>
      </c>
      <c r="B110">
        <v>88</v>
      </c>
      <c r="C110" s="1">
        <v>45113</v>
      </c>
      <c r="D110">
        <v>49</v>
      </c>
      <c r="E110">
        <v>6</v>
      </c>
      <c r="F110">
        <v>5862.1502</v>
      </c>
      <c r="G110" t="s">
        <v>100</v>
      </c>
      <c r="H110" t="s">
        <v>35</v>
      </c>
      <c r="I110">
        <v>3741.7979999999998</v>
      </c>
      <c r="J110">
        <v>6236.33</v>
      </c>
      <c r="K110">
        <v>5</v>
      </c>
      <c r="L110">
        <v>6834.7797978029084</v>
      </c>
      <c r="M110">
        <v>4981.5050000000001</v>
      </c>
      <c r="N110">
        <v>287245.35979999998</v>
      </c>
      <c r="O110">
        <v>103897.25780000001</v>
      </c>
      <c r="P110">
        <v>880.64519999999993</v>
      </c>
      <c r="Q110">
        <v>0.17678296016966757</v>
      </c>
      <c r="R110">
        <v>0.36170212765957455</v>
      </c>
    </row>
    <row r="111" spans="1:18" x14ac:dyDescent="0.2">
      <c r="A111">
        <v>493</v>
      </c>
      <c r="B111">
        <v>6</v>
      </c>
      <c r="C111" s="1">
        <v>45736</v>
      </c>
      <c r="D111">
        <v>43</v>
      </c>
      <c r="E111">
        <v>9</v>
      </c>
      <c r="F111">
        <v>3753.9138000000003</v>
      </c>
      <c r="G111" t="s">
        <v>15</v>
      </c>
      <c r="H111" t="s">
        <v>8</v>
      </c>
      <c r="I111">
        <v>2475.1080000000002</v>
      </c>
      <c r="J111">
        <v>4125.18</v>
      </c>
      <c r="K111">
        <v>5</v>
      </c>
      <c r="L111">
        <v>4576.4219459111428</v>
      </c>
      <c r="M111">
        <v>6862.0275000000001</v>
      </c>
      <c r="N111">
        <v>161418.29340000002</v>
      </c>
      <c r="O111">
        <v>54988.649400000002</v>
      </c>
      <c r="P111">
        <v>-3108.1136999999999</v>
      </c>
      <c r="Q111">
        <v>-0.45294392947273965</v>
      </c>
      <c r="R111">
        <v>0.34065934065934061</v>
      </c>
    </row>
    <row r="112" spans="1:18" x14ac:dyDescent="0.2">
      <c r="A112">
        <v>488</v>
      </c>
      <c r="B112">
        <v>88</v>
      </c>
      <c r="C112" s="1">
        <v>45672</v>
      </c>
      <c r="D112">
        <v>9</v>
      </c>
      <c r="E112">
        <v>8</v>
      </c>
      <c r="F112">
        <v>5737.4236000000001</v>
      </c>
      <c r="G112" t="s">
        <v>100</v>
      </c>
      <c r="H112" t="s">
        <v>35</v>
      </c>
      <c r="I112">
        <v>3741.7979999999998</v>
      </c>
      <c r="J112">
        <v>6236.33</v>
      </c>
      <c r="K112">
        <v>5</v>
      </c>
      <c r="L112">
        <v>7644.9755739301645</v>
      </c>
      <c r="M112">
        <v>4981.5050000000001</v>
      </c>
      <c r="N112">
        <v>51636.812400000003</v>
      </c>
      <c r="O112">
        <v>17960.630400000002</v>
      </c>
      <c r="P112">
        <v>755.91859999999997</v>
      </c>
      <c r="Q112">
        <v>0.15174502484690872</v>
      </c>
      <c r="R112">
        <v>0.34782608695652178</v>
      </c>
    </row>
    <row r="113" spans="1:18" x14ac:dyDescent="0.2">
      <c r="A113">
        <v>484</v>
      </c>
      <c r="B113">
        <v>61</v>
      </c>
      <c r="C113" s="1">
        <v>45525</v>
      </c>
      <c r="D113">
        <v>44</v>
      </c>
      <c r="E113">
        <v>2</v>
      </c>
      <c r="F113">
        <v>2393.3951999999999</v>
      </c>
      <c r="G113" t="s">
        <v>73</v>
      </c>
      <c r="H113" t="s">
        <v>6</v>
      </c>
      <c r="I113">
        <v>1465.3439999999998</v>
      </c>
      <c r="J113">
        <v>2442.2399999999998</v>
      </c>
      <c r="K113">
        <v>5</v>
      </c>
      <c r="L113">
        <v>2619.212424292502</v>
      </c>
      <c r="M113">
        <v>411.75600000000003</v>
      </c>
      <c r="N113">
        <v>105309.3888</v>
      </c>
      <c r="O113">
        <v>40834.252800000002</v>
      </c>
      <c r="P113">
        <v>1981.6391999999998</v>
      </c>
      <c r="Q113">
        <v>4.8126540961151747</v>
      </c>
      <c r="R113">
        <v>0.38775510204081637</v>
      </c>
    </row>
    <row r="114" spans="1:18" x14ac:dyDescent="0.2">
      <c r="A114">
        <v>482</v>
      </c>
      <c r="B114">
        <v>80</v>
      </c>
      <c r="C114" s="1">
        <v>45991</v>
      </c>
      <c r="D114">
        <v>39</v>
      </c>
      <c r="E114">
        <v>2</v>
      </c>
      <c r="F114">
        <v>979.08860000000004</v>
      </c>
      <c r="G114" t="s">
        <v>92</v>
      </c>
      <c r="H114" t="s">
        <v>8</v>
      </c>
      <c r="I114">
        <v>599.44200000000001</v>
      </c>
      <c r="J114">
        <v>999.07</v>
      </c>
      <c r="K114">
        <v>5</v>
      </c>
      <c r="L114">
        <v>1215.2409763714682</v>
      </c>
      <c r="M114">
        <v>4319.1966666666667</v>
      </c>
      <c r="N114">
        <v>38184.455399999999</v>
      </c>
      <c r="O114">
        <v>14806.217400000001</v>
      </c>
      <c r="P114">
        <v>-3340.1080666666667</v>
      </c>
      <c r="Q114">
        <v>-0.77331696712120079</v>
      </c>
      <c r="R114">
        <v>0.38775510204081637</v>
      </c>
    </row>
    <row r="115" spans="1:18" x14ac:dyDescent="0.2">
      <c r="A115">
        <v>114</v>
      </c>
      <c r="B115">
        <v>74</v>
      </c>
      <c r="C115" s="1">
        <v>45389</v>
      </c>
      <c r="D115">
        <v>38</v>
      </c>
      <c r="E115">
        <v>2</v>
      </c>
      <c r="F115">
        <v>1867.1058</v>
      </c>
      <c r="G115" t="s">
        <v>86</v>
      </c>
      <c r="H115" t="s">
        <v>17</v>
      </c>
      <c r="I115">
        <v>1143.126</v>
      </c>
      <c r="J115">
        <v>1905.21</v>
      </c>
      <c r="K115">
        <v>5</v>
      </c>
      <c r="L115">
        <v>2462.524656141477</v>
      </c>
      <c r="M115">
        <v>2585.9039999999995</v>
      </c>
      <c r="N115">
        <v>70950.020400000009</v>
      </c>
      <c r="O115">
        <v>27511.232400000001</v>
      </c>
      <c r="P115">
        <v>-718.7981999999995</v>
      </c>
      <c r="Q115">
        <v>-0.27796785959571568</v>
      </c>
      <c r="R115">
        <v>0.38775510204081631</v>
      </c>
    </row>
    <row r="116" spans="1:18" x14ac:dyDescent="0.2">
      <c r="A116">
        <v>115</v>
      </c>
      <c r="B116">
        <v>139</v>
      </c>
      <c r="C116" s="1">
        <v>45704</v>
      </c>
      <c r="D116">
        <v>41</v>
      </c>
      <c r="E116">
        <v>3</v>
      </c>
      <c r="F116">
        <v>2513.3476000000001</v>
      </c>
      <c r="G116" t="s">
        <v>151</v>
      </c>
      <c r="H116" t="s">
        <v>17</v>
      </c>
      <c r="I116">
        <v>1554.6479999999999</v>
      </c>
      <c r="J116">
        <v>2591.08</v>
      </c>
      <c r="K116">
        <v>5</v>
      </c>
      <c r="L116">
        <v>3118.8918857614367</v>
      </c>
      <c r="M116">
        <v>2839.1733333333336</v>
      </c>
      <c r="N116">
        <v>103047.2516</v>
      </c>
      <c r="O116">
        <v>39306.683600000004</v>
      </c>
      <c r="P116">
        <v>-325.82573333333357</v>
      </c>
      <c r="Q116">
        <v>-0.11476077543698172</v>
      </c>
      <c r="R116">
        <v>0.3814432989690722</v>
      </c>
    </row>
    <row r="117" spans="1:18" x14ac:dyDescent="0.2">
      <c r="A117">
        <v>480</v>
      </c>
      <c r="B117">
        <v>130</v>
      </c>
      <c r="C117" s="1">
        <v>45157</v>
      </c>
      <c r="D117">
        <v>10</v>
      </c>
      <c r="E117">
        <v>9</v>
      </c>
      <c r="F117">
        <v>2898.7959000000001</v>
      </c>
      <c r="G117" t="s">
        <v>142</v>
      </c>
      <c r="H117" t="s">
        <v>12</v>
      </c>
      <c r="I117">
        <v>1911.2939999999999</v>
      </c>
      <c r="J117">
        <v>3185.49</v>
      </c>
      <c r="K117">
        <v>5</v>
      </c>
      <c r="L117">
        <v>3374.1363092717143</v>
      </c>
      <c r="M117">
        <v>3865.1374999999998</v>
      </c>
      <c r="N117">
        <v>28987.959000000003</v>
      </c>
      <c r="O117">
        <v>9875.0190000000021</v>
      </c>
      <c r="P117">
        <v>-966.34159999999974</v>
      </c>
      <c r="Q117">
        <v>-0.2500148054241278</v>
      </c>
      <c r="R117">
        <v>0.34065934065934073</v>
      </c>
    </row>
    <row r="118" spans="1:18" x14ac:dyDescent="0.2">
      <c r="A118">
        <v>478</v>
      </c>
      <c r="B118">
        <v>80</v>
      </c>
      <c r="C118" s="1">
        <v>44979</v>
      </c>
      <c r="D118">
        <v>41</v>
      </c>
      <c r="E118">
        <v>9</v>
      </c>
      <c r="F118">
        <v>909.15370000000007</v>
      </c>
      <c r="G118" t="s">
        <v>92</v>
      </c>
      <c r="H118" t="s">
        <v>8</v>
      </c>
      <c r="I118">
        <v>599.44200000000001</v>
      </c>
      <c r="J118">
        <v>999.07</v>
      </c>
      <c r="K118">
        <v>5</v>
      </c>
      <c r="L118">
        <v>1085.026524282013</v>
      </c>
      <c r="M118">
        <v>4319.1966666666667</v>
      </c>
      <c r="N118">
        <v>37275.301700000004</v>
      </c>
      <c r="O118">
        <v>12698.179700000002</v>
      </c>
      <c r="P118">
        <v>-3410.0429666666669</v>
      </c>
      <c r="Q118">
        <v>-0.78950861232682934</v>
      </c>
      <c r="R118">
        <v>0.34065934065934067</v>
      </c>
    </row>
    <row r="119" spans="1:18" x14ac:dyDescent="0.2">
      <c r="A119">
        <v>118</v>
      </c>
      <c r="B119">
        <v>125</v>
      </c>
      <c r="C119" s="1">
        <v>45995</v>
      </c>
      <c r="D119">
        <v>45</v>
      </c>
      <c r="E119">
        <v>9</v>
      </c>
      <c r="F119">
        <v>3959.4737</v>
      </c>
      <c r="G119" t="s">
        <v>137</v>
      </c>
      <c r="H119" t="s">
        <v>8</v>
      </c>
      <c r="I119">
        <v>2610.6419999999998</v>
      </c>
      <c r="J119">
        <v>4351.07</v>
      </c>
      <c r="K119">
        <v>5</v>
      </c>
      <c r="L119">
        <v>5465.1512604095496</v>
      </c>
      <c r="M119">
        <v>5094.8040000000001</v>
      </c>
      <c r="N119">
        <v>178176.31649999999</v>
      </c>
      <c r="O119">
        <v>60697.426500000009</v>
      </c>
      <c r="P119">
        <v>-1135.3303000000001</v>
      </c>
      <c r="Q119">
        <v>-0.22284081978423509</v>
      </c>
      <c r="R119">
        <v>0.34065934065934073</v>
      </c>
    </row>
    <row r="120" spans="1:18" x14ac:dyDescent="0.2">
      <c r="A120">
        <v>477</v>
      </c>
      <c r="B120">
        <v>130</v>
      </c>
      <c r="C120" s="1">
        <v>44940</v>
      </c>
      <c r="D120">
        <v>12</v>
      </c>
      <c r="E120">
        <v>8</v>
      </c>
      <c r="F120">
        <v>2930.6507999999999</v>
      </c>
      <c r="G120" t="s">
        <v>142</v>
      </c>
      <c r="H120" t="s">
        <v>12</v>
      </c>
      <c r="I120">
        <v>1911.2939999999999</v>
      </c>
      <c r="J120">
        <v>3185.49</v>
      </c>
      <c r="K120">
        <v>5</v>
      </c>
      <c r="L120">
        <v>3702.3890831204699</v>
      </c>
      <c r="M120">
        <v>3865.1374999999998</v>
      </c>
      <c r="N120">
        <v>35167.809600000001</v>
      </c>
      <c r="O120">
        <v>12232.2816</v>
      </c>
      <c r="P120">
        <v>-934.48669999999993</v>
      </c>
      <c r="Q120">
        <v>-0.24177320987933806</v>
      </c>
      <c r="R120">
        <v>0.34782608695652173</v>
      </c>
    </row>
    <row r="121" spans="1:18" x14ac:dyDescent="0.2">
      <c r="A121">
        <v>469</v>
      </c>
      <c r="B121">
        <v>135</v>
      </c>
      <c r="C121" s="1">
        <v>45735</v>
      </c>
      <c r="D121">
        <v>39</v>
      </c>
      <c r="E121">
        <v>5</v>
      </c>
      <c r="F121">
        <v>7390.7244999999994</v>
      </c>
      <c r="G121" t="s">
        <v>147</v>
      </c>
      <c r="H121" t="s">
        <v>8</v>
      </c>
      <c r="I121">
        <v>4667.826</v>
      </c>
      <c r="J121">
        <v>7779.71</v>
      </c>
      <c r="K121">
        <v>5</v>
      </c>
      <c r="L121">
        <v>9943.8838049098485</v>
      </c>
      <c r="M121">
        <v>4172.7833333333338</v>
      </c>
      <c r="N121">
        <v>288238.25549999997</v>
      </c>
      <c r="O121">
        <v>106193.04149999998</v>
      </c>
      <c r="P121">
        <v>3217.9411666666656</v>
      </c>
      <c r="Q121">
        <v>0.77117379686620013</v>
      </c>
      <c r="R121">
        <v>0.36842105263157893</v>
      </c>
    </row>
    <row r="122" spans="1:18" x14ac:dyDescent="0.2">
      <c r="A122">
        <v>464</v>
      </c>
      <c r="B122">
        <v>132</v>
      </c>
      <c r="C122" s="1">
        <v>45044</v>
      </c>
      <c r="D122">
        <v>32</v>
      </c>
      <c r="E122">
        <v>7</v>
      </c>
      <c r="F122">
        <v>5104.1468999999997</v>
      </c>
      <c r="G122" t="s">
        <v>144</v>
      </c>
      <c r="H122" t="s">
        <v>12</v>
      </c>
      <c r="I122">
        <v>3292.998</v>
      </c>
      <c r="J122">
        <v>5488.33</v>
      </c>
      <c r="K122">
        <v>5</v>
      </c>
      <c r="L122">
        <v>6337.3036879516949</v>
      </c>
      <c r="M122">
        <v>3374.6533333333332</v>
      </c>
      <c r="N122">
        <v>163332.70079999999</v>
      </c>
      <c r="O122">
        <v>57956.76479999999</v>
      </c>
      <c r="P122">
        <v>1729.4935666666665</v>
      </c>
      <c r="Q122">
        <v>0.5124951797517967</v>
      </c>
      <c r="R122">
        <v>0.35483870967741932</v>
      </c>
    </row>
    <row r="123" spans="1:18" x14ac:dyDescent="0.2">
      <c r="A123">
        <v>460</v>
      </c>
      <c r="B123">
        <v>56</v>
      </c>
      <c r="C123" s="1">
        <v>45088</v>
      </c>
      <c r="D123">
        <v>2</v>
      </c>
      <c r="E123">
        <v>9</v>
      </c>
      <c r="F123">
        <v>7263.4380000000001</v>
      </c>
      <c r="G123" t="s">
        <v>68</v>
      </c>
      <c r="H123" t="s">
        <v>35</v>
      </c>
      <c r="I123">
        <v>4789.08</v>
      </c>
      <c r="J123">
        <v>7981.8</v>
      </c>
      <c r="K123">
        <v>5</v>
      </c>
      <c r="L123">
        <v>8643.1619614365591</v>
      </c>
      <c r="M123">
        <v>3458.9274999999998</v>
      </c>
      <c r="N123">
        <v>14526.876</v>
      </c>
      <c r="O123">
        <v>4948.7160000000003</v>
      </c>
      <c r="P123">
        <v>3804.5105000000003</v>
      </c>
      <c r="Q123">
        <v>1.0999104491204283</v>
      </c>
      <c r="R123">
        <v>0.34065934065934067</v>
      </c>
    </row>
    <row r="124" spans="1:18" x14ac:dyDescent="0.2">
      <c r="A124">
        <v>458</v>
      </c>
      <c r="B124">
        <v>138</v>
      </c>
      <c r="C124" s="1">
        <v>46021</v>
      </c>
      <c r="D124">
        <v>8</v>
      </c>
      <c r="E124">
        <v>5</v>
      </c>
      <c r="F124">
        <v>2936.9154999999996</v>
      </c>
      <c r="G124" t="s">
        <v>150</v>
      </c>
      <c r="H124" t="s">
        <v>12</v>
      </c>
      <c r="I124">
        <v>1854.8939999999998</v>
      </c>
      <c r="J124">
        <v>3091.49</v>
      </c>
      <c r="K124">
        <v>5</v>
      </c>
      <c r="L124">
        <v>3770.8951071987785</v>
      </c>
      <c r="M124">
        <v>4980.4933333333329</v>
      </c>
      <c r="N124">
        <v>23495.323999999997</v>
      </c>
      <c r="O124">
        <v>8656.1719999999987</v>
      </c>
      <c r="P124">
        <v>-2043.5778333333333</v>
      </c>
      <c r="Q124">
        <v>-0.41031634751042068</v>
      </c>
      <c r="R124">
        <v>0.36842105263157893</v>
      </c>
    </row>
    <row r="125" spans="1:18" x14ac:dyDescent="0.2">
      <c r="A125">
        <v>124</v>
      </c>
      <c r="B125">
        <v>28</v>
      </c>
      <c r="C125" s="1">
        <v>45309</v>
      </c>
      <c r="D125">
        <v>48</v>
      </c>
      <c r="E125">
        <v>5</v>
      </c>
      <c r="F125">
        <v>5430.7889999999998</v>
      </c>
      <c r="G125" t="s">
        <v>40</v>
      </c>
      <c r="H125" t="s">
        <v>8</v>
      </c>
      <c r="I125">
        <v>3429.9719999999998</v>
      </c>
      <c r="J125">
        <v>5716.62</v>
      </c>
      <c r="K125">
        <v>5</v>
      </c>
      <c r="L125">
        <v>6024.3320121330389</v>
      </c>
      <c r="M125">
        <v>3542.9559999999997</v>
      </c>
      <c r="N125">
        <v>260677.87199999997</v>
      </c>
      <c r="O125">
        <v>96039.216</v>
      </c>
      <c r="P125">
        <v>1887.8330000000001</v>
      </c>
      <c r="Q125">
        <v>0.53284122072077678</v>
      </c>
      <c r="R125">
        <v>0.36842105263157898</v>
      </c>
    </row>
    <row r="126" spans="1:18" x14ac:dyDescent="0.2">
      <c r="A126">
        <v>456</v>
      </c>
      <c r="B126">
        <v>92</v>
      </c>
      <c r="C126" s="1">
        <v>45371</v>
      </c>
      <c r="D126">
        <v>22</v>
      </c>
      <c r="E126">
        <v>8</v>
      </c>
      <c r="F126">
        <v>3291.7784000000001</v>
      </c>
      <c r="G126" t="s">
        <v>104</v>
      </c>
      <c r="H126" t="s">
        <v>19</v>
      </c>
      <c r="I126">
        <v>2146.8119999999999</v>
      </c>
      <c r="J126">
        <v>3578.02</v>
      </c>
      <c r="K126">
        <v>5</v>
      </c>
      <c r="L126">
        <v>4032.623227504997</v>
      </c>
      <c r="M126">
        <v>5387.83</v>
      </c>
      <c r="N126">
        <v>72419.124800000005</v>
      </c>
      <c r="O126">
        <v>25189.260800000004</v>
      </c>
      <c r="P126">
        <v>-2096.0515999999998</v>
      </c>
      <c r="Q126">
        <v>-0.38903447213442144</v>
      </c>
      <c r="R126">
        <v>0.34782608695652178</v>
      </c>
    </row>
    <row r="127" spans="1:18" x14ac:dyDescent="0.2">
      <c r="A127">
        <v>443</v>
      </c>
      <c r="B127">
        <v>38</v>
      </c>
      <c r="C127" s="1">
        <v>46009</v>
      </c>
      <c r="D127">
        <v>47</v>
      </c>
      <c r="E127">
        <v>6</v>
      </c>
      <c r="F127">
        <v>6199.7605999999996</v>
      </c>
      <c r="G127" t="s">
        <v>50</v>
      </c>
      <c r="H127" t="s">
        <v>17</v>
      </c>
      <c r="I127">
        <v>3957.2939999999999</v>
      </c>
      <c r="J127">
        <v>6595.49</v>
      </c>
      <c r="K127">
        <v>5</v>
      </c>
      <c r="L127">
        <v>8444.663039444411</v>
      </c>
      <c r="M127">
        <v>517.86</v>
      </c>
      <c r="N127">
        <v>291388.74819999997</v>
      </c>
      <c r="O127">
        <v>105395.93019999999</v>
      </c>
      <c r="P127">
        <v>5681.9005999999999</v>
      </c>
      <c r="Q127">
        <v>10.971885451666473</v>
      </c>
      <c r="R127">
        <v>0.36170212765957444</v>
      </c>
    </row>
    <row r="128" spans="1:18" x14ac:dyDescent="0.2">
      <c r="A128">
        <v>436</v>
      </c>
      <c r="B128">
        <v>47</v>
      </c>
      <c r="C128" s="1">
        <v>45812</v>
      </c>
      <c r="D128">
        <v>1</v>
      </c>
      <c r="E128">
        <v>4</v>
      </c>
      <c r="F128">
        <v>3277.0367999999999</v>
      </c>
      <c r="G128" t="s">
        <v>59</v>
      </c>
      <c r="H128" t="s">
        <v>10</v>
      </c>
      <c r="I128">
        <v>2048.1479999999997</v>
      </c>
      <c r="J128">
        <v>3413.58</v>
      </c>
      <c r="K128">
        <v>5</v>
      </c>
      <c r="L128">
        <v>3991.2581375841833</v>
      </c>
      <c r="M128">
        <v>2051.0440000000003</v>
      </c>
      <c r="N128">
        <v>3277.0367999999999</v>
      </c>
      <c r="O128">
        <v>1228.8888000000002</v>
      </c>
      <c r="P128">
        <v>1225.9927999999995</v>
      </c>
      <c r="Q128">
        <v>0.5977408578265504</v>
      </c>
      <c r="R128">
        <v>0.37500000000000006</v>
      </c>
    </row>
    <row r="129" spans="1:18" x14ac:dyDescent="0.2">
      <c r="A129">
        <v>435</v>
      </c>
      <c r="B129">
        <v>141</v>
      </c>
      <c r="C129" s="1">
        <v>45374</v>
      </c>
      <c r="D129">
        <v>18</v>
      </c>
      <c r="E129">
        <v>7</v>
      </c>
      <c r="F129">
        <v>7314.6266999999989</v>
      </c>
      <c r="G129" t="s">
        <v>153</v>
      </c>
      <c r="H129" t="s">
        <v>19</v>
      </c>
      <c r="I129">
        <v>4719.1139999999996</v>
      </c>
      <c r="J129">
        <v>7865.19</v>
      </c>
      <c r="K129">
        <v>5</v>
      </c>
      <c r="L129">
        <v>9636.6847603592632</v>
      </c>
      <c r="M129">
        <v>7586.8133333333344</v>
      </c>
      <c r="N129">
        <v>131663.28059999997</v>
      </c>
      <c r="O129">
        <v>46719.228599999988</v>
      </c>
      <c r="P129">
        <v>-272.18663333333552</v>
      </c>
      <c r="Q129">
        <v>-3.58762791931969E-2</v>
      </c>
      <c r="R129">
        <v>0.35483870967741932</v>
      </c>
    </row>
    <row r="130" spans="1:18" x14ac:dyDescent="0.2">
      <c r="A130">
        <v>434</v>
      </c>
      <c r="B130">
        <v>88</v>
      </c>
      <c r="C130" s="1">
        <v>45400</v>
      </c>
      <c r="D130">
        <v>26</v>
      </c>
      <c r="E130">
        <v>9</v>
      </c>
      <c r="F130">
        <v>5675.0603000000001</v>
      </c>
      <c r="G130" t="s">
        <v>100</v>
      </c>
      <c r="H130" t="s">
        <v>35</v>
      </c>
      <c r="I130">
        <v>3741.7979999999998</v>
      </c>
      <c r="J130">
        <v>6236.33</v>
      </c>
      <c r="K130">
        <v>5</v>
      </c>
      <c r="L130">
        <v>7520.019797551543</v>
      </c>
      <c r="M130">
        <v>4981.5050000000001</v>
      </c>
      <c r="N130">
        <v>147551.56779999999</v>
      </c>
      <c r="O130">
        <v>50264.819800000012</v>
      </c>
      <c r="P130">
        <v>693.55529999999999</v>
      </c>
      <c r="Q130">
        <v>0.13922605718552927</v>
      </c>
      <c r="R130">
        <v>0.34065934065934078</v>
      </c>
    </row>
    <row r="131" spans="1:18" x14ac:dyDescent="0.2">
      <c r="A131">
        <v>130</v>
      </c>
      <c r="B131">
        <v>116</v>
      </c>
      <c r="C131" s="1">
        <v>45234</v>
      </c>
      <c r="D131">
        <v>29</v>
      </c>
      <c r="E131">
        <v>9</v>
      </c>
      <c r="F131">
        <v>2150.4665</v>
      </c>
      <c r="G131" t="s">
        <v>128</v>
      </c>
      <c r="H131" t="s">
        <v>19</v>
      </c>
      <c r="I131">
        <v>1417.89</v>
      </c>
      <c r="J131">
        <v>2363.15</v>
      </c>
      <c r="K131">
        <v>5</v>
      </c>
      <c r="L131">
        <v>2796.3804908417233</v>
      </c>
      <c r="M131">
        <v>4469.4999999999991</v>
      </c>
      <c r="N131">
        <v>62363.5285</v>
      </c>
      <c r="O131">
        <v>21244.718499999995</v>
      </c>
      <c r="P131">
        <v>-2319.0334999999991</v>
      </c>
      <c r="Q131">
        <v>-0.51885747846515262</v>
      </c>
      <c r="R131">
        <v>0.34065934065934056</v>
      </c>
    </row>
    <row r="132" spans="1:18" x14ac:dyDescent="0.2">
      <c r="A132">
        <v>433</v>
      </c>
      <c r="B132">
        <v>23</v>
      </c>
      <c r="C132" s="1">
        <v>45944</v>
      </c>
      <c r="D132">
        <v>44</v>
      </c>
      <c r="E132">
        <v>2</v>
      </c>
      <c r="F132">
        <v>3884.1320000000001</v>
      </c>
      <c r="G132" t="s">
        <v>34</v>
      </c>
      <c r="H132" t="s">
        <v>35</v>
      </c>
      <c r="I132">
        <v>2378.04</v>
      </c>
      <c r="J132">
        <v>3963.4</v>
      </c>
      <c r="K132">
        <v>5</v>
      </c>
      <c r="L132">
        <v>4211.8502624860785</v>
      </c>
      <c r="M132">
        <v>5343.3279999999995</v>
      </c>
      <c r="N132">
        <v>170901.80799999999</v>
      </c>
      <c r="O132">
        <v>66268.04800000001</v>
      </c>
      <c r="P132">
        <v>-1459.1959999999995</v>
      </c>
      <c r="Q132">
        <v>-0.27308748405488109</v>
      </c>
      <c r="R132">
        <v>0.38775510204081642</v>
      </c>
    </row>
    <row r="133" spans="1:18" x14ac:dyDescent="0.2">
      <c r="A133">
        <v>432</v>
      </c>
      <c r="B133">
        <v>138</v>
      </c>
      <c r="C133" s="1">
        <v>45617</v>
      </c>
      <c r="D133">
        <v>42</v>
      </c>
      <c r="E133">
        <v>5</v>
      </c>
      <c r="F133">
        <v>2936.9154999999996</v>
      </c>
      <c r="G133" t="s">
        <v>150</v>
      </c>
      <c r="H133" t="s">
        <v>12</v>
      </c>
      <c r="I133">
        <v>1854.8939999999998</v>
      </c>
      <c r="J133">
        <v>3091.49</v>
      </c>
      <c r="K133">
        <v>5</v>
      </c>
      <c r="L133">
        <v>3285.1719797533933</v>
      </c>
      <c r="M133">
        <v>4980.4933333333329</v>
      </c>
      <c r="N133">
        <v>123350.45099999999</v>
      </c>
      <c r="O133">
        <v>45444.902999999991</v>
      </c>
      <c r="P133">
        <v>-2043.5778333333333</v>
      </c>
      <c r="Q133">
        <v>-0.41031634751042068</v>
      </c>
      <c r="R133">
        <v>0.36842105263157893</v>
      </c>
    </row>
    <row r="134" spans="1:18" x14ac:dyDescent="0.2">
      <c r="A134">
        <v>430</v>
      </c>
      <c r="B134">
        <v>14</v>
      </c>
      <c r="C134" s="1">
        <v>44940</v>
      </c>
      <c r="D134">
        <v>45</v>
      </c>
      <c r="E134">
        <v>7</v>
      </c>
      <c r="F134">
        <v>5599.1765999999998</v>
      </c>
      <c r="G134" t="s">
        <v>25</v>
      </c>
      <c r="H134" t="s">
        <v>6</v>
      </c>
      <c r="I134">
        <v>3612.3719999999998</v>
      </c>
      <c r="J134">
        <v>6020.62</v>
      </c>
      <c r="K134">
        <v>5</v>
      </c>
      <c r="L134">
        <v>6798.6755543940735</v>
      </c>
      <c r="M134">
        <v>3652.5316666666672</v>
      </c>
      <c r="N134">
        <v>251962.94699999999</v>
      </c>
      <c r="O134">
        <v>89406.206999999995</v>
      </c>
      <c r="P134">
        <v>1946.6449333333326</v>
      </c>
      <c r="Q134">
        <v>0.5329577156301174</v>
      </c>
      <c r="R134">
        <v>0.35483870967741937</v>
      </c>
    </row>
    <row r="135" spans="1:18" x14ac:dyDescent="0.2">
      <c r="A135">
        <v>413</v>
      </c>
      <c r="B135">
        <v>118</v>
      </c>
      <c r="C135" s="1">
        <v>45827</v>
      </c>
      <c r="D135">
        <v>35</v>
      </c>
      <c r="E135">
        <v>10</v>
      </c>
      <c r="F135">
        <v>2834.3250000000003</v>
      </c>
      <c r="G135" t="s">
        <v>130</v>
      </c>
      <c r="H135" t="s">
        <v>19</v>
      </c>
      <c r="I135">
        <v>1889.55</v>
      </c>
      <c r="J135">
        <v>3149.25</v>
      </c>
      <c r="K135">
        <v>5</v>
      </c>
      <c r="L135">
        <v>3252.9138205417726</v>
      </c>
      <c r="M135">
        <v>224.52399999999997</v>
      </c>
      <c r="N135">
        <v>99201.375000000015</v>
      </c>
      <c r="O135">
        <v>33067.125000000015</v>
      </c>
      <c r="P135">
        <v>2609.8010000000004</v>
      </c>
      <c r="Q135">
        <v>11.623706151680892</v>
      </c>
      <c r="R135">
        <v>0.33333333333333343</v>
      </c>
    </row>
    <row r="136" spans="1:18" x14ac:dyDescent="0.2">
      <c r="A136">
        <v>135</v>
      </c>
      <c r="B136">
        <v>141</v>
      </c>
      <c r="C136" s="1">
        <v>45715</v>
      </c>
      <c r="D136">
        <v>33</v>
      </c>
      <c r="E136">
        <v>3</v>
      </c>
      <c r="F136">
        <v>7629.2342999999992</v>
      </c>
      <c r="G136" t="s">
        <v>153</v>
      </c>
      <c r="H136" t="s">
        <v>19</v>
      </c>
      <c r="I136">
        <v>4719.1139999999996</v>
      </c>
      <c r="J136">
        <v>7865.19</v>
      </c>
      <c r="K136">
        <v>5</v>
      </c>
      <c r="L136">
        <v>8883.6060969308855</v>
      </c>
      <c r="M136">
        <v>7586.8133333333344</v>
      </c>
      <c r="N136">
        <v>251764.73189999998</v>
      </c>
      <c r="O136">
        <v>96033.969899999982</v>
      </c>
      <c r="P136">
        <v>42.420966666664754</v>
      </c>
      <c r="Q136">
        <v>5.5914077232247818E-3</v>
      </c>
      <c r="R136">
        <v>0.38144329896907214</v>
      </c>
    </row>
    <row r="137" spans="1:18" x14ac:dyDescent="0.2">
      <c r="A137">
        <v>411</v>
      </c>
      <c r="B137">
        <v>135</v>
      </c>
      <c r="C137" s="1">
        <v>45157</v>
      </c>
      <c r="D137">
        <v>19</v>
      </c>
      <c r="E137">
        <v>7</v>
      </c>
      <c r="F137">
        <v>7235.1302999999998</v>
      </c>
      <c r="G137" t="s">
        <v>147</v>
      </c>
      <c r="H137" t="s">
        <v>8</v>
      </c>
      <c r="I137">
        <v>4667.826</v>
      </c>
      <c r="J137">
        <v>7779.71</v>
      </c>
      <c r="K137">
        <v>5</v>
      </c>
      <c r="L137">
        <v>8803.3663250500904</v>
      </c>
      <c r="M137">
        <v>4172.7833333333338</v>
      </c>
      <c r="N137">
        <v>137467.47570000001</v>
      </c>
      <c r="O137">
        <v>48778.781699999992</v>
      </c>
      <c r="P137">
        <v>3062.346966666666</v>
      </c>
      <c r="Q137">
        <v>0.73388592745849068</v>
      </c>
      <c r="R137">
        <v>0.35483870967741926</v>
      </c>
    </row>
    <row r="138" spans="1:18" x14ac:dyDescent="0.2">
      <c r="A138">
        <v>407</v>
      </c>
      <c r="B138">
        <v>6</v>
      </c>
      <c r="C138" s="1">
        <v>45884</v>
      </c>
      <c r="D138">
        <v>33</v>
      </c>
      <c r="E138">
        <v>8</v>
      </c>
      <c r="F138">
        <v>3795.1656000000003</v>
      </c>
      <c r="G138" t="s">
        <v>15</v>
      </c>
      <c r="H138" t="s">
        <v>8</v>
      </c>
      <c r="I138">
        <v>2475.1080000000002</v>
      </c>
      <c r="J138">
        <v>4125.18</v>
      </c>
      <c r="K138">
        <v>5</v>
      </c>
      <c r="L138">
        <v>5028.9951031379114</v>
      </c>
      <c r="M138">
        <v>6862.0275000000001</v>
      </c>
      <c r="N138">
        <v>125240.46480000002</v>
      </c>
      <c r="O138">
        <v>43561.900800000003</v>
      </c>
      <c r="P138">
        <v>-3066.8618999999999</v>
      </c>
      <c r="Q138">
        <v>-0.44693232430211038</v>
      </c>
      <c r="R138">
        <v>0.34782608695652173</v>
      </c>
    </row>
    <row r="139" spans="1:18" x14ac:dyDescent="0.2">
      <c r="A139">
        <v>138</v>
      </c>
      <c r="B139">
        <v>92</v>
      </c>
      <c r="C139" s="1">
        <v>45263</v>
      </c>
      <c r="D139">
        <v>35</v>
      </c>
      <c r="E139">
        <v>10</v>
      </c>
      <c r="F139">
        <v>3220.2179999999998</v>
      </c>
      <c r="G139" t="s">
        <v>104</v>
      </c>
      <c r="H139" t="s">
        <v>19</v>
      </c>
      <c r="I139">
        <v>2146.8119999999999</v>
      </c>
      <c r="J139">
        <v>3578.02</v>
      </c>
      <c r="K139">
        <v>5</v>
      </c>
      <c r="L139">
        <v>3836.5910804032846</v>
      </c>
      <c r="M139">
        <v>5387.83</v>
      </c>
      <c r="N139">
        <v>112707.62999999999</v>
      </c>
      <c r="O139">
        <v>37569.21</v>
      </c>
      <c r="P139">
        <v>-2167.6120000000001</v>
      </c>
      <c r="Q139">
        <v>-0.40231633143584711</v>
      </c>
      <c r="R139">
        <v>0.33333333333333337</v>
      </c>
    </row>
    <row r="140" spans="1:18" x14ac:dyDescent="0.2">
      <c r="A140">
        <v>405</v>
      </c>
      <c r="B140">
        <v>88</v>
      </c>
      <c r="C140" s="1">
        <v>45381</v>
      </c>
      <c r="D140">
        <v>17</v>
      </c>
      <c r="E140">
        <v>6</v>
      </c>
      <c r="F140">
        <v>5862.1502</v>
      </c>
      <c r="G140" t="s">
        <v>100</v>
      </c>
      <c r="H140" t="s">
        <v>35</v>
      </c>
      <c r="I140">
        <v>3741.7979999999998</v>
      </c>
      <c r="J140">
        <v>6236.33</v>
      </c>
      <c r="K140">
        <v>5</v>
      </c>
      <c r="L140">
        <v>7170.9625861953837</v>
      </c>
      <c r="M140">
        <v>4981.5050000000001</v>
      </c>
      <c r="N140">
        <v>99656.553400000004</v>
      </c>
      <c r="O140">
        <v>36045.987400000005</v>
      </c>
      <c r="P140">
        <v>880.64519999999993</v>
      </c>
      <c r="Q140">
        <v>0.17678296016966757</v>
      </c>
      <c r="R140">
        <v>0.36170212765957449</v>
      </c>
    </row>
    <row r="141" spans="1:18" x14ac:dyDescent="0.2">
      <c r="A141">
        <v>399</v>
      </c>
      <c r="B141">
        <v>143</v>
      </c>
      <c r="C141" s="1">
        <v>45425</v>
      </c>
      <c r="D141">
        <v>5</v>
      </c>
      <c r="E141">
        <v>5</v>
      </c>
      <c r="F141">
        <v>285.27550000000002</v>
      </c>
      <c r="G141" t="s">
        <v>155</v>
      </c>
      <c r="H141" t="s">
        <v>19</v>
      </c>
      <c r="I141">
        <v>180.17400000000001</v>
      </c>
      <c r="J141">
        <v>300.29000000000002</v>
      </c>
      <c r="K141">
        <v>5</v>
      </c>
      <c r="L141">
        <v>371.59993493300379</v>
      </c>
      <c r="M141">
        <v>2883.9133333333339</v>
      </c>
      <c r="N141">
        <v>1426.3775000000001</v>
      </c>
      <c r="O141">
        <v>525.50750000000005</v>
      </c>
      <c r="P141">
        <v>-2598.6378333333337</v>
      </c>
      <c r="Q141">
        <v>-0.90108041850541043</v>
      </c>
      <c r="R141">
        <v>0.36842105263157898</v>
      </c>
    </row>
    <row r="142" spans="1:18" x14ac:dyDescent="0.2">
      <c r="A142">
        <v>398</v>
      </c>
      <c r="B142">
        <v>23</v>
      </c>
      <c r="C142" s="1">
        <v>45455</v>
      </c>
      <c r="D142">
        <v>46</v>
      </c>
      <c r="E142">
        <v>8</v>
      </c>
      <c r="F142">
        <v>3646.3280000000004</v>
      </c>
      <c r="G142" t="s">
        <v>34</v>
      </c>
      <c r="H142" t="s">
        <v>35</v>
      </c>
      <c r="I142">
        <v>2378.04</v>
      </c>
      <c r="J142">
        <v>3963.4</v>
      </c>
      <c r="K142">
        <v>5</v>
      </c>
      <c r="L142">
        <v>4923.9501112665585</v>
      </c>
      <c r="M142">
        <v>5343.3279999999995</v>
      </c>
      <c r="N142">
        <v>167731.08800000002</v>
      </c>
      <c r="O142">
        <v>58341.248000000021</v>
      </c>
      <c r="P142">
        <v>-1696.9999999999991</v>
      </c>
      <c r="Q142">
        <v>-0.31759233196988829</v>
      </c>
      <c r="R142">
        <v>0.34782608695652184</v>
      </c>
    </row>
    <row r="143" spans="1:18" x14ac:dyDescent="0.2">
      <c r="A143">
        <v>142</v>
      </c>
      <c r="B143">
        <v>116</v>
      </c>
      <c r="C143" s="1">
        <v>45036</v>
      </c>
      <c r="D143">
        <v>44</v>
      </c>
      <c r="E143">
        <v>4</v>
      </c>
      <c r="F143">
        <v>2268.6239999999998</v>
      </c>
      <c r="G143" t="s">
        <v>128</v>
      </c>
      <c r="H143" t="s">
        <v>19</v>
      </c>
      <c r="I143">
        <v>1417.89</v>
      </c>
      <c r="J143">
        <v>2363.15</v>
      </c>
      <c r="K143">
        <v>5</v>
      </c>
      <c r="L143">
        <v>2596.0878239540257</v>
      </c>
      <c r="M143">
        <v>4469.4999999999991</v>
      </c>
      <c r="N143">
        <v>99819.455999999991</v>
      </c>
      <c r="O143">
        <v>37432.295999999988</v>
      </c>
      <c r="P143">
        <v>-2200.8759999999993</v>
      </c>
      <c r="Q143">
        <v>-0.49242107618301817</v>
      </c>
      <c r="R143">
        <v>0.37499999999999989</v>
      </c>
    </row>
    <row r="144" spans="1:18" x14ac:dyDescent="0.2">
      <c r="A144">
        <v>392</v>
      </c>
      <c r="B144">
        <v>9</v>
      </c>
      <c r="C144" s="1">
        <v>45053</v>
      </c>
      <c r="D144">
        <v>2</v>
      </c>
      <c r="E144">
        <v>5</v>
      </c>
      <c r="F144">
        <v>2720.6574999999998</v>
      </c>
      <c r="G144" t="s">
        <v>20</v>
      </c>
      <c r="H144" t="s">
        <v>8</v>
      </c>
      <c r="I144">
        <v>1718.31</v>
      </c>
      <c r="J144">
        <v>2863.85</v>
      </c>
      <c r="K144">
        <v>5</v>
      </c>
      <c r="L144">
        <v>3581.8849019142021</v>
      </c>
      <c r="M144">
        <v>6325.1699999999992</v>
      </c>
      <c r="N144">
        <v>5441.3149999999996</v>
      </c>
      <c r="O144">
        <v>2004.6949999999997</v>
      </c>
      <c r="P144">
        <v>-3604.5124999999994</v>
      </c>
      <c r="Q144">
        <v>-0.56986808259698951</v>
      </c>
      <c r="R144">
        <v>0.36842105263157893</v>
      </c>
    </row>
    <row r="145" spans="1:18" x14ac:dyDescent="0.2">
      <c r="A145">
        <v>388</v>
      </c>
      <c r="B145">
        <v>14</v>
      </c>
      <c r="C145" s="1">
        <v>45116</v>
      </c>
      <c r="D145">
        <v>6</v>
      </c>
      <c r="E145">
        <v>7</v>
      </c>
      <c r="F145">
        <v>5599.1765999999998</v>
      </c>
      <c r="G145" t="s">
        <v>25</v>
      </c>
      <c r="H145" t="s">
        <v>6</v>
      </c>
      <c r="I145">
        <v>3612.3719999999998</v>
      </c>
      <c r="J145">
        <v>6020.62</v>
      </c>
      <c r="K145">
        <v>5</v>
      </c>
      <c r="L145">
        <v>6210.0387420422921</v>
      </c>
      <c r="M145">
        <v>3652.5316666666672</v>
      </c>
      <c r="N145">
        <v>33595.059600000001</v>
      </c>
      <c r="O145">
        <v>11920.827600000001</v>
      </c>
      <c r="P145">
        <v>1946.6449333333326</v>
      </c>
      <c r="Q145">
        <v>0.5329577156301174</v>
      </c>
      <c r="R145">
        <v>0.35483870967741937</v>
      </c>
    </row>
    <row r="146" spans="1:18" x14ac:dyDescent="0.2">
      <c r="A146">
        <v>381</v>
      </c>
      <c r="B146">
        <v>47</v>
      </c>
      <c r="C146" s="1">
        <v>45325</v>
      </c>
      <c r="D146">
        <v>3</v>
      </c>
      <c r="E146">
        <v>4</v>
      </c>
      <c r="F146">
        <v>3277.0367999999999</v>
      </c>
      <c r="G146" t="s">
        <v>59</v>
      </c>
      <c r="H146" t="s">
        <v>10</v>
      </c>
      <c r="I146">
        <v>2048.1479999999997</v>
      </c>
      <c r="J146">
        <v>3413.58</v>
      </c>
      <c r="K146">
        <v>5</v>
      </c>
      <c r="L146">
        <v>3621.4529483394426</v>
      </c>
      <c r="M146">
        <v>2051.0440000000003</v>
      </c>
      <c r="N146">
        <v>9831.1103999999996</v>
      </c>
      <c r="O146">
        <v>3686.6664000000005</v>
      </c>
      <c r="P146">
        <v>1225.9927999999995</v>
      </c>
      <c r="Q146">
        <v>0.5977408578265504</v>
      </c>
      <c r="R146">
        <v>0.37500000000000006</v>
      </c>
    </row>
    <row r="147" spans="1:18" x14ac:dyDescent="0.2">
      <c r="A147">
        <v>377</v>
      </c>
      <c r="B147">
        <v>125</v>
      </c>
      <c r="C147" s="1">
        <v>45454</v>
      </c>
      <c r="D147">
        <v>31</v>
      </c>
      <c r="E147">
        <v>9</v>
      </c>
      <c r="F147">
        <v>3959.4737</v>
      </c>
      <c r="G147" t="s">
        <v>137</v>
      </c>
      <c r="H147" t="s">
        <v>8</v>
      </c>
      <c r="I147">
        <v>2610.6419999999998</v>
      </c>
      <c r="J147">
        <v>4351.07</v>
      </c>
      <c r="K147">
        <v>5</v>
      </c>
      <c r="L147">
        <v>5400.9601375461598</v>
      </c>
      <c r="M147">
        <v>5094.8040000000001</v>
      </c>
      <c r="N147">
        <v>122743.6847</v>
      </c>
      <c r="O147">
        <v>41813.782700000003</v>
      </c>
      <c r="P147">
        <v>-1135.3303000000001</v>
      </c>
      <c r="Q147">
        <v>-0.22284081978423509</v>
      </c>
      <c r="R147">
        <v>0.34065934065934067</v>
      </c>
    </row>
    <row r="148" spans="1:18" x14ac:dyDescent="0.2">
      <c r="A148">
        <v>147</v>
      </c>
      <c r="B148">
        <v>13</v>
      </c>
      <c r="C148" s="1">
        <v>45320</v>
      </c>
      <c r="D148">
        <v>6</v>
      </c>
      <c r="E148">
        <v>10</v>
      </c>
      <c r="F148">
        <v>1617.354</v>
      </c>
      <c r="G148" t="s">
        <v>24</v>
      </c>
      <c r="H148" t="s">
        <v>12</v>
      </c>
      <c r="I148">
        <v>1078.2359999999999</v>
      </c>
      <c r="J148">
        <v>1797.06</v>
      </c>
      <c r="K148">
        <v>5</v>
      </c>
      <c r="L148">
        <v>1970.2045742813107</v>
      </c>
      <c r="M148">
        <v>1712.5580000000002</v>
      </c>
      <c r="N148">
        <v>9704.1239999999998</v>
      </c>
      <c r="O148">
        <v>3234.708000000001</v>
      </c>
      <c r="P148">
        <v>-95.204000000000178</v>
      </c>
      <c r="Q148">
        <v>-5.5591693828763854E-2</v>
      </c>
      <c r="R148">
        <v>0.33333333333333343</v>
      </c>
    </row>
    <row r="149" spans="1:18" x14ac:dyDescent="0.2">
      <c r="A149">
        <v>148</v>
      </c>
      <c r="B149">
        <v>92</v>
      </c>
      <c r="C149" s="1">
        <v>45486</v>
      </c>
      <c r="D149">
        <v>37</v>
      </c>
      <c r="E149">
        <v>6</v>
      </c>
      <c r="F149">
        <v>3363.3388</v>
      </c>
      <c r="G149" t="s">
        <v>104</v>
      </c>
      <c r="H149" t="s">
        <v>19</v>
      </c>
      <c r="I149">
        <v>2146.8119999999999</v>
      </c>
      <c r="J149">
        <v>3578.02</v>
      </c>
      <c r="K149">
        <v>5</v>
      </c>
      <c r="L149">
        <v>4096.6057218766773</v>
      </c>
      <c r="M149">
        <v>5387.83</v>
      </c>
      <c r="N149">
        <v>124443.5356</v>
      </c>
      <c r="O149">
        <v>45011.491600000001</v>
      </c>
      <c r="P149">
        <v>-2024.4911999999999</v>
      </c>
      <c r="Q149">
        <v>-0.37575261283299582</v>
      </c>
      <c r="R149">
        <v>0.36170212765957449</v>
      </c>
    </row>
    <row r="150" spans="1:18" x14ac:dyDescent="0.2">
      <c r="A150">
        <v>365</v>
      </c>
      <c r="B150">
        <v>6</v>
      </c>
      <c r="C150" s="1">
        <v>45154</v>
      </c>
      <c r="D150">
        <v>22</v>
      </c>
      <c r="E150">
        <v>6</v>
      </c>
      <c r="F150">
        <v>3877.6692000000003</v>
      </c>
      <c r="G150" t="s">
        <v>15</v>
      </c>
      <c r="H150" t="s">
        <v>8</v>
      </c>
      <c r="I150">
        <v>2475.1080000000002</v>
      </c>
      <c r="J150">
        <v>4125.18</v>
      </c>
      <c r="K150">
        <v>5</v>
      </c>
      <c r="L150">
        <v>4380.9896079936325</v>
      </c>
      <c r="M150">
        <v>6862.0275000000001</v>
      </c>
      <c r="N150">
        <v>85308.722399999999</v>
      </c>
      <c r="O150">
        <v>30856.346400000002</v>
      </c>
      <c r="P150">
        <v>-2984.3582999999999</v>
      </c>
      <c r="Q150">
        <v>-0.43490911396085191</v>
      </c>
      <c r="R150">
        <v>0.36170212765957449</v>
      </c>
    </row>
    <row r="151" spans="1:18" x14ac:dyDescent="0.2">
      <c r="A151">
        <v>347</v>
      </c>
      <c r="B151">
        <v>74</v>
      </c>
      <c r="C151" s="1">
        <v>45651</v>
      </c>
      <c r="D151">
        <v>43</v>
      </c>
      <c r="E151">
        <v>2</v>
      </c>
      <c r="F151">
        <v>1867.1058</v>
      </c>
      <c r="G151" t="s">
        <v>86</v>
      </c>
      <c r="H151" t="s">
        <v>17</v>
      </c>
      <c r="I151">
        <v>1143.126</v>
      </c>
      <c r="J151">
        <v>1905.21</v>
      </c>
      <c r="K151">
        <v>5</v>
      </c>
      <c r="L151">
        <v>1941.0265880100014</v>
      </c>
      <c r="M151">
        <v>2585.9039999999995</v>
      </c>
      <c r="N151">
        <v>80285.549400000004</v>
      </c>
      <c r="O151">
        <v>31131.131400000002</v>
      </c>
      <c r="P151">
        <v>-718.7981999999995</v>
      </c>
      <c r="Q151">
        <v>-0.27796785959571568</v>
      </c>
      <c r="R151">
        <v>0.38775510204081631</v>
      </c>
    </row>
    <row r="152" spans="1:18" x14ac:dyDescent="0.2">
      <c r="A152">
        <v>339</v>
      </c>
      <c r="B152">
        <v>5</v>
      </c>
      <c r="C152" s="1">
        <v>45368</v>
      </c>
      <c r="D152">
        <v>24</v>
      </c>
      <c r="E152">
        <v>9</v>
      </c>
      <c r="F152">
        <v>755.52750000000003</v>
      </c>
      <c r="G152" t="s">
        <v>13</v>
      </c>
      <c r="H152" t="s">
        <v>14</v>
      </c>
      <c r="I152">
        <v>498.15</v>
      </c>
      <c r="J152">
        <v>830.25</v>
      </c>
      <c r="K152">
        <v>5</v>
      </c>
      <c r="L152">
        <v>894.27135141423344</v>
      </c>
      <c r="M152">
        <v>7010.5333333333328</v>
      </c>
      <c r="N152">
        <v>18132.66</v>
      </c>
      <c r="O152">
        <v>6177.0600000000013</v>
      </c>
      <c r="P152">
        <v>-6255.0058333333327</v>
      </c>
      <c r="Q152">
        <v>-0.89222966868902032</v>
      </c>
      <c r="R152">
        <v>0.34065934065934073</v>
      </c>
    </row>
    <row r="153" spans="1:18" x14ac:dyDescent="0.2">
      <c r="A153">
        <v>338</v>
      </c>
      <c r="B153">
        <v>80</v>
      </c>
      <c r="C153" s="1">
        <v>45941</v>
      </c>
      <c r="D153">
        <v>43</v>
      </c>
      <c r="E153">
        <v>9</v>
      </c>
      <c r="F153">
        <v>909.15370000000007</v>
      </c>
      <c r="G153" t="s">
        <v>92</v>
      </c>
      <c r="H153" t="s">
        <v>8</v>
      </c>
      <c r="I153">
        <v>599.44200000000001</v>
      </c>
      <c r="J153">
        <v>999.07</v>
      </c>
      <c r="K153">
        <v>5</v>
      </c>
      <c r="L153">
        <v>1076.7234481093133</v>
      </c>
      <c r="M153">
        <v>4319.1966666666667</v>
      </c>
      <c r="N153">
        <v>39093.609100000001</v>
      </c>
      <c r="O153">
        <v>13317.603100000002</v>
      </c>
      <c r="P153">
        <v>-3410.0429666666669</v>
      </c>
      <c r="Q153">
        <v>-0.78950861232682934</v>
      </c>
      <c r="R153">
        <v>0.34065934065934073</v>
      </c>
    </row>
    <row r="154" spans="1:18" x14ac:dyDescent="0.2">
      <c r="A154">
        <v>334</v>
      </c>
      <c r="B154">
        <v>116</v>
      </c>
      <c r="C154" s="1">
        <v>45522</v>
      </c>
      <c r="D154">
        <v>22</v>
      </c>
      <c r="E154">
        <v>7</v>
      </c>
      <c r="F154">
        <v>2197.7294999999999</v>
      </c>
      <c r="G154" t="s">
        <v>128</v>
      </c>
      <c r="H154" t="s">
        <v>19</v>
      </c>
      <c r="I154">
        <v>1417.89</v>
      </c>
      <c r="J154">
        <v>2363.15</v>
      </c>
      <c r="K154">
        <v>5</v>
      </c>
      <c r="L154">
        <v>2496.1949238483821</v>
      </c>
      <c r="M154">
        <v>4469.4999999999991</v>
      </c>
      <c r="N154">
        <v>48350.048999999999</v>
      </c>
      <c r="O154">
        <v>17156.468999999997</v>
      </c>
      <c r="P154">
        <v>-2271.7704999999992</v>
      </c>
      <c r="Q154">
        <v>-0.50828291755229882</v>
      </c>
      <c r="R154">
        <v>0.35483870967741932</v>
      </c>
    </row>
    <row r="155" spans="1:18" x14ac:dyDescent="0.2">
      <c r="A155">
        <v>333</v>
      </c>
      <c r="B155">
        <v>80</v>
      </c>
      <c r="C155" s="1">
        <v>44978</v>
      </c>
      <c r="D155">
        <v>48</v>
      </c>
      <c r="E155">
        <v>2</v>
      </c>
      <c r="F155">
        <v>979.08860000000004</v>
      </c>
      <c r="G155" t="s">
        <v>92</v>
      </c>
      <c r="H155" t="s">
        <v>8</v>
      </c>
      <c r="I155">
        <v>599.44200000000001</v>
      </c>
      <c r="J155">
        <v>999.07</v>
      </c>
      <c r="K155">
        <v>5</v>
      </c>
      <c r="L155">
        <v>1081.9288990621915</v>
      </c>
      <c r="M155">
        <v>4319.1966666666667</v>
      </c>
      <c r="N155">
        <v>46996.252800000002</v>
      </c>
      <c r="O155">
        <v>18223.036800000002</v>
      </c>
      <c r="P155">
        <v>-3340.1080666666667</v>
      </c>
      <c r="Q155">
        <v>-0.77331696712120079</v>
      </c>
      <c r="R155">
        <v>0.38775510204081637</v>
      </c>
    </row>
    <row r="156" spans="1:18" x14ac:dyDescent="0.2">
      <c r="A156">
        <v>332</v>
      </c>
      <c r="B156">
        <v>28</v>
      </c>
      <c r="C156" s="1">
        <v>45693</v>
      </c>
      <c r="D156">
        <v>29</v>
      </c>
      <c r="E156">
        <v>6</v>
      </c>
      <c r="F156">
        <v>5373.6227999999992</v>
      </c>
      <c r="G156" t="s">
        <v>40</v>
      </c>
      <c r="H156" t="s">
        <v>8</v>
      </c>
      <c r="I156">
        <v>3429.9719999999998</v>
      </c>
      <c r="J156">
        <v>5716.62</v>
      </c>
      <c r="K156">
        <v>5</v>
      </c>
      <c r="L156">
        <v>5990.8163625598663</v>
      </c>
      <c r="M156">
        <v>3542.9559999999997</v>
      </c>
      <c r="N156">
        <v>155835.06119999997</v>
      </c>
      <c r="O156">
        <v>56365.873199999987</v>
      </c>
      <c r="P156">
        <v>1830.6667999999995</v>
      </c>
      <c r="Q156">
        <v>0.51670604997634739</v>
      </c>
      <c r="R156">
        <v>0.36170212765957444</v>
      </c>
    </row>
    <row r="157" spans="1:18" x14ac:dyDescent="0.2">
      <c r="A157">
        <v>331</v>
      </c>
      <c r="B157">
        <v>5</v>
      </c>
      <c r="C157" s="1">
        <v>45075</v>
      </c>
      <c r="D157">
        <v>17</v>
      </c>
      <c r="E157">
        <v>3</v>
      </c>
      <c r="F157">
        <v>805.34249999999997</v>
      </c>
      <c r="G157" t="s">
        <v>13</v>
      </c>
      <c r="H157" t="s">
        <v>14</v>
      </c>
      <c r="I157">
        <v>498.15</v>
      </c>
      <c r="J157">
        <v>830.25</v>
      </c>
      <c r="K157">
        <v>5</v>
      </c>
      <c r="L157">
        <v>971.0096375298159</v>
      </c>
      <c r="M157">
        <v>7010.5333333333328</v>
      </c>
      <c r="N157">
        <v>13690.8225</v>
      </c>
      <c r="O157">
        <v>5222.2725</v>
      </c>
      <c r="P157">
        <v>-6205.1908333333331</v>
      </c>
      <c r="Q157">
        <v>-0.88512393255862609</v>
      </c>
      <c r="R157">
        <v>0.38144329896907214</v>
      </c>
    </row>
    <row r="158" spans="1:18" x14ac:dyDescent="0.2">
      <c r="A158">
        <v>330</v>
      </c>
      <c r="B158">
        <v>28</v>
      </c>
      <c r="C158" s="1">
        <v>45155</v>
      </c>
      <c r="D158">
        <v>31</v>
      </c>
      <c r="E158">
        <v>3</v>
      </c>
      <c r="F158">
        <v>5545.1214</v>
      </c>
      <c r="G158" t="s">
        <v>40</v>
      </c>
      <c r="H158" t="s">
        <v>8</v>
      </c>
      <c r="I158">
        <v>3429.9719999999998</v>
      </c>
      <c r="J158">
        <v>5716.62</v>
      </c>
      <c r="K158">
        <v>5</v>
      </c>
      <c r="L158">
        <v>7357.0103579034239</v>
      </c>
      <c r="M158">
        <v>3542.9559999999997</v>
      </c>
      <c r="N158">
        <v>171898.7634</v>
      </c>
      <c r="O158">
        <v>65569.631400000013</v>
      </c>
      <c r="P158">
        <v>2002.1654000000003</v>
      </c>
      <c r="Q158">
        <v>0.56511156220963521</v>
      </c>
      <c r="R158">
        <v>0.38144329896907225</v>
      </c>
    </row>
    <row r="159" spans="1:18" x14ac:dyDescent="0.2">
      <c r="A159">
        <v>324</v>
      </c>
      <c r="B159">
        <v>139</v>
      </c>
      <c r="C159" s="1">
        <v>45478</v>
      </c>
      <c r="D159">
        <v>36</v>
      </c>
      <c r="E159">
        <v>9</v>
      </c>
      <c r="F159">
        <v>2357.8827999999999</v>
      </c>
      <c r="G159" t="s">
        <v>151</v>
      </c>
      <c r="H159" t="s">
        <v>17</v>
      </c>
      <c r="I159">
        <v>1554.6479999999999</v>
      </c>
      <c r="J159">
        <v>2591.08</v>
      </c>
      <c r="K159">
        <v>5</v>
      </c>
      <c r="L159">
        <v>2600.5611569301045</v>
      </c>
      <c r="M159">
        <v>2839.1733333333336</v>
      </c>
      <c r="N159">
        <v>84883.780799999993</v>
      </c>
      <c r="O159">
        <v>28916.452799999999</v>
      </c>
      <c r="P159">
        <v>-481.29053333333377</v>
      </c>
      <c r="Q159">
        <v>-0.16951784087386954</v>
      </c>
      <c r="R159">
        <v>0.34065934065934067</v>
      </c>
    </row>
    <row r="160" spans="1:18" x14ac:dyDescent="0.2">
      <c r="A160">
        <v>316</v>
      </c>
      <c r="B160">
        <v>118</v>
      </c>
      <c r="C160" s="1">
        <v>45679</v>
      </c>
      <c r="D160">
        <v>29</v>
      </c>
      <c r="E160">
        <v>6</v>
      </c>
      <c r="F160">
        <v>2960.2949999999996</v>
      </c>
      <c r="G160" t="s">
        <v>130</v>
      </c>
      <c r="H160" t="s">
        <v>19</v>
      </c>
      <c r="I160">
        <v>1889.55</v>
      </c>
      <c r="J160">
        <v>3149.25</v>
      </c>
      <c r="K160">
        <v>5</v>
      </c>
      <c r="L160">
        <v>3329.8682580649843</v>
      </c>
      <c r="M160">
        <v>224.52399999999997</v>
      </c>
      <c r="N160">
        <v>85848.554999999993</v>
      </c>
      <c r="O160">
        <v>31051.604999999989</v>
      </c>
      <c r="P160">
        <v>2735.7709999999997</v>
      </c>
      <c r="Q160">
        <v>12.184759758422263</v>
      </c>
      <c r="R160">
        <v>0.36170212765957438</v>
      </c>
    </row>
    <row r="161" spans="1:18" x14ac:dyDescent="0.2">
      <c r="A161">
        <v>160</v>
      </c>
      <c r="B161">
        <v>125</v>
      </c>
      <c r="C161" s="1">
        <v>46009</v>
      </c>
      <c r="D161">
        <v>43</v>
      </c>
      <c r="E161">
        <v>7</v>
      </c>
      <c r="F161">
        <v>4046.4950999999996</v>
      </c>
      <c r="G161" t="s">
        <v>137</v>
      </c>
      <c r="H161" t="s">
        <v>8</v>
      </c>
      <c r="I161">
        <v>2610.6419999999998</v>
      </c>
      <c r="J161">
        <v>4351.07</v>
      </c>
      <c r="K161">
        <v>5</v>
      </c>
      <c r="L161">
        <v>5269.4162153582156</v>
      </c>
      <c r="M161">
        <v>5094.8040000000001</v>
      </c>
      <c r="N161">
        <v>173999.28929999997</v>
      </c>
      <c r="O161">
        <v>61741.68329999999</v>
      </c>
      <c r="P161">
        <v>-1048.3089000000004</v>
      </c>
      <c r="Q161">
        <v>-0.20576039824103154</v>
      </c>
      <c r="R161">
        <v>0.35483870967741937</v>
      </c>
    </row>
    <row r="162" spans="1:18" x14ac:dyDescent="0.2">
      <c r="A162">
        <v>312</v>
      </c>
      <c r="B162">
        <v>80</v>
      </c>
      <c r="C162" s="1">
        <v>45314</v>
      </c>
      <c r="D162">
        <v>30</v>
      </c>
      <c r="E162">
        <v>7</v>
      </c>
      <c r="F162">
        <v>929.13509999999997</v>
      </c>
      <c r="G162" t="s">
        <v>92</v>
      </c>
      <c r="H162" t="s">
        <v>8</v>
      </c>
      <c r="I162">
        <v>599.44200000000001</v>
      </c>
      <c r="J162">
        <v>999.07</v>
      </c>
      <c r="K162">
        <v>5</v>
      </c>
      <c r="L162">
        <v>1230.2416440333286</v>
      </c>
      <c r="M162">
        <v>4319.1966666666667</v>
      </c>
      <c r="N162">
        <v>27874.053</v>
      </c>
      <c r="O162">
        <v>9890.7929999999978</v>
      </c>
      <c r="P162">
        <v>-3390.0615666666667</v>
      </c>
      <c r="Q162">
        <v>-0.78488242798236396</v>
      </c>
      <c r="R162">
        <v>0.35483870967741926</v>
      </c>
    </row>
    <row r="163" spans="1:18" x14ac:dyDescent="0.2">
      <c r="A163">
        <v>162</v>
      </c>
      <c r="B163">
        <v>13</v>
      </c>
      <c r="C163" s="1">
        <v>45450</v>
      </c>
      <c r="D163">
        <v>16</v>
      </c>
      <c r="E163">
        <v>2</v>
      </c>
      <c r="F163">
        <v>1761.1188</v>
      </c>
      <c r="G163" t="s">
        <v>24</v>
      </c>
      <c r="H163" t="s">
        <v>12</v>
      </c>
      <c r="I163">
        <v>1078.2359999999999</v>
      </c>
      <c r="J163">
        <v>1797.06</v>
      </c>
      <c r="K163">
        <v>5</v>
      </c>
      <c r="L163">
        <v>1835.3971952289958</v>
      </c>
      <c r="M163">
        <v>1712.5580000000002</v>
      </c>
      <c r="N163">
        <v>28177.900799999999</v>
      </c>
      <c r="O163">
        <v>10926.124800000001</v>
      </c>
      <c r="P163">
        <v>48.560799999999745</v>
      </c>
      <c r="Q163">
        <v>2.8355711164234867E-2</v>
      </c>
      <c r="R163">
        <v>0.38775510204081637</v>
      </c>
    </row>
    <row r="164" spans="1:18" x14ac:dyDescent="0.2">
      <c r="A164">
        <v>293</v>
      </c>
      <c r="B164">
        <v>28</v>
      </c>
      <c r="C164" s="1">
        <v>45045</v>
      </c>
      <c r="D164">
        <v>48</v>
      </c>
      <c r="E164">
        <v>5</v>
      </c>
      <c r="F164">
        <v>5430.7889999999998</v>
      </c>
      <c r="G164" t="s">
        <v>40</v>
      </c>
      <c r="H164" t="s">
        <v>8</v>
      </c>
      <c r="I164">
        <v>3429.9719999999998</v>
      </c>
      <c r="J164">
        <v>5716.62</v>
      </c>
      <c r="K164">
        <v>5</v>
      </c>
      <c r="L164">
        <v>6460.2771178667226</v>
      </c>
      <c r="M164">
        <v>3542.9559999999997</v>
      </c>
      <c r="N164">
        <v>260677.87199999997</v>
      </c>
      <c r="O164">
        <v>96039.216</v>
      </c>
      <c r="P164">
        <v>1887.8330000000001</v>
      </c>
      <c r="Q164">
        <v>0.53284122072077678</v>
      </c>
      <c r="R164">
        <v>0.36842105263157898</v>
      </c>
    </row>
    <row r="165" spans="1:18" x14ac:dyDescent="0.2">
      <c r="A165">
        <v>291</v>
      </c>
      <c r="B165">
        <v>47</v>
      </c>
      <c r="C165" s="1">
        <v>45146</v>
      </c>
      <c r="D165">
        <v>15</v>
      </c>
      <c r="E165">
        <v>2</v>
      </c>
      <c r="F165">
        <v>3345.3083999999999</v>
      </c>
      <c r="G165" t="s">
        <v>59</v>
      </c>
      <c r="H165" t="s">
        <v>10</v>
      </c>
      <c r="I165">
        <v>2048.1479999999997</v>
      </c>
      <c r="J165">
        <v>3413.58</v>
      </c>
      <c r="K165">
        <v>5</v>
      </c>
      <c r="L165">
        <v>4335.6596221930795</v>
      </c>
      <c r="M165">
        <v>2051.0440000000003</v>
      </c>
      <c r="N165">
        <v>50179.625999999997</v>
      </c>
      <c r="O165">
        <v>19457.406000000003</v>
      </c>
      <c r="P165">
        <v>1294.2643999999996</v>
      </c>
      <c r="Q165">
        <v>0.63102712569793695</v>
      </c>
      <c r="R165">
        <v>0.38775510204081642</v>
      </c>
    </row>
    <row r="166" spans="1:18" x14ac:dyDescent="0.2">
      <c r="A166">
        <v>282</v>
      </c>
      <c r="B166">
        <v>125</v>
      </c>
      <c r="C166" s="1">
        <v>44990</v>
      </c>
      <c r="D166">
        <v>31</v>
      </c>
      <c r="E166">
        <v>2</v>
      </c>
      <c r="F166">
        <v>4264.0486000000001</v>
      </c>
      <c r="G166" t="s">
        <v>137</v>
      </c>
      <c r="H166" t="s">
        <v>8</v>
      </c>
      <c r="I166">
        <v>2610.6419999999998</v>
      </c>
      <c r="J166">
        <v>4351.07</v>
      </c>
      <c r="K166">
        <v>5</v>
      </c>
      <c r="L166">
        <v>4695.6688978374923</v>
      </c>
      <c r="M166">
        <v>5094.8040000000001</v>
      </c>
      <c r="N166">
        <v>132185.50659999999</v>
      </c>
      <c r="O166">
        <v>51255.604600000006</v>
      </c>
      <c r="P166">
        <v>-830.75540000000001</v>
      </c>
      <c r="Q166">
        <v>-0.16305934438302239</v>
      </c>
      <c r="R166">
        <v>0.38775510204081637</v>
      </c>
    </row>
    <row r="167" spans="1:18" x14ac:dyDescent="0.2">
      <c r="A167">
        <v>279</v>
      </c>
      <c r="B167">
        <v>38</v>
      </c>
      <c r="C167" s="1">
        <v>45412</v>
      </c>
      <c r="D167">
        <v>41</v>
      </c>
      <c r="E167">
        <v>10</v>
      </c>
      <c r="F167">
        <v>5935.9409999999998</v>
      </c>
      <c r="G167" t="s">
        <v>50</v>
      </c>
      <c r="H167" t="s">
        <v>17</v>
      </c>
      <c r="I167">
        <v>3957.2939999999999</v>
      </c>
      <c r="J167">
        <v>6595.49</v>
      </c>
      <c r="K167">
        <v>5</v>
      </c>
      <c r="L167">
        <v>7621.6397759219808</v>
      </c>
      <c r="M167">
        <v>517.86</v>
      </c>
      <c r="N167">
        <v>243373.58100000001</v>
      </c>
      <c r="O167">
        <v>81124.527000000002</v>
      </c>
      <c r="P167">
        <v>5418.0810000000001</v>
      </c>
      <c r="Q167">
        <v>10.462443517553007</v>
      </c>
      <c r="R167">
        <v>0.33333333333333331</v>
      </c>
    </row>
    <row r="168" spans="1:18" x14ac:dyDescent="0.2">
      <c r="A168">
        <v>274</v>
      </c>
      <c r="B168">
        <v>88</v>
      </c>
      <c r="C168" s="1">
        <v>45750</v>
      </c>
      <c r="D168">
        <v>40</v>
      </c>
      <c r="E168">
        <v>6</v>
      </c>
      <c r="F168">
        <v>5862.1502</v>
      </c>
      <c r="G168" t="s">
        <v>100</v>
      </c>
      <c r="H168" t="s">
        <v>35</v>
      </c>
      <c r="I168">
        <v>3741.7979999999998</v>
      </c>
      <c r="J168">
        <v>6236.33</v>
      </c>
      <c r="K168">
        <v>5</v>
      </c>
      <c r="L168">
        <v>7405.4608601139744</v>
      </c>
      <c r="M168">
        <v>4981.5050000000001</v>
      </c>
      <c r="N168">
        <v>234486.008</v>
      </c>
      <c r="O168">
        <v>84814.088000000018</v>
      </c>
      <c r="P168">
        <v>880.64519999999993</v>
      </c>
      <c r="Q168">
        <v>0.17678296016966757</v>
      </c>
      <c r="R168">
        <v>0.36170212765957455</v>
      </c>
    </row>
    <row r="169" spans="1:18" x14ac:dyDescent="0.2">
      <c r="A169">
        <v>272</v>
      </c>
      <c r="B169">
        <v>74</v>
      </c>
      <c r="C169" s="1">
        <v>45683</v>
      </c>
      <c r="D169">
        <v>42</v>
      </c>
      <c r="E169">
        <v>3</v>
      </c>
      <c r="F169">
        <v>1848.0536999999999</v>
      </c>
      <c r="G169" t="s">
        <v>86</v>
      </c>
      <c r="H169" t="s">
        <v>17</v>
      </c>
      <c r="I169">
        <v>1143.126</v>
      </c>
      <c r="J169">
        <v>1905.21</v>
      </c>
      <c r="K169">
        <v>5</v>
      </c>
      <c r="L169">
        <v>2381.611905541281</v>
      </c>
      <c r="M169">
        <v>2585.9039999999995</v>
      </c>
      <c r="N169">
        <v>77618.255399999995</v>
      </c>
      <c r="O169">
        <v>29606.963399999997</v>
      </c>
      <c r="P169">
        <v>-737.85029999999961</v>
      </c>
      <c r="Q169">
        <v>-0.2853355344978003</v>
      </c>
      <c r="R169">
        <v>0.38144329896907214</v>
      </c>
    </row>
    <row r="170" spans="1:18" x14ac:dyDescent="0.2">
      <c r="A170">
        <v>271</v>
      </c>
      <c r="B170">
        <v>6</v>
      </c>
      <c r="C170" s="1">
        <v>45434</v>
      </c>
      <c r="D170">
        <v>1</v>
      </c>
      <c r="E170">
        <v>7</v>
      </c>
      <c r="F170">
        <v>3836.4173999999998</v>
      </c>
      <c r="G170" t="s">
        <v>15</v>
      </c>
      <c r="H170" t="s">
        <v>8</v>
      </c>
      <c r="I170">
        <v>2475.1080000000002</v>
      </c>
      <c r="J170">
        <v>4125.18</v>
      </c>
      <c r="K170">
        <v>5</v>
      </c>
      <c r="L170">
        <v>4755.3109669504456</v>
      </c>
      <c r="M170">
        <v>6862.0275000000001</v>
      </c>
      <c r="N170">
        <v>3836.4173999999998</v>
      </c>
      <c r="O170">
        <v>1361.3093999999996</v>
      </c>
      <c r="P170">
        <v>-3025.6101000000003</v>
      </c>
      <c r="Q170">
        <v>-0.44092071913148123</v>
      </c>
      <c r="R170">
        <v>0.35483870967741926</v>
      </c>
    </row>
    <row r="171" spans="1:18" x14ac:dyDescent="0.2">
      <c r="A171">
        <v>263</v>
      </c>
      <c r="B171">
        <v>130</v>
      </c>
      <c r="C171" s="1">
        <v>45449</v>
      </c>
      <c r="D171">
        <v>9</v>
      </c>
      <c r="E171">
        <v>10</v>
      </c>
      <c r="F171">
        <v>2866.9409999999998</v>
      </c>
      <c r="G171" t="s">
        <v>142</v>
      </c>
      <c r="H171" t="s">
        <v>12</v>
      </c>
      <c r="I171">
        <v>1911.2939999999999</v>
      </c>
      <c r="J171">
        <v>3185.49</v>
      </c>
      <c r="K171">
        <v>5</v>
      </c>
      <c r="L171">
        <v>3201.3875414095055</v>
      </c>
      <c r="M171">
        <v>3865.1374999999998</v>
      </c>
      <c r="N171">
        <v>25802.468999999997</v>
      </c>
      <c r="O171">
        <v>8600.8230000000003</v>
      </c>
      <c r="P171">
        <v>-998.19650000000001</v>
      </c>
      <c r="Q171">
        <v>-0.25825640096891767</v>
      </c>
      <c r="R171">
        <v>0.33333333333333337</v>
      </c>
    </row>
    <row r="172" spans="1:18" x14ac:dyDescent="0.2">
      <c r="A172">
        <v>258</v>
      </c>
      <c r="B172">
        <v>92</v>
      </c>
      <c r="C172" s="1">
        <v>45255</v>
      </c>
      <c r="D172">
        <v>22</v>
      </c>
      <c r="E172">
        <v>9</v>
      </c>
      <c r="F172">
        <v>3255.9982</v>
      </c>
      <c r="G172" t="s">
        <v>104</v>
      </c>
      <c r="H172" t="s">
        <v>19</v>
      </c>
      <c r="I172">
        <v>2146.8119999999999</v>
      </c>
      <c r="J172">
        <v>3578.02</v>
      </c>
      <c r="K172">
        <v>5</v>
      </c>
      <c r="L172">
        <v>4012.78545881234</v>
      </c>
      <c r="M172">
        <v>5387.83</v>
      </c>
      <c r="N172">
        <v>71631.960399999996</v>
      </c>
      <c r="O172">
        <v>24402.096400000002</v>
      </c>
      <c r="P172">
        <v>-2131.8317999999999</v>
      </c>
      <c r="Q172">
        <v>-0.39567540178513427</v>
      </c>
      <c r="R172">
        <v>0.34065934065934073</v>
      </c>
    </row>
    <row r="173" spans="1:18" x14ac:dyDescent="0.2">
      <c r="A173">
        <v>257</v>
      </c>
      <c r="B173">
        <v>9</v>
      </c>
      <c r="C173" s="1">
        <v>45672</v>
      </c>
      <c r="D173">
        <v>32</v>
      </c>
      <c r="E173">
        <v>3</v>
      </c>
      <c r="F173">
        <v>2777.9344999999998</v>
      </c>
      <c r="G173" t="s">
        <v>20</v>
      </c>
      <c r="H173" t="s">
        <v>8</v>
      </c>
      <c r="I173">
        <v>1718.31</v>
      </c>
      <c r="J173">
        <v>2863.85</v>
      </c>
      <c r="K173">
        <v>5</v>
      </c>
      <c r="L173">
        <v>2882.6121289134348</v>
      </c>
      <c r="M173">
        <v>6325.1699999999992</v>
      </c>
      <c r="N173">
        <v>88893.903999999995</v>
      </c>
      <c r="O173">
        <v>33907.983999999997</v>
      </c>
      <c r="P173">
        <v>-3547.2354999999993</v>
      </c>
      <c r="Q173">
        <v>-0.56081267380955768</v>
      </c>
      <c r="R173">
        <v>0.38144329896907214</v>
      </c>
    </row>
    <row r="174" spans="1:18" x14ac:dyDescent="0.2">
      <c r="A174">
        <v>245</v>
      </c>
      <c r="B174">
        <v>141</v>
      </c>
      <c r="C174" s="1">
        <v>45626</v>
      </c>
      <c r="D174">
        <v>40</v>
      </c>
      <c r="E174">
        <v>3</v>
      </c>
      <c r="F174">
        <v>7629.2342999999992</v>
      </c>
      <c r="G174" t="s">
        <v>153</v>
      </c>
      <c r="H174" t="s">
        <v>19</v>
      </c>
      <c r="I174">
        <v>4719.1139999999996</v>
      </c>
      <c r="J174">
        <v>7865.19</v>
      </c>
      <c r="K174">
        <v>5</v>
      </c>
      <c r="L174">
        <v>8383.0061378157243</v>
      </c>
      <c r="M174">
        <v>7586.8133333333344</v>
      </c>
      <c r="N174">
        <v>305169.37199999997</v>
      </c>
      <c r="O174">
        <v>116404.81199999998</v>
      </c>
      <c r="P174">
        <v>42.420966666664754</v>
      </c>
      <c r="Q174">
        <v>5.5914077232247818E-3</v>
      </c>
      <c r="R174">
        <v>0.38144329896907214</v>
      </c>
    </row>
    <row r="175" spans="1:18" x14ac:dyDescent="0.2">
      <c r="A175">
        <v>238</v>
      </c>
      <c r="B175">
        <v>23</v>
      </c>
      <c r="C175" s="1">
        <v>45027</v>
      </c>
      <c r="D175">
        <v>12</v>
      </c>
      <c r="E175">
        <v>8</v>
      </c>
      <c r="F175">
        <v>3646.3280000000004</v>
      </c>
      <c r="G175" t="s">
        <v>34</v>
      </c>
      <c r="H175" t="s">
        <v>35</v>
      </c>
      <c r="I175">
        <v>2378.04</v>
      </c>
      <c r="J175">
        <v>3963.4</v>
      </c>
      <c r="K175">
        <v>5</v>
      </c>
      <c r="L175">
        <v>4768.4511936551789</v>
      </c>
      <c r="M175">
        <v>5343.3279999999995</v>
      </c>
      <c r="N175">
        <v>43755.936000000002</v>
      </c>
      <c r="O175">
        <v>15219.456000000006</v>
      </c>
      <c r="P175">
        <v>-1696.9999999999991</v>
      </c>
      <c r="Q175">
        <v>-0.31759233196988829</v>
      </c>
      <c r="R175">
        <v>0.34782608695652184</v>
      </c>
    </row>
    <row r="176" spans="1:18" x14ac:dyDescent="0.2">
      <c r="A176">
        <v>236</v>
      </c>
      <c r="B176">
        <v>56</v>
      </c>
      <c r="C176" s="1">
        <v>45944</v>
      </c>
      <c r="D176">
        <v>29</v>
      </c>
      <c r="E176">
        <v>9</v>
      </c>
      <c r="F176">
        <v>7263.4380000000001</v>
      </c>
      <c r="G176" t="s">
        <v>68</v>
      </c>
      <c r="H176" t="s">
        <v>35</v>
      </c>
      <c r="I176">
        <v>4789.08</v>
      </c>
      <c r="J176">
        <v>7981.8</v>
      </c>
      <c r="K176">
        <v>5</v>
      </c>
      <c r="L176">
        <v>10035.02856932234</v>
      </c>
      <c r="M176">
        <v>3458.9274999999998</v>
      </c>
      <c r="N176">
        <v>210639.70199999999</v>
      </c>
      <c r="O176">
        <v>71756.382000000012</v>
      </c>
      <c r="P176">
        <v>3804.5105000000003</v>
      </c>
      <c r="Q176">
        <v>1.0999104491204283</v>
      </c>
      <c r="R176">
        <v>0.34065934065934073</v>
      </c>
    </row>
    <row r="177" spans="1:18" x14ac:dyDescent="0.2">
      <c r="A177">
        <v>231</v>
      </c>
      <c r="B177">
        <v>6</v>
      </c>
      <c r="C177" s="1">
        <v>45569</v>
      </c>
      <c r="D177">
        <v>26</v>
      </c>
      <c r="E177">
        <v>2</v>
      </c>
      <c r="F177">
        <v>4042.6764000000003</v>
      </c>
      <c r="G177" t="s">
        <v>15</v>
      </c>
      <c r="H177" t="s">
        <v>8</v>
      </c>
      <c r="I177">
        <v>2475.1080000000002</v>
      </c>
      <c r="J177">
        <v>4125.18</v>
      </c>
      <c r="K177">
        <v>5</v>
      </c>
      <c r="L177">
        <v>4979.4843375024848</v>
      </c>
      <c r="M177">
        <v>6862.0275000000001</v>
      </c>
      <c r="N177">
        <v>105109.5864</v>
      </c>
      <c r="O177">
        <v>40756.778400000003</v>
      </c>
      <c r="P177">
        <v>-2819.3510999999999</v>
      </c>
      <c r="Q177">
        <v>-0.41086269327833497</v>
      </c>
      <c r="R177">
        <v>0.38775510204081637</v>
      </c>
    </row>
    <row r="178" spans="1:18" x14ac:dyDescent="0.2">
      <c r="A178">
        <v>228</v>
      </c>
      <c r="B178">
        <v>88</v>
      </c>
      <c r="C178" s="1">
        <v>45821</v>
      </c>
      <c r="D178">
        <v>14</v>
      </c>
      <c r="E178">
        <v>4</v>
      </c>
      <c r="F178">
        <v>5986.8768</v>
      </c>
      <c r="G178" t="s">
        <v>100</v>
      </c>
      <c r="H178" t="s">
        <v>35</v>
      </c>
      <c r="I178">
        <v>3741.7979999999998</v>
      </c>
      <c r="J178">
        <v>6236.33</v>
      </c>
      <c r="K178">
        <v>5</v>
      </c>
      <c r="L178">
        <v>6630.6949661655135</v>
      </c>
      <c r="M178">
        <v>4981.5050000000001</v>
      </c>
      <c r="N178">
        <v>83816.275200000004</v>
      </c>
      <c r="O178">
        <v>31431.103200000005</v>
      </c>
      <c r="P178">
        <v>1005.3717999999999</v>
      </c>
      <c r="Q178">
        <v>0.20182089549242646</v>
      </c>
      <c r="R178">
        <v>0.37500000000000006</v>
      </c>
    </row>
    <row r="179" spans="1:18" x14ac:dyDescent="0.2">
      <c r="A179">
        <v>224</v>
      </c>
      <c r="B179">
        <v>88</v>
      </c>
      <c r="C179" s="1">
        <v>45591</v>
      </c>
      <c r="D179">
        <v>16</v>
      </c>
      <c r="E179">
        <v>9</v>
      </c>
      <c r="F179">
        <v>5675.0603000000001</v>
      </c>
      <c r="G179" t="s">
        <v>100</v>
      </c>
      <c r="H179" t="s">
        <v>35</v>
      </c>
      <c r="I179">
        <v>3741.7979999999998</v>
      </c>
      <c r="J179">
        <v>6236.33</v>
      </c>
      <c r="K179">
        <v>5</v>
      </c>
      <c r="L179">
        <v>6657.4033628446296</v>
      </c>
      <c r="M179">
        <v>4981.5050000000001</v>
      </c>
      <c r="N179">
        <v>90800.964800000002</v>
      </c>
      <c r="O179">
        <v>30932.196800000005</v>
      </c>
      <c r="P179">
        <v>693.55529999999999</v>
      </c>
      <c r="Q179">
        <v>0.13922605718552927</v>
      </c>
      <c r="R179">
        <v>0.34065934065934073</v>
      </c>
    </row>
    <row r="180" spans="1:18" x14ac:dyDescent="0.2">
      <c r="A180">
        <v>219</v>
      </c>
      <c r="B180">
        <v>28</v>
      </c>
      <c r="C180" s="1">
        <v>45146</v>
      </c>
      <c r="D180">
        <v>7</v>
      </c>
      <c r="E180">
        <v>5</v>
      </c>
      <c r="F180">
        <v>5430.7889999999998</v>
      </c>
      <c r="G180" t="s">
        <v>40</v>
      </c>
      <c r="H180" t="s">
        <v>8</v>
      </c>
      <c r="I180">
        <v>3429.9719999999998</v>
      </c>
      <c r="J180">
        <v>5716.62</v>
      </c>
      <c r="K180">
        <v>5</v>
      </c>
      <c r="L180">
        <v>6388.3259563028532</v>
      </c>
      <c r="M180">
        <v>3542.9559999999997</v>
      </c>
      <c r="N180">
        <v>38015.523000000001</v>
      </c>
      <c r="O180">
        <v>14005.719000000001</v>
      </c>
      <c r="P180">
        <v>1887.8330000000001</v>
      </c>
      <c r="Q180">
        <v>0.53284122072077678</v>
      </c>
      <c r="R180">
        <v>0.36842105263157898</v>
      </c>
    </row>
    <row r="181" spans="1:18" x14ac:dyDescent="0.2">
      <c r="A181">
        <v>180</v>
      </c>
      <c r="B181">
        <v>126</v>
      </c>
      <c r="C181" s="1">
        <v>45473</v>
      </c>
      <c r="D181">
        <v>25</v>
      </c>
      <c r="E181">
        <v>4</v>
      </c>
      <c r="F181">
        <v>972.70079999999996</v>
      </c>
      <c r="G181" t="s">
        <v>138</v>
      </c>
      <c r="H181" t="s">
        <v>12</v>
      </c>
      <c r="I181">
        <v>607.93799999999999</v>
      </c>
      <c r="J181">
        <v>1013.23</v>
      </c>
      <c r="K181">
        <v>5</v>
      </c>
      <c r="L181">
        <v>1068.7498672575164</v>
      </c>
      <c r="M181">
        <v>7593.0025000000005</v>
      </c>
      <c r="N181">
        <v>24317.52</v>
      </c>
      <c r="O181">
        <v>9119.07</v>
      </c>
      <c r="P181">
        <v>-6620.3017000000009</v>
      </c>
      <c r="Q181">
        <v>-0.87189510341923371</v>
      </c>
      <c r="R181">
        <v>0.375</v>
      </c>
    </row>
    <row r="182" spans="1:18" x14ac:dyDescent="0.2">
      <c r="A182">
        <v>214</v>
      </c>
      <c r="B182">
        <v>5</v>
      </c>
      <c r="C182" s="1">
        <v>45527</v>
      </c>
      <c r="D182">
        <v>46</v>
      </c>
      <c r="E182">
        <v>10</v>
      </c>
      <c r="F182">
        <v>747.22500000000002</v>
      </c>
      <c r="G182" t="s">
        <v>13</v>
      </c>
      <c r="H182" t="s">
        <v>14</v>
      </c>
      <c r="I182">
        <v>498.15</v>
      </c>
      <c r="J182">
        <v>830.25</v>
      </c>
      <c r="K182">
        <v>5</v>
      </c>
      <c r="L182">
        <v>927.46017291489659</v>
      </c>
      <c r="M182">
        <v>7010.5333333333328</v>
      </c>
      <c r="N182">
        <v>34372.35</v>
      </c>
      <c r="O182">
        <v>11457.450000000003</v>
      </c>
      <c r="P182">
        <v>-6263.3083333333325</v>
      </c>
      <c r="Q182">
        <v>-0.89341395804408597</v>
      </c>
      <c r="R182">
        <v>0.33333333333333343</v>
      </c>
    </row>
    <row r="183" spans="1:18" x14ac:dyDescent="0.2">
      <c r="A183">
        <v>213</v>
      </c>
      <c r="B183">
        <v>145</v>
      </c>
      <c r="C183" s="1">
        <v>44933</v>
      </c>
      <c r="D183">
        <v>13</v>
      </c>
      <c r="E183">
        <v>10</v>
      </c>
      <c r="F183">
        <v>5817.1950000000006</v>
      </c>
      <c r="G183" t="s">
        <v>157</v>
      </c>
      <c r="H183" t="s">
        <v>10</v>
      </c>
      <c r="I183">
        <v>3878.13</v>
      </c>
      <c r="J183">
        <v>6463.55</v>
      </c>
      <c r="K183">
        <v>5</v>
      </c>
      <c r="L183">
        <v>6613.3015621297427</v>
      </c>
      <c r="M183">
        <v>699.73666666666668</v>
      </c>
      <c r="N183">
        <v>75623.535000000003</v>
      </c>
      <c r="O183">
        <v>25207.845000000008</v>
      </c>
      <c r="P183">
        <v>5117.4583333333339</v>
      </c>
      <c r="Q183">
        <v>7.3134059955888171</v>
      </c>
      <c r="R183">
        <v>0.33333333333333343</v>
      </c>
    </row>
    <row r="184" spans="1:18" x14ac:dyDescent="0.2">
      <c r="A184">
        <v>211</v>
      </c>
      <c r="B184">
        <v>28</v>
      </c>
      <c r="C184" s="1">
        <v>45130</v>
      </c>
      <c r="D184">
        <v>27</v>
      </c>
      <c r="E184">
        <v>8</v>
      </c>
      <c r="F184">
        <v>5259.2903999999999</v>
      </c>
      <c r="G184" t="s">
        <v>40</v>
      </c>
      <c r="H184" t="s">
        <v>8</v>
      </c>
      <c r="I184">
        <v>3429.9719999999998</v>
      </c>
      <c r="J184">
        <v>5716.62</v>
      </c>
      <c r="K184">
        <v>5</v>
      </c>
      <c r="L184">
        <v>7312.2106326626144</v>
      </c>
      <c r="M184">
        <v>3542.9559999999997</v>
      </c>
      <c r="N184">
        <v>142000.84080000001</v>
      </c>
      <c r="O184">
        <v>49391.596799999999</v>
      </c>
      <c r="P184">
        <v>1716.3344000000002</v>
      </c>
      <c r="Q184">
        <v>0.48443570848748907</v>
      </c>
      <c r="R184">
        <v>0.34782608695652173</v>
      </c>
    </row>
    <row r="185" spans="1:18" x14ac:dyDescent="0.2">
      <c r="A185">
        <v>206</v>
      </c>
      <c r="B185">
        <v>47</v>
      </c>
      <c r="C185" s="1">
        <v>44956</v>
      </c>
      <c r="D185">
        <v>42</v>
      </c>
      <c r="E185">
        <v>4</v>
      </c>
      <c r="F185">
        <v>3277.0367999999999</v>
      </c>
      <c r="G185" t="s">
        <v>59</v>
      </c>
      <c r="H185" t="s">
        <v>10</v>
      </c>
      <c r="I185">
        <v>2048.1479999999997</v>
      </c>
      <c r="J185">
        <v>3413.58</v>
      </c>
      <c r="K185">
        <v>5</v>
      </c>
      <c r="L185">
        <v>4387.3890586410125</v>
      </c>
      <c r="M185">
        <v>2051.0440000000003</v>
      </c>
      <c r="N185">
        <v>137635.54559999998</v>
      </c>
      <c r="O185">
        <v>51613.329600000005</v>
      </c>
      <c r="P185">
        <v>1225.9927999999995</v>
      </c>
      <c r="Q185">
        <v>0.5977408578265504</v>
      </c>
      <c r="R185">
        <v>0.37500000000000006</v>
      </c>
    </row>
    <row r="186" spans="1:18" x14ac:dyDescent="0.2">
      <c r="A186">
        <v>205</v>
      </c>
      <c r="B186">
        <v>130</v>
      </c>
      <c r="C186" s="1">
        <v>45524</v>
      </c>
      <c r="D186">
        <v>43</v>
      </c>
      <c r="E186">
        <v>3</v>
      </c>
      <c r="F186">
        <v>3089.9252999999999</v>
      </c>
      <c r="G186" t="s">
        <v>142</v>
      </c>
      <c r="H186" t="s">
        <v>12</v>
      </c>
      <c r="I186">
        <v>1911.2939999999999</v>
      </c>
      <c r="J186">
        <v>3185.49</v>
      </c>
      <c r="K186">
        <v>5</v>
      </c>
      <c r="L186">
        <v>3502.3826967079076</v>
      </c>
      <c r="M186">
        <v>3865.1374999999998</v>
      </c>
      <c r="N186">
        <v>132866.7879</v>
      </c>
      <c r="O186">
        <v>50681.145900000003</v>
      </c>
      <c r="P186">
        <v>-775.21219999999994</v>
      </c>
      <c r="Q186">
        <v>-0.20056523215538904</v>
      </c>
      <c r="R186">
        <v>0.3814432989690722</v>
      </c>
    </row>
    <row r="187" spans="1:18" x14ac:dyDescent="0.2">
      <c r="A187">
        <v>186</v>
      </c>
      <c r="B187">
        <v>126</v>
      </c>
      <c r="C187" s="1">
        <v>45405</v>
      </c>
      <c r="D187">
        <v>17</v>
      </c>
      <c r="E187">
        <v>4</v>
      </c>
      <c r="F187">
        <v>972.70079999999996</v>
      </c>
      <c r="G187" t="s">
        <v>138</v>
      </c>
      <c r="H187" t="s">
        <v>12</v>
      </c>
      <c r="I187">
        <v>607.93799999999999</v>
      </c>
      <c r="J187">
        <v>1013.23</v>
      </c>
      <c r="K187">
        <v>5</v>
      </c>
      <c r="L187">
        <v>1080.609467675105</v>
      </c>
      <c r="M187">
        <v>7593.0025000000005</v>
      </c>
      <c r="N187">
        <v>16535.9136</v>
      </c>
      <c r="O187">
        <v>6200.9675999999999</v>
      </c>
      <c r="P187">
        <v>-6620.3017000000009</v>
      </c>
      <c r="Q187">
        <v>-0.87189510341923371</v>
      </c>
      <c r="R187">
        <v>0.375</v>
      </c>
    </row>
    <row r="188" spans="1:18" x14ac:dyDescent="0.2">
      <c r="A188">
        <v>190</v>
      </c>
      <c r="B188">
        <v>145</v>
      </c>
      <c r="C188" s="1">
        <v>45859</v>
      </c>
      <c r="D188">
        <v>9</v>
      </c>
      <c r="E188">
        <v>8</v>
      </c>
      <c r="F188">
        <v>5946.4660000000003</v>
      </c>
      <c r="G188" t="s">
        <v>157</v>
      </c>
      <c r="H188" t="s">
        <v>10</v>
      </c>
      <c r="I188">
        <v>3878.13</v>
      </c>
      <c r="J188">
        <v>6463.55</v>
      </c>
      <c r="K188">
        <v>5</v>
      </c>
      <c r="L188">
        <v>7568.3575531057959</v>
      </c>
      <c r="M188">
        <v>699.73666666666668</v>
      </c>
      <c r="N188">
        <v>53518.194000000003</v>
      </c>
      <c r="O188">
        <v>18615.024000000001</v>
      </c>
      <c r="P188">
        <v>5246.7293333333337</v>
      </c>
      <c r="Q188">
        <v>7.4981483510463462</v>
      </c>
      <c r="R188">
        <v>0.34782608695652173</v>
      </c>
    </row>
    <row r="189" spans="1:18" x14ac:dyDescent="0.2">
      <c r="A189">
        <v>189</v>
      </c>
      <c r="B189">
        <v>139</v>
      </c>
      <c r="C189" s="1">
        <v>45619</v>
      </c>
      <c r="D189">
        <v>18</v>
      </c>
      <c r="E189">
        <v>3</v>
      </c>
      <c r="F189">
        <v>2513.3476000000001</v>
      </c>
      <c r="G189" t="s">
        <v>151</v>
      </c>
      <c r="H189" t="s">
        <v>17</v>
      </c>
      <c r="I189">
        <v>1554.6479999999999</v>
      </c>
      <c r="J189">
        <v>2591.08</v>
      </c>
      <c r="K189">
        <v>5</v>
      </c>
      <c r="L189">
        <v>2793.2407967938229</v>
      </c>
      <c r="M189">
        <v>2839.1733333333336</v>
      </c>
      <c r="N189">
        <v>45240.256800000003</v>
      </c>
      <c r="O189">
        <v>17256.592800000002</v>
      </c>
      <c r="P189">
        <v>-325.82573333333357</v>
      </c>
      <c r="Q189">
        <v>-0.11476077543698172</v>
      </c>
      <c r="R189">
        <v>0.3814432989690722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9"/>
  <sheetViews>
    <sheetView workbookViewId="0">
      <selection activeCell="H13" sqref="H13"/>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 min="7" max="7" width="16.140625" customWidth="1"/>
    <col min="8" max="8" width="11" customWidth="1"/>
    <col min="9" max="9" width="12.28515625" customWidth="1"/>
    <col min="10" max="10" width="13" customWidth="1"/>
    <col min="11" max="11" width="9.5703125" customWidth="1"/>
    <col min="12" max="12" width="18.42578125" customWidth="1"/>
    <col min="13" max="13" width="18" customWidth="1"/>
    <col min="14" max="14" width="11.140625" customWidth="1"/>
    <col min="16" max="16" width="17.7109375" customWidth="1"/>
    <col min="17" max="17" width="19.7109375" customWidth="1"/>
    <col min="18" max="18" width="15.42578125" customWidth="1"/>
  </cols>
  <sheetData>
    <row r="1" spans="1:18" x14ac:dyDescent="0.2">
      <c r="A1" t="s">
        <v>163</v>
      </c>
      <c r="B1" t="s">
        <v>164</v>
      </c>
      <c r="C1" t="s">
        <v>165</v>
      </c>
      <c r="D1" t="s">
        <v>166</v>
      </c>
      <c r="E1" t="s">
        <v>167</v>
      </c>
      <c r="F1" t="s">
        <v>168</v>
      </c>
      <c r="G1" t="s">
        <v>1</v>
      </c>
      <c r="H1" t="s">
        <v>2</v>
      </c>
      <c r="I1" t="s">
        <v>3</v>
      </c>
      <c r="J1" t="s">
        <v>4</v>
      </c>
      <c r="K1" t="s">
        <v>170</v>
      </c>
      <c r="L1" t="s">
        <v>173</v>
      </c>
      <c r="M1" t="s">
        <v>185</v>
      </c>
      <c r="N1" t="s">
        <v>186</v>
      </c>
      <c r="O1" t="s">
        <v>187</v>
      </c>
      <c r="P1" t="s">
        <v>188</v>
      </c>
      <c r="Q1" t="s">
        <v>189</v>
      </c>
      <c r="R1" t="s">
        <v>215</v>
      </c>
    </row>
    <row r="2" spans="1:18" x14ac:dyDescent="0.2">
      <c r="A2">
        <v>996</v>
      </c>
      <c r="B2">
        <v>88</v>
      </c>
      <c r="C2" s="1">
        <v>45680</v>
      </c>
      <c r="D2">
        <v>4</v>
      </c>
      <c r="E2">
        <v>5</v>
      </c>
      <c r="F2">
        <v>5924.5135</v>
      </c>
      <c r="G2" t="s">
        <v>100</v>
      </c>
      <c r="H2" t="s">
        <v>35</v>
      </c>
      <c r="I2">
        <v>3741.7979999999998</v>
      </c>
      <c r="J2">
        <v>6236.33</v>
      </c>
      <c r="K2">
        <v>5</v>
      </c>
      <c r="L2">
        <v>7706.007599839525</v>
      </c>
      <c r="M2">
        <v>4981.5050000000001</v>
      </c>
      <c r="N2">
        <v>23698.054</v>
      </c>
      <c r="O2">
        <v>8730.862000000001</v>
      </c>
      <c r="P2">
        <v>943.00849999999991</v>
      </c>
      <c r="Q2">
        <v>0.18930192783104702</v>
      </c>
      <c r="R2">
        <v>0.36842105263157898</v>
      </c>
    </row>
    <row r="3" spans="1:18" x14ac:dyDescent="0.2">
      <c r="A3">
        <v>992</v>
      </c>
      <c r="B3">
        <v>28</v>
      </c>
      <c r="C3" s="1">
        <v>45856</v>
      </c>
      <c r="D3">
        <v>35</v>
      </c>
      <c r="E3">
        <v>6</v>
      </c>
      <c r="F3">
        <v>5373.6227999999992</v>
      </c>
      <c r="G3" t="s">
        <v>40</v>
      </c>
      <c r="H3" t="s">
        <v>8</v>
      </c>
      <c r="I3">
        <v>3429.9719999999998</v>
      </c>
      <c r="J3">
        <v>5716.62</v>
      </c>
      <c r="K3">
        <v>5</v>
      </c>
      <c r="L3">
        <v>6945.0727805270608</v>
      </c>
      <c r="M3">
        <v>3542.9559999999997</v>
      </c>
      <c r="N3">
        <v>188076.79799999998</v>
      </c>
      <c r="O3">
        <v>68027.777999999977</v>
      </c>
      <c r="P3">
        <v>1830.6667999999995</v>
      </c>
      <c r="Q3">
        <v>0.51670604997634739</v>
      </c>
      <c r="R3">
        <v>0.36170212765957438</v>
      </c>
    </row>
    <row r="4" spans="1:18" x14ac:dyDescent="0.2">
      <c r="A4">
        <v>991</v>
      </c>
      <c r="B4">
        <v>135</v>
      </c>
      <c r="C4" s="1">
        <v>45723</v>
      </c>
      <c r="D4">
        <v>6</v>
      </c>
      <c r="E4">
        <v>4</v>
      </c>
      <c r="F4">
        <v>7468.5216</v>
      </c>
      <c r="G4" t="s">
        <v>147</v>
      </c>
      <c r="H4" t="s">
        <v>8</v>
      </c>
      <c r="I4">
        <v>4667.826</v>
      </c>
      <c r="J4">
        <v>7779.71</v>
      </c>
      <c r="K4">
        <v>5</v>
      </c>
      <c r="L4">
        <v>9810.9014717954506</v>
      </c>
      <c r="M4">
        <v>4172.7833333333338</v>
      </c>
      <c r="N4">
        <v>44811.1296</v>
      </c>
      <c r="O4">
        <v>16804.173600000002</v>
      </c>
      <c r="P4">
        <v>3295.7382666666663</v>
      </c>
      <c r="Q4">
        <v>0.78981773157005497</v>
      </c>
      <c r="R4">
        <v>0.37500000000000006</v>
      </c>
    </row>
    <row r="5" spans="1:18" x14ac:dyDescent="0.2">
      <c r="A5">
        <v>985</v>
      </c>
      <c r="B5">
        <v>80</v>
      </c>
      <c r="C5" s="1">
        <v>45758</v>
      </c>
      <c r="D5">
        <v>36</v>
      </c>
      <c r="E5">
        <v>6</v>
      </c>
      <c r="F5">
        <v>939.12580000000003</v>
      </c>
      <c r="G5" t="s">
        <v>92</v>
      </c>
      <c r="H5" t="s">
        <v>8</v>
      </c>
      <c r="I5">
        <v>599.44200000000001</v>
      </c>
      <c r="J5">
        <v>999.07</v>
      </c>
      <c r="K5">
        <v>5</v>
      </c>
      <c r="L5">
        <v>1235.966169744032</v>
      </c>
      <c r="M5">
        <v>4319.1966666666667</v>
      </c>
      <c r="N5">
        <v>33808.5288</v>
      </c>
      <c r="O5">
        <v>12228.6168</v>
      </c>
      <c r="P5">
        <v>-3380.0708666666669</v>
      </c>
      <c r="Q5">
        <v>-0.78256933581013144</v>
      </c>
      <c r="R5">
        <v>0.36170212765957444</v>
      </c>
    </row>
    <row r="6" spans="1:18" x14ac:dyDescent="0.2">
      <c r="A6">
        <v>982</v>
      </c>
      <c r="B6">
        <v>61</v>
      </c>
      <c r="C6" s="1">
        <v>45078</v>
      </c>
      <c r="D6">
        <v>41</v>
      </c>
      <c r="E6">
        <v>9</v>
      </c>
      <c r="F6">
        <v>2222.4384</v>
      </c>
      <c r="G6" t="s">
        <v>73</v>
      </c>
      <c r="H6" t="s">
        <v>6</v>
      </c>
      <c r="I6">
        <v>1465.3439999999998</v>
      </c>
      <c r="J6">
        <v>2442.2399999999998</v>
      </c>
      <c r="K6">
        <v>5</v>
      </c>
      <c r="L6">
        <v>2491.9872419620101</v>
      </c>
      <c r="M6">
        <v>411.75600000000003</v>
      </c>
      <c r="N6">
        <v>91119.974400000006</v>
      </c>
      <c r="O6">
        <v>31040.870400000007</v>
      </c>
      <c r="P6">
        <v>1810.6823999999999</v>
      </c>
      <c r="Q6">
        <v>4.3974645178212333</v>
      </c>
      <c r="R6">
        <v>0.34065934065934073</v>
      </c>
    </row>
    <row r="7" spans="1:18" x14ac:dyDescent="0.2">
      <c r="A7">
        <v>978</v>
      </c>
      <c r="B7">
        <v>80</v>
      </c>
      <c r="C7" s="1">
        <v>45187</v>
      </c>
      <c r="D7">
        <v>17</v>
      </c>
      <c r="E7">
        <v>5</v>
      </c>
      <c r="F7">
        <v>949.11649999999997</v>
      </c>
      <c r="G7" t="s">
        <v>92</v>
      </c>
      <c r="H7" t="s">
        <v>8</v>
      </c>
      <c r="I7">
        <v>599.44200000000001</v>
      </c>
      <c r="J7">
        <v>999.07</v>
      </c>
      <c r="K7">
        <v>5</v>
      </c>
      <c r="L7">
        <v>1039.2049794374991</v>
      </c>
      <c r="M7">
        <v>4319.1966666666667</v>
      </c>
      <c r="N7">
        <v>16134.9805</v>
      </c>
      <c r="O7">
        <v>5944.4664999999995</v>
      </c>
      <c r="P7">
        <v>-3370.0801666666666</v>
      </c>
      <c r="Q7">
        <v>-0.78025624363789869</v>
      </c>
      <c r="R7">
        <v>0.36842105263157893</v>
      </c>
    </row>
    <row r="8" spans="1:18" x14ac:dyDescent="0.2">
      <c r="A8">
        <v>958</v>
      </c>
      <c r="B8">
        <v>116</v>
      </c>
      <c r="C8" s="1">
        <v>46013</v>
      </c>
      <c r="D8">
        <v>11</v>
      </c>
      <c r="E8">
        <v>3</v>
      </c>
      <c r="F8">
        <v>2292.2555000000002</v>
      </c>
      <c r="G8" t="s">
        <v>128</v>
      </c>
      <c r="H8" t="s">
        <v>19</v>
      </c>
      <c r="I8">
        <v>1417.89</v>
      </c>
      <c r="J8">
        <v>2363.15</v>
      </c>
      <c r="K8">
        <v>5</v>
      </c>
      <c r="L8">
        <v>2435.5170717995311</v>
      </c>
      <c r="M8">
        <v>4469.4999999999991</v>
      </c>
      <c r="N8">
        <v>25214.810500000003</v>
      </c>
      <c r="O8">
        <v>9618.0205000000005</v>
      </c>
      <c r="P8">
        <v>-2177.2444999999989</v>
      </c>
      <c r="Q8">
        <v>-0.48713379572659121</v>
      </c>
      <c r="R8">
        <v>0.38144329896907214</v>
      </c>
    </row>
    <row r="9" spans="1:18" x14ac:dyDescent="0.2">
      <c r="A9">
        <v>955</v>
      </c>
      <c r="B9">
        <v>9</v>
      </c>
      <c r="C9" s="1">
        <v>45960</v>
      </c>
      <c r="D9">
        <v>9</v>
      </c>
      <c r="E9">
        <v>6</v>
      </c>
      <c r="F9">
        <v>2692.0189999999998</v>
      </c>
      <c r="G9" t="s">
        <v>20</v>
      </c>
      <c r="H9" t="s">
        <v>8</v>
      </c>
      <c r="I9">
        <v>1718.31</v>
      </c>
      <c r="J9">
        <v>2863.85</v>
      </c>
      <c r="K9">
        <v>5</v>
      </c>
      <c r="L9">
        <v>3104.1192996419572</v>
      </c>
      <c r="M9">
        <v>6325.1699999999992</v>
      </c>
      <c r="N9">
        <v>24228.170999999998</v>
      </c>
      <c r="O9">
        <v>8763.3809999999976</v>
      </c>
      <c r="P9">
        <v>-3633.1509999999994</v>
      </c>
      <c r="Q9">
        <v>-0.57439578699070537</v>
      </c>
      <c r="R9">
        <v>0.36170212765957438</v>
      </c>
    </row>
    <row r="10" spans="1:18" x14ac:dyDescent="0.2">
      <c r="A10">
        <v>952</v>
      </c>
      <c r="B10">
        <v>9</v>
      </c>
      <c r="C10" s="1">
        <v>45208</v>
      </c>
      <c r="D10">
        <v>7</v>
      </c>
      <c r="E10">
        <v>6</v>
      </c>
      <c r="F10">
        <v>2692.0189999999998</v>
      </c>
      <c r="G10" t="s">
        <v>20</v>
      </c>
      <c r="H10" t="s">
        <v>8</v>
      </c>
      <c r="I10">
        <v>1718.31</v>
      </c>
      <c r="J10">
        <v>2863.85</v>
      </c>
      <c r="K10">
        <v>5</v>
      </c>
      <c r="L10">
        <v>3677.4393815733479</v>
      </c>
      <c r="M10">
        <v>6325.1699999999992</v>
      </c>
      <c r="N10">
        <v>18844.132999999998</v>
      </c>
      <c r="O10">
        <v>6815.9629999999988</v>
      </c>
      <c r="P10">
        <v>-3633.1509999999994</v>
      </c>
      <c r="Q10">
        <v>-0.57439578699070537</v>
      </c>
      <c r="R10">
        <v>0.36170212765957444</v>
      </c>
    </row>
    <row r="11" spans="1:18" x14ac:dyDescent="0.2">
      <c r="A11">
        <v>940</v>
      </c>
      <c r="B11">
        <v>28</v>
      </c>
      <c r="C11" s="1">
        <v>45151</v>
      </c>
      <c r="D11">
        <v>8</v>
      </c>
      <c r="E11">
        <v>2</v>
      </c>
      <c r="F11">
        <v>5602.2875999999997</v>
      </c>
      <c r="G11" t="s">
        <v>40</v>
      </c>
      <c r="H11" t="s">
        <v>8</v>
      </c>
      <c r="I11">
        <v>3429.9719999999998</v>
      </c>
      <c r="J11">
        <v>5716.62</v>
      </c>
      <c r="K11">
        <v>5</v>
      </c>
      <c r="L11">
        <v>7385.6346134127789</v>
      </c>
      <c r="M11">
        <v>3542.9559999999997</v>
      </c>
      <c r="N11">
        <v>44818.300799999997</v>
      </c>
      <c r="O11">
        <v>17378.524799999999</v>
      </c>
      <c r="P11">
        <v>2059.3316</v>
      </c>
      <c r="Q11">
        <v>0.58124673295406437</v>
      </c>
      <c r="R11">
        <v>0.38775510204081631</v>
      </c>
    </row>
    <row r="12" spans="1:18" x14ac:dyDescent="0.2">
      <c r="A12">
        <v>935</v>
      </c>
      <c r="B12">
        <v>138</v>
      </c>
      <c r="C12" s="1">
        <v>45013</v>
      </c>
      <c r="D12">
        <v>23</v>
      </c>
      <c r="E12">
        <v>2</v>
      </c>
      <c r="F12">
        <v>3029.6601999999998</v>
      </c>
      <c r="G12" t="s">
        <v>150</v>
      </c>
      <c r="H12" t="s">
        <v>12</v>
      </c>
      <c r="I12">
        <v>1854.8939999999998</v>
      </c>
      <c r="J12">
        <v>3091.49</v>
      </c>
      <c r="K12">
        <v>5</v>
      </c>
      <c r="L12">
        <v>3619.8341958061096</v>
      </c>
      <c r="M12">
        <v>4980.4933333333329</v>
      </c>
      <c r="N12">
        <v>69682.184599999993</v>
      </c>
      <c r="O12">
        <v>27019.622600000002</v>
      </c>
      <c r="P12">
        <v>-1950.8331333333331</v>
      </c>
      <c r="Q12">
        <v>-0.39169475848443391</v>
      </c>
      <c r="R12">
        <v>0.38775510204081642</v>
      </c>
    </row>
    <row r="13" spans="1:18" x14ac:dyDescent="0.2">
      <c r="A13">
        <v>931</v>
      </c>
      <c r="B13">
        <v>141</v>
      </c>
      <c r="C13" s="1">
        <v>45203</v>
      </c>
      <c r="D13">
        <v>40</v>
      </c>
      <c r="E13">
        <v>7</v>
      </c>
      <c r="F13">
        <v>7314.6266999999989</v>
      </c>
      <c r="G13" t="s">
        <v>153</v>
      </c>
      <c r="H13" t="s">
        <v>19</v>
      </c>
      <c r="I13">
        <v>4719.1139999999996</v>
      </c>
      <c r="J13">
        <v>7865.19</v>
      </c>
      <c r="K13">
        <v>5</v>
      </c>
      <c r="L13">
        <v>8319.4486905866434</v>
      </c>
      <c r="M13">
        <v>7586.8133333333344</v>
      </c>
      <c r="N13">
        <v>292585.06799999997</v>
      </c>
      <c r="O13">
        <v>103820.50799999997</v>
      </c>
      <c r="P13">
        <v>-272.18663333333552</v>
      </c>
      <c r="Q13">
        <v>-3.58762791931969E-2</v>
      </c>
      <c r="R13">
        <v>0.35483870967741932</v>
      </c>
    </row>
    <row r="14" spans="1:18" x14ac:dyDescent="0.2">
      <c r="A14">
        <v>929</v>
      </c>
      <c r="B14">
        <v>132</v>
      </c>
      <c r="C14" s="1">
        <v>45168</v>
      </c>
      <c r="D14">
        <v>2</v>
      </c>
      <c r="E14">
        <v>4</v>
      </c>
      <c r="F14">
        <v>5268.7968000000001</v>
      </c>
      <c r="G14" t="s">
        <v>144</v>
      </c>
      <c r="H14" t="s">
        <v>12</v>
      </c>
      <c r="I14">
        <v>3292.998</v>
      </c>
      <c r="J14">
        <v>5488.33</v>
      </c>
      <c r="K14">
        <v>5</v>
      </c>
      <c r="L14">
        <v>7059.4246338351431</v>
      </c>
      <c r="M14">
        <v>3374.6533333333332</v>
      </c>
      <c r="N14">
        <v>10537.5936</v>
      </c>
      <c r="O14">
        <v>3951.5976000000001</v>
      </c>
      <c r="P14">
        <v>1894.1434666666669</v>
      </c>
      <c r="Q14">
        <v>0.56128534684056441</v>
      </c>
      <c r="R14">
        <v>0.375</v>
      </c>
    </row>
    <row r="15" spans="1:18" x14ac:dyDescent="0.2">
      <c r="A15">
        <v>928</v>
      </c>
      <c r="B15">
        <v>118</v>
      </c>
      <c r="C15" s="1">
        <v>45690</v>
      </c>
      <c r="D15">
        <v>18</v>
      </c>
      <c r="E15">
        <v>6</v>
      </c>
      <c r="F15">
        <v>2960.2949999999996</v>
      </c>
      <c r="G15" t="s">
        <v>130</v>
      </c>
      <c r="H15" t="s">
        <v>19</v>
      </c>
      <c r="I15">
        <v>1889.55</v>
      </c>
      <c r="J15">
        <v>3149.25</v>
      </c>
      <c r="K15">
        <v>5</v>
      </c>
      <c r="L15">
        <v>3666.5775891463959</v>
      </c>
      <c r="M15">
        <v>224.52399999999997</v>
      </c>
      <c r="N15">
        <v>53285.30999999999</v>
      </c>
      <c r="O15">
        <v>19273.409999999993</v>
      </c>
      <c r="P15">
        <v>2735.7709999999997</v>
      </c>
      <c r="Q15">
        <v>12.184759758422263</v>
      </c>
      <c r="R15">
        <v>0.36170212765957438</v>
      </c>
    </row>
    <row r="16" spans="1:18" x14ac:dyDescent="0.2">
      <c r="A16">
        <v>927</v>
      </c>
      <c r="B16">
        <v>126</v>
      </c>
      <c r="C16" s="1">
        <v>45686</v>
      </c>
      <c r="D16">
        <v>2</v>
      </c>
      <c r="E16">
        <v>3</v>
      </c>
      <c r="F16">
        <v>982.83309999999994</v>
      </c>
      <c r="G16" t="s">
        <v>138</v>
      </c>
      <c r="H16" t="s">
        <v>12</v>
      </c>
      <c r="I16">
        <v>607.93799999999999</v>
      </c>
      <c r="J16">
        <v>1013.23</v>
      </c>
      <c r="K16">
        <v>5</v>
      </c>
      <c r="L16">
        <v>1201.4495049068555</v>
      </c>
      <c r="M16">
        <v>7593.0025000000005</v>
      </c>
      <c r="N16">
        <v>1965.6661999999999</v>
      </c>
      <c r="O16">
        <v>749.79019999999991</v>
      </c>
      <c r="P16">
        <v>-6610.1694000000007</v>
      </c>
      <c r="Q16">
        <v>-0.8705606774131841</v>
      </c>
      <c r="R16">
        <v>0.38144329896907214</v>
      </c>
    </row>
    <row r="17" spans="1:18" x14ac:dyDescent="0.2">
      <c r="A17">
        <v>16</v>
      </c>
      <c r="B17">
        <v>138</v>
      </c>
      <c r="C17" s="1">
        <v>45213</v>
      </c>
      <c r="D17">
        <v>38</v>
      </c>
      <c r="E17">
        <v>7</v>
      </c>
      <c r="F17">
        <v>2875.0856999999996</v>
      </c>
      <c r="G17" t="s">
        <v>150</v>
      </c>
      <c r="H17" t="s">
        <v>12</v>
      </c>
      <c r="I17">
        <v>1854.8939999999998</v>
      </c>
      <c r="J17">
        <v>3091.49</v>
      </c>
      <c r="K17">
        <v>5</v>
      </c>
      <c r="L17">
        <v>3519.954309712492</v>
      </c>
      <c r="M17">
        <v>4980.4933333333329</v>
      </c>
      <c r="N17">
        <v>109253.25659999999</v>
      </c>
      <c r="O17">
        <v>38767.284599999992</v>
      </c>
      <c r="P17">
        <v>-2105.4076333333333</v>
      </c>
      <c r="Q17">
        <v>-0.42273074019441181</v>
      </c>
      <c r="R17">
        <v>0.35483870967741932</v>
      </c>
    </row>
    <row r="18" spans="1:18" x14ac:dyDescent="0.2">
      <c r="A18">
        <v>921</v>
      </c>
      <c r="B18">
        <v>141</v>
      </c>
      <c r="C18" s="1">
        <v>45858</v>
      </c>
      <c r="D18">
        <v>24</v>
      </c>
      <c r="E18">
        <v>4</v>
      </c>
      <c r="F18">
        <v>7550.5823999999993</v>
      </c>
      <c r="G18" t="s">
        <v>153</v>
      </c>
      <c r="H18" t="s">
        <v>19</v>
      </c>
      <c r="I18">
        <v>4719.1139999999996</v>
      </c>
      <c r="J18">
        <v>7865.19</v>
      </c>
      <c r="K18">
        <v>5</v>
      </c>
      <c r="L18">
        <v>7884.4923953602383</v>
      </c>
      <c r="M18">
        <v>7586.8133333333344</v>
      </c>
      <c r="N18">
        <v>181213.97759999998</v>
      </c>
      <c r="O18">
        <v>67955.241599999994</v>
      </c>
      <c r="P18">
        <v>-36.230933333335088</v>
      </c>
      <c r="Q18">
        <v>-4.7755140058806092E-3</v>
      </c>
      <c r="R18">
        <v>0.375</v>
      </c>
    </row>
    <row r="19" spans="1:18" x14ac:dyDescent="0.2">
      <c r="A19">
        <v>918</v>
      </c>
      <c r="B19">
        <v>9</v>
      </c>
      <c r="C19" s="1">
        <v>45347</v>
      </c>
      <c r="D19">
        <v>36</v>
      </c>
      <c r="E19">
        <v>10</v>
      </c>
      <c r="F19">
        <v>2577.4650000000001</v>
      </c>
      <c r="G19" t="s">
        <v>20</v>
      </c>
      <c r="H19" t="s">
        <v>8</v>
      </c>
      <c r="I19">
        <v>1718.31</v>
      </c>
      <c r="J19">
        <v>2863.85</v>
      </c>
      <c r="K19">
        <v>5</v>
      </c>
      <c r="L19">
        <v>3473.3782560648083</v>
      </c>
      <c r="M19">
        <v>6325.1699999999992</v>
      </c>
      <c r="N19">
        <v>92788.74</v>
      </c>
      <c r="O19">
        <v>30929.580000000009</v>
      </c>
      <c r="P19">
        <v>-3747.704999999999</v>
      </c>
      <c r="Q19">
        <v>-0.59250660456556892</v>
      </c>
      <c r="R19">
        <v>0.33333333333333343</v>
      </c>
    </row>
    <row r="20" spans="1:18" x14ac:dyDescent="0.2">
      <c r="A20">
        <v>908</v>
      </c>
      <c r="B20">
        <v>13</v>
      </c>
      <c r="C20" s="1">
        <v>45078</v>
      </c>
      <c r="D20">
        <v>37</v>
      </c>
      <c r="E20">
        <v>4</v>
      </c>
      <c r="F20">
        <v>1725.1776</v>
      </c>
      <c r="G20" t="s">
        <v>24</v>
      </c>
      <c r="H20" t="s">
        <v>12</v>
      </c>
      <c r="I20">
        <v>1078.2359999999999</v>
      </c>
      <c r="J20">
        <v>1797.06</v>
      </c>
      <c r="K20">
        <v>5</v>
      </c>
      <c r="L20">
        <v>2153.8948061974857</v>
      </c>
      <c r="M20">
        <v>1712.5580000000002</v>
      </c>
      <c r="N20">
        <v>63831.571199999998</v>
      </c>
      <c r="O20">
        <v>23936.839200000002</v>
      </c>
      <c r="P20">
        <v>12.619599999999764</v>
      </c>
      <c r="Q20">
        <v>7.368859915985188E-3</v>
      </c>
      <c r="R20">
        <v>0.37500000000000006</v>
      </c>
    </row>
    <row r="21" spans="1:18" x14ac:dyDescent="0.2">
      <c r="A21">
        <v>20</v>
      </c>
      <c r="B21">
        <v>56</v>
      </c>
      <c r="C21" s="1">
        <v>45819</v>
      </c>
      <c r="D21">
        <v>27</v>
      </c>
      <c r="E21">
        <v>4</v>
      </c>
      <c r="F21">
        <v>7662.5280000000002</v>
      </c>
      <c r="G21" t="s">
        <v>68</v>
      </c>
      <c r="H21" t="s">
        <v>35</v>
      </c>
      <c r="I21">
        <v>4789.08</v>
      </c>
      <c r="J21">
        <v>7981.8</v>
      </c>
      <c r="K21">
        <v>5</v>
      </c>
      <c r="L21">
        <v>8646.4864141835442</v>
      </c>
      <c r="M21">
        <v>3458.9274999999998</v>
      </c>
      <c r="N21">
        <v>206888.25599999999</v>
      </c>
      <c r="O21">
        <v>77583.096000000005</v>
      </c>
      <c r="P21">
        <v>4203.6005000000005</v>
      </c>
      <c r="Q21">
        <v>1.2152901441270454</v>
      </c>
      <c r="R21">
        <v>0.37500000000000006</v>
      </c>
    </row>
    <row r="22" spans="1:18" x14ac:dyDescent="0.2">
      <c r="A22">
        <v>907</v>
      </c>
      <c r="B22">
        <v>61</v>
      </c>
      <c r="C22" s="1">
        <v>45786</v>
      </c>
      <c r="D22">
        <v>2</v>
      </c>
      <c r="E22">
        <v>7</v>
      </c>
      <c r="F22">
        <v>2271.2831999999999</v>
      </c>
      <c r="G22" t="s">
        <v>73</v>
      </c>
      <c r="H22" t="s">
        <v>6</v>
      </c>
      <c r="I22">
        <v>1465.3439999999998</v>
      </c>
      <c r="J22">
        <v>2442.2399999999998</v>
      </c>
      <c r="K22">
        <v>5</v>
      </c>
      <c r="L22">
        <v>2777.3915195572581</v>
      </c>
      <c r="M22">
        <v>411.75600000000003</v>
      </c>
      <c r="N22">
        <v>4542.5663999999997</v>
      </c>
      <c r="O22">
        <v>1611.8784000000001</v>
      </c>
      <c r="P22">
        <v>1859.5271999999998</v>
      </c>
      <c r="Q22">
        <v>4.5160901116195022</v>
      </c>
      <c r="R22">
        <v>0.35483870967741937</v>
      </c>
    </row>
    <row r="23" spans="1:18" x14ac:dyDescent="0.2">
      <c r="A23">
        <v>900</v>
      </c>
      <c r="B23">
        <v>139</v>
      </c>
      <c r="C23" s="1">
        <v>45470</v>
      </c>
      <c r="D23">
        <v>10</v>
      </c>
      <c r="E23">
        <v>9</v>
      </c>
      <c r="F23">
        <v>2357.8827999999999</v>
      </c>
      <c r="G23" t="s">
        <v>151</v>
      </c>
      <c r="H23" t="s">
        <v>17</v>
      </c>
      <c r="I23">
        <v>1554.6479999999999</v>
      </c>
      <c r="J23">
        <v>2591.08</v>
      </c>
      <c r="K23">
        <v>5</v>
      </c>
      <c r="L23">
        <v>3109.2806399992255</v>
      </c>
      <c r="M23">
        <v>2839.1733333333336</v>
      </c>
      <c r="N23">
        <v>23578.827999999998</v>
      </c>
      <c r="O23">
        <v>8032.348</v>
      </c>
      <c r="P23">
        <v>-481.29053333333377</v>
      </c>
      <c r="Q23">
        <v>-0.16951784087386954</v>
      </c>
      <c r="R23">
        <v>0.34065934065934067</v>
      </c>
    </row>
    <row r="24" spans="1:18" x14ac:dyDescent="0.2">
      <c r="A24">
        <v>23</v>
      </c>
      <c r="B24">
        <v>9</v>
      </c>
      <c r="C24" s="1">
        <v>45615</v>
      </c>
      <c r="D24">
        <v>2</v>
      </c>
      <c r="E24">
        <v>2</v>
      </c>
      <c r="F24">
        <v>2806.5729999999999</v>
      </c>
      <c r="G24" t="s">
        <v>20</v>
      </c>
      <c r="H24" t="s">
        <v>8</v>
      </c>
      <c r="I24">
        <v>1718.31</v>
      </c>
      <c r="J24">
        <v>2863.85</v>
      </c>
      <c r="K24">
        <v>5</v>
      </c>
      <c r="L24">
        <v>2889.339709162</v>
      </c>
      <c r="M24">
        <v>6325.1699999999992</v>
      </c>
      <c r="N24">
        <v>5613.1459999999997</v>
      </c>
      <c r="O24">
        <v>2176.5259999999998</v>
      </c>
      <c r="P24">
        <v>-3518.5969999999993</v>
      </c>
      <c r="Q24">
        <v>-0.55628496941584171</v>
      </c>
      <c r="R24">
        <v>0.38775510204081631</v>
      </c>
    </row>
    <row r="25" spans="1:18" x14ac:dyDescent="0.2">
      <c r="A25">
        <v>895</v>
      </c>
      <c r="B25">
        <v>141</v>
      </c>
      <c r="C25" s="1">
        <v>45064</v>
      </c>
      <c r="D25">
        <v>7</v>
      </c>
      <c r="E25">
        <v>3</v>
      </c>
      <c r="F25">
        <v>7629.2342999999992</v>
      </c>
      <c r="G25" t="s">
        <v>153</v>
      </c>
      <c r="H25" t="s">
        <v>19</v>
      </c>
      <c r="I25">
        <v>4719.1139999999996</v>
      </c>
      <c r="J25">
        <v>7865.19</v>
      </c>
      <c r="K25">
        <v>5</v>
      </c>
      <c r="L25">
        <v>7903.7083270331168</v>
      </c>
      <c r="M25">
        <v>7586.8133333333344</v>
      </c>
      <c r="N25">
        <v>53404.640099999997</v>
      </c>
      <c r="O25">
        <v>20370.842099999998</v>
      </c>
      <c r="P25">
        <v>42.420966666664754</v>
      </c>
      <c r="Q25">
        <v>5.5914077232247818E-3</v>
      </c>
      <c r="R25">
        <v>0.38144329896907214</v>
      </c>
    </row>
    <row r="26" spans="1:18" x14ac:dyDescent="0.2">
      <c r="A26">
        <v>891</v>
      </c>
      <c r="B26">
        <v>56</v>
      </c>
      <c r="C26" s="1">
        <v>45480</v>
      </c>
      <c r="D26">
        <v>34</v>
      </c>
      <c r="E26">
        <v>10</v>
      </c>
      <c r="F26">
        <v>7183.62</v>
      </c>
      <c r="G26" t="s">
        <v>68</v>
      </c>
      <c r="H26" t="s">
        <v>35</v>
      </c>
      <c r="I26">
        <v>4789.08</v>
      </c>
      <c r="J26">
        <v>7981.8</v>
      </c>
      <c r="K26">
        <v>5</v>
      </c>
      <c r="L26">
        <v>9733.0245037722252</v>
      </c>
      <c r="M26">
        <v>3458.9274999999998</v>
      </c>
      <c r="N26">
        <v>244243.08</v>
      </c>
      <c r="O26">
        <v>81414.36</v>
      </c>
      <c r="P26">
        <v>3724.6925000000001</v>
      </c>
      <c r="Q26">
        <v>1.076834510119105</v>
      </c>
      <c r="R26">
        <v>0.33333333333333337</v>
      </c>
    </row>
    <row r="27" spans="1:18" x14ac:dyDescent="0.2">
      <c r="A27">
        <v>26</v>
      </c>
      <c r="B27">
        <v>125</v>
      </c>
      <c r="C27" s="1">
        <v>45752</v>
      </c>
      <c r="D27">
        <v>10</v>
      </c>
      <c r="E27">
        <v>10</v>
      </c>
      <c r="F27">
        <v>3915.9629999999997</v>
      </c>
      <c r="G27" t="s">
        <v>137</v>
      </c>
      <c r="H27" t="s">
        <v>8</v>
      </c>
      <c r="I27">
        <v>2610.6419999999998</v>
      </c>
      <c r="J27">
        <v>4351.07</v>
      </c>
      <c r="K27">
        <v>5</v>
      </c>
      <c r="L27">
        <v>4602.4790969098358</v>
      </c>
      <c r="M27">
        <v>5094.8040000000001</v>
      </c>
      <c r="N27">
        <v>39159.629999999997</v>
      </c>
      <c r="O27">
        <v>13053.21</v>
      </c>
      <c r="P27">
        <v>-1178.8410000000003</v>
      </c>
      <c r="Q27">
        <v>-0.23138103055583695</v>
      </c>
      <c r="R27">
        <v>0.33333333333333331</v>
      </c>
    </row>
    <row r="28" spans="1:18" x14ac:dyDescent="0.2">
      <c r="A28">
        <v>890</v>
      </c>
      <c r="B28">
        <v>139</v>
      </c>
      <c r="C28" s="1">
        <v>45094</v>
      </c>
      <c r="D28">
        <v>7</v>
      </c>
      <c r="E28">
        <v>5</v>
      </c>
      <c r="F28">
        <v>2461.5259999999998</v>
      </c>
      <c r="G28" t="s">
        <v>151</v>
      </c>
      <c r="H28" t="s">
        <v>17</v>
      </c>
      <c r="I28">
        <v>1554.6479999999999</v>
      </c>
      <c r="J28">
        <v>2591.08</v>
      </c>
      <c r="K28">
        <v>5</v>
      </c>
      <c r="L28">
        <v>2645.724842084117</v>
      </c>
      <c r="M28">
        <v>2839.1733333333336</v>
      </c>
      <c r="N28">
        <v>17230.682000000001</v>
      </c>
      <c r="O28">
        <v>6348.1459999999997</v>
      </c>
      <c r="P28">
        <v>-377.64733333333379</v>
      </c>
      <c r="Q28">
        <v>-0.13301313058261105</v>
      </c>
      <c r="R28">
        <v>0.36842105263157893</v>
      </c>
    </row>
    <row r="29" spans="1:18" x14ac:dyDescent="0.2">
      <c r="A29">
        <v>889</v>
      </c>
      <c r="B29">
        <v>141</v>
      </c>
      <c r="C29" s="1">
        <v>45308</v>
      </c>
      <c r="D29">
        <v>43</v>
      </c>
      <c r="E29">
        <v>4</v>
      </c>
      <c r="F29">
        <v>7550.5823999999993</v>
      </c>
      <c r="G29" t="s">
        <v>153</v>
      </c>
      <c r="H29" t="s">
        <v>19</v>
      </c>
      <c r="I29">
        <v>4719.1139999999996</v>
      </c>
      <c r="J29">
        <v>7865.19</v>
      </c>
      <c r="K29">
        <v>5</v>
      </c>
      <c r="L29">
        <v>9233.7572575516788</v>
      </c>
      <c r="M29">
        <v>7586.8133333333344</v>
      </c>
      <c r="N29">
        <v>324675.04319999996</v>
      </c>
      <c r="O29">
        <v>121753.14119999998</v>
      </c>
      <c r="P29">
        <v>-36.230933333335088</v>
      </c>
      <c r="Q29">
        <v>-4.7755140058806092E-3</v>
      </c>
      <c r="R29">
        <v>0.375</v>
      </c>
    </row>
    <row r="30" spans="1:18" x14ac:dyDescent="0.2">
      <c r="A30">
        <v>29</v>
      </c>
      <c r="B30">
        <v>139</v>
      </c>
      <c r="C30" s="1">
        <v>45269</v>
      </c>
      <c r="D30">
        <v>36</v>
      </c>
      <c r="E30">
        <v>4</v>
      </c>
      <c r="F30">
        <v>2487.4367999999999</v>
      </c>
      <c r="G30" t="s">
        <v>151</v>
      </c>
      <c r="H30" t="s">
        <v>17</v>
      </c>
      <c r="I30">
        <v>1554.6479999999999</v>
      </c>
      <c r="J30">
        <v>2591.08</v>
      </c>
      <c r="K30">
        <v>5</v>
      </c>
      <c r="L30">
        <v>2896.6437403686587</v>
      </c>
      <c r="M30">
        <v>2839.1733333333336</v>
      </c>
      <c r="N30">
        <v>89547.724799999996</v>
      </c>
      <c r="O30">
        <v>33580.396800000002</v>
      </c>
      <c r="P30">
        <v>-351.73653333333368</v>
      </c>
      <c r="Q30">
        <v>-0.12388695300979639</v>
      </c>
      <c r="R30">
        <v>0.37500000000000006</v>
      </c>
    </row>
    <row r="31" spans="1:18" x14ac:dyDescent="0.2">
      <c r="A31">
        <v>30</v>
      </c>
      <c r="B31">
        <v>56</v>
      </c>
      <c r="C31" s="1">
        <v>45165</v>
      </c>
      <c r="D31">
        <v>48</v>
      </c>
      <c r="E31">
        <v>7</v>
      </c>
      <c r="F31">
        <v>7423.0739999999996</v>
      </c>
      <c r="G31" t="s">
        <v>68</v>
      </c>
      <c r="H31" t="s">
        <v>35</v>
      </c>
      <c r="I31">
        <v>4789.08</v>
      </c>
      <c r="J31">
        <v>7981.8</v>
      </c>
      <c r="K31">
        <v>5</v>
      </c>
      <c r="L31">
        <v>8609.6429505551496</v>
      </c>
      <c r="M31">
        <v>3458.9274999999998</v>
      </c>
      <c r="N31">
        <v>356307.55199999997</v>
      </c>
      <c r="O31">
        <v>126431.71199999998</v>
      </c>
      <c r="P31">
        <v>3964.1464999999998</v>
      </c>
      <c r="Q31">
        <v>1.146062327123075</v>
      </c>
      <c r="R31">
        <v>0.35483870967741937</v>
      </c>
    </row>
    <row r="32" spans="1:18" x14ac:dyDescent="0.2">
      <c r="A32">
        <v>885</v>
      </c>
      <c r="B32">
        <v>141</v>
      </c>
      <c r="C32" s="1">
        <v>45637</v>
      </c>
      <c r="D32">
        <v>29</v>
      </c>
      <c r="E32">
        <v>2</v>
      </c>
      <c r="F32">
        <v>7707.8861999999999</v>
      </c>
      <c r="G32" t="s">
        <v>153</v>
      </c>
      <c r="H32" t="s">
        <v>19</v>
      </c>
      <c r="I32">
        <v>4719.1139999999996</v>
      </c>
      <c r="J32">
        <v>7865.19</v>
      </c>
      <c r="K32">
        <v>5</v>
      </c>
      <c r="L32">
        <v>8144.9338457868271</v>
      </c>
      <c r="M32">
        <v>7586.8133333333344</v>
      </c>
      <c r="N32">
        <v>223528.6998</v>
      </c>
      <c r="O32">
        <v>86674.393800000005</v>
      </c>
      <c r="P32">
        <v>121.0728666666655</v>
      </c>
      <c r="Q32">
        <v>1.5958329452330292E-2</v>
      </c>
      <c r="R32">
        <v>0.38775510204081637</v>
      </c>
    </row>
    <row r="33" spans="1:18" x14ac:dyDescent="0.2">
      <c r="A33">
        <v>884</v>
      </c>
      <c r="B33">
        <v>28</v>
      </c>
      <c r="C33" s="1">
        <v>45462</v>
      </c>
      <c r="D33">
        <v>42</v>
      </c>
      <c r="E33">
        <v>7</v>
      </c>
      <c r="F33">
        <v>5316.4565999999995</v>
      </c>
      <c r="G33" t="s">
        <v>40</v>
      </c>
      <c r="H33" t="s">
        <v>8</v>
      </c>
      <c r="I33">
        <v>3429.9719999999998</v>
      </c>
      <c r="J33">
        <v>5716.62</v>
      </c>
      <c r="K33">
        <v>5</v>
      </c>
      <c r="L33">
        <v>6569.2413149808863</v>
      </c>
      <c r="M33">
        <v>3542.9559999999997</v>
      </c>
      <c r="N33">
        <v>223291.17719999998</v>
      </c>
      <c r="O33">
        <v>79232.353199999983</v>
      </c>
      <c r="P33">
        <v>1773.5005999999998</v>
      </c>
      <c r="Q33">
        <v>0.50057087923191823</v>
      </c>
      <c r="R33">
        <v>0.35483870967741932</v>
      </c>
    </row>
    <row r="34" spans="1:18" x14ac:dyDescent="0.2">
      <c r="A34">
        <v>882</v>
      </c>
      <c r="B34">
        <v>74</v>
      </c>
      <c r="C34" s="1">
        <v>45733</v>
      </c>
      <c r="D34">
        <v>31</v>
      </c>
      <c r="E34">
        <v>2</v>
      </c>
      <c r="F34">
        <v>1867.1058</v>
      </c>
      <c r="G34" t="s">
        <v>86</v>
      </c>
      <c r="H34" t="s">
        <v>17</v>
      </c>
      <c r="I34">
        <v>1143.126</v>
      </c>
      <c r="J34">
        <v>1905.21</v>
      </c>
      <c r="K34">
        <v>5</v>
      </c>
      <c r="L34">
        <v>1927.2228987142271</v>
      </c>
      <c r="M34">
        <v>2585.9039999999995</v>
      </c>
      <c r="N34">
        <v>57880.279800000004</v>
      </c>
      <c r="O34">
        <v>22443.373800000001</v>
      </c>
      <c r="P34">
        <v>-718.7981999999995</v>
      </c>
      <c r="Q34">
        <v>-0.27796785959571568</v>
      </c>
      <c r="R34">
        <v>0.38775510204081631</v>
      </c>
    </row>
    <row r="35" spans="1:18" x14ac:dyDescent="0.2">
      <c r="A35">
        <v>879</v>
      </c>
      <c r="B35">
        <v>130</v>
      </c>
      <c r="C35" s="1">
        <v>45809</v>
      </c>
      <c r="D35">
        <v>27</v>
      </c>
      <c r="E35">
        <v>3</v>
      </c>
      <c r="F35">
        <v>3089.9252999999999</v>
      </c>
      <c r="G35" t="s">
        <v>142</v>
      </c>
      <c r="H35" t="s">
        <v>12</v>
      </c>
      <c r="I35">
        <v>1911.2939999999999</v>
      </c>
      <c r="J35">
        <v>3185.49</v>
      </c>
      <c r="K35">
        <v>5</v>
      </c>
      <c r="L35">
        <v>3845.5539174522009</v>
      </c>
      <c r="M35">
        <v>3865.1374999999998</v>
      </c>
      <c r="N35">
        <v>83427.983099999998</v>
      </c>
      <c r="O35">
        <v>31823.045099999999</v>
      </c>
      <c r="P35">
        <v>-775.21219999999994</v>
      </c>
      <c r="Q35">
        <v>-0.20056523215538904</v>
      </c>
      <c r="R35">
        <v>0.38144329896907214</v>
      </c>
    </row>
    <row r="36" spans="1:18" x14ac:dyDescent="0.2">
      <c r="A36">
        <v>862</v>
      </c>
      <c r="B36">
        <v>56</v>
      </c>
      <c r="C36" s="1">
        <v>45598</v>
      </c>
      <c r="D36">
        <v>20</v>
      </c>
      <c r="E36">
        <v>7</v>
      </c>
      <c r="F36">
        <v>7423.0739999999996</v>
      </c>
      <c r="G36" t="s">
        <v>68</v>
      </c>
      <c r="H36" t="s">
        <v>35</v>
      </c>
      <c r="I36">
        <v>4789.08</v>
      </c>
      <c r="J36">
        <v>7981.8</v>
      </c>
      <c r="K36">
        <v>5</v>
      </c>
      <c r="L36">
        <v>9818.959415810501</v>
      </c>
      <c r="M36">
        <v>3458.9274999999998</v>
      </c>
      <c r="N36">
        <v>148461.47999999998</v>
      </c>
      <c r="O36">
        <v>52679.87999999999</v>
      </c>
      <c r="P36">
        <v>3964.1464999999998</v>
      </c>
      <c r="Q36">
        <v>1.146062327123075</v>
      </c>
      <c r="R36">
        <v>0.35483870967741932</v>
      </c>
    </row>
    <row r="37" spans="1:18" x14ac:dyDescent="0.2">
      <c r="A37">
        <v>856</v>
      </c>
      <c r="B37">
        <v>13</v>
      </c>
      <c r="C37" s="1">
        <v>45621</v>
      </c>
      <c r="D37">
        <v>48</v>
      </c>
      <c r="E37">
        <v>3</v>
      </c>
      <c r="F37">
        <v>1743.1481999999999</v>
      </c>
      <c r="G37" t="s">
        <v>24</v>
      </c>
      <c r="H37" t="s">
        <v>12</v>
      </c>
      <c r="I37">
        <v>1078.2359999999999</v>
      </c>
      <c r="J37">
        <v>1797.06</v>
      </c>
      <c r="K37">
        <v>5</v>
      </c>
      <c r="L37">
        <v>1832.5854110753821</v>
      </c>
      <c r="M37">
        <v>1712.5580000000002</v>
      </c>
      <c r="N37">
        <v>83671.113599999997</v>
      </c>
      <c r="O37">
        <v>31915.785599999999</v>
      </c>
      <c r="P37">
        <v>30.590199999999641</v>
      </c>
      <c r="Q37">
        <v>1.7862285540109962E-2</v>
      </c>
      <c r="R37">
        <v>0.3814432989690722</v>
      </c>
    </row>
    <row r="38" spans="1:18" x14ac:dyDescent="0.2">
      <c r="A38">
        <v>853</v>
      </c>
      <c r="B38">
        <v>74</v>
      </c>
      <c r="C38" s="1">
        <v>45074</v>
      </c>
      <c r="D38">
        <v>6</v>
      </c>
      <c r="E38">
        <v>3</v>
      </c>
      <c r="F38">
        <v>1848.0536999999999</v>
      </c>
      <c r="G38" t="s">
        <v>86</v>
      </c>
      <c r="H38" t="s">
        <v>17</v>
      </c>
      <c r="I38">
        <v>1143.126</v>
      </c>
      <c r="J38">
        <v>1905.21</v>
      </c>
      <c r="K38">
        <v>5</v>
      </c>
      <c r="L38">
        <v>2447.0205988580938</v>
      </c>
      <c r="M38">
        <v>2585.9039999999995</v>
      </c>
      <c r="N38">
        <v>11088.322199999999</v>
      </c>
      <c r="O38">
        <v>4229.5661999999993</v>
      </c>
      <c r="P38">
        <v>-737.85029999999961</v>
      </c>
      <c r="Q38">
        <v>-0.2853355344978003</v>
      </c>
      <c r="R38">
        <v>0.38144329896907214</v>
      </c>
    </row>
    <row r="39" spans="1:18" x14ac:dyDescent="0.2">
      <c r="A39">
        <v>38</v>
      </c>
      <c r="B39">
        <v>9</v>
      </c>
      <c r="C39" s="1">
        <v>45256</v>
      </c>
      <c r="D39">
        <v>10</v>
      </c>
      <c r="E39">
        <v>2</v>
      </c>
      <c r="F39">
        <v>2806.5729999999999</v>
      </c>
      <c r="G39" t="s">
        <v>20</v>
      </c>
      <c r="H39" t="s">
        <v>8</v>
      </c>
      <c r="I39">
        <v>1718.31</v>
      </c>
      <c r="J39">
        <v>2863.85</v>
      </c>
      <c r="K39">
        <v>5</v>
      </c>
      <c r="L39">
        <v>3013.7214708972192</v>
      </c>
      <c r="M39">
        <v>6325.1699999999992</v>
      </c>
      <c r="N39">
        <v>28065.73</v>
      </c>
      <c r="O39">
        <v>10882.63</v>
      </c>
      <c r="P39">
        <v>-3518.5969999999993</v>
      </c>
      <c r="Q39">
        <v>-0.55628496941584171</v>
      </c>
      <c r="R39">
        <v>0.38775510204081631</v>
      </c>
    </row>
    <row r="40" spans="1:18" x14ac:dyDescent="0.2">
      <c r="A40">
        <v>852</v>
      </c>
      <c r="B40">
        <v>139</v>
      </c>
      <c r="C40" s="1">
        <v>45570</v>
      </c>
      <c r="D40">
        <v>4</v>
      </c>
      <c r="E40">
        <v>5</v>
      </c>
      <c r="F40">
        <v>2461.5259999999998</v>
      </c>
      <c r="G40" t="s">
        <v>151</v>
      </c>
      <c r="H40" t="s">
        <v>17</v>
      </c>
      <c r="I40">
        <v>1554.6479999999999</v>
      </c>
      <c r="J40">
        <v>2591.08</v>
      </c>
      <c r="K40">
        <v>5</v>
      </c>
      <c r="L40">
        <v>2983.2946624746464</v>
      </c>
      <c r="M40">
        <v>2839.1733333333336</v>
      </c>
      <c r="N40">
        <v>9846.1039999999994</v>
      </c>
      <c r="O40">
        <v>3627.5119999999997</v>
      </c>
      <c r="P40">
        <v>-377.64733333333379</v>
      </c>
      <c r="Q40">
        <v>-0.13301313058261105</v>
      </c>
      <c r="R40">
        <v>0.36842105263157893</v>
      </c>
    </row>
    <row r="41" spans="1:18" x14ac:dyDescent="0.2">
      <c r="A41">
        <v>841</v>
      </c>
      <c r="B41">
        <v>125</v>
      </c>
      <c r="C41" s="1">
        <v>45367</v>
      </c>
      <c r="D41">
        <v>7</v>
      </c>
      <c r="E41">
        <v>8</v>
      </c>
      <c r="F41">
        <v>4002.9843999999998</v>
      </c>
      <c r="G41" t="s">
        <v>137</v>
      </c>
      <c r="H41" t="s">
        <v>8</v>
      </c>
      <c r="I41">
        <v>2610.6419999999998</v>
      </c>
      <c r="J41">
        <v>4351.07</v>
      </c>
      <c r="K41">
        <v>5</v>
      </c>
      <c r="L41">
        <v>4483.3989907846453</v>
      </c>
      <c r="M41">
        <v>5094.8040000000001</v>
      </c>
      <c r="N41">
        <v>28020.890799999997</v>
      </c>
      <c r="O41">
        <v>9746.3968000000004</v>
      </c>
      <c r="P41">
        <v>-1091.8196000000003</v>
      </c>
      <c r="Q41">
        <v>-0.21430060901263331</v>
      </c>
      <c r="R41">
        <v>0.34782608695652178</v>
      </c>
    </row>
    <row r="42" spans="1:18" x14ac:dyDescent="0.2">
      <c r="A42">
        <v>836</v>
      </c>
      <c r="B42">
        <v>88</v>
      </c>
      <c r="C42" s="1">
        <v>45163</v>
      </c>
      <c r="D42">
        <v>14</v>
      </c>
      <c r="E42">
        <v>2</v>
      </c>
      <c r="F42">
        <v>6111.6034</v>
      </c>
      <c r="G42" t="s">
        <v>100</v>
      </c>
      <c r="H42" t="s">
        <v>35</v>
      </c>
      <c r="I42">
        <v>3741.7979999999998</v>
      </c>
      <c r="J42">
        <v>6236.33</v>
      </c>
      <c r="K42">
        <v>5</v>
      </c>
      <c r="L42">
        <v>6722.9805629828179</v>
      </c>
      <c r="M42">
        <v>4981.5050000000001</v>
      </c>
      <c r="N42">
        <v>85562.4476</v>
      </c>
      <c r="O42">
        <v>33177.275600000001</v>
      </c>
      <c r="P42">
        <v>1130.0983999999999</v>
      </c>
      <c r="Q42">
        <v>0.22685883081518535</v>
      </c>
      <c r="R42">
        <v>0.38775510204081631</v>
      </c>
    </row>
    <row r="43" spans="1:18" x14ac:dyDescent="0.2">
      <c r="A43">
        <v>829</v>
      </c>
      <c r="B43">
        <v>139</v>
      </c>
      <c r="C43" s="1">
        <v>45392</v>
      </c>
      <c r="D43">
        <v>50</v>
      </c>
      <c r="E43">
        <v>6</v>
      </c>
      <c r="F43">
        <v>2435.6151999999997</v>
      </c>
      <c r="G43" t="s">
        <v>151</v>
      </c>
      <c r="H43" t="s">
        <v>17</v>
      </c>
      <c r="I43">
        <v>1554.6479999999999</v>
      </c>
      <c r="J43">
        <v>2591.08</v>
      </c>
      <c r="K43">
        <v>5</v>
      </c>
      <c r="L43">
        <v>3319.556459428054</v>
      </c>
      <c r="M43">
        <v>2839.1733333333336</v>
      </c>
      <c r="N43">
        <v>121780.75999999998</v>
      </c>
      <c r="O43">
        <v>44048.359999999993</v>
      </c>
      <c r="P43">
        <v>-403.5581333333339</v>
      </c>
      <c r="Q43">
        <v>-0.14213930815542572</v>
      </c>
      <c r="R43">
        <v>0.36170212765957449</v>
      </c>
    </row>
    <row r="44" spans="1:18" x14ac:dyDescent="0.2">
      <c r="A44">
        <v>43</v>
      </c>
      <c r="B44">
        <v>6</v>
      </c>
      <c r="C44" s="1">
        <v>45612</v>
      </c>
      <c r="D44">
        <v>50</v>
      </c>
      <c r="E44">
        <v>3</v>
      </c>
      <c r="F44">
        <v>4001.4246000000003</v>
      </c>
      <c r="G44" t="s">
        <v>15</v>
      </c>
      <c r="H44" t="s">
        <v>8</v>
      </c>
      <c r="I44">
        <v>2475.1080000000002</v>
      </c>
      <c r="J44">
        <v>4125.18</v>
      </c>
      <c r="K44">
        <v>5</v>
      </c>
      <c r="L44">
        <v>4948.0726964442483</v>
      </c>
      <c r="M44">
        <v>6862.0275000000001</v>
      </c>
      <c r="N44">
        <v>200071.23</v>
      </c>
      <c r="O44">
        <v>76315.83</v>
      </c>
      <c r="P44">
        <v>-2860.6028999999999</v>
      </c>
      <c r="Q44">
        <v>-0.41687429844896423</v>
      </c>
      <c r="R44">
        <v>0.38144329896907214</v>
      </c>
    </row>
    <row r="45" spans="1:18" x14ac:dyDescent="0.2">
      <c r="A45">
        <v>827</v>
      </c>
      <c r="B45">
        <v>130</v>
      </c>
      <c r="C45" s="1">
        <v>45028</v>
      </c>
      <c r="D45">
        <v>10</v>
      </c>
      <c r="E45">
        <v>3</v>
      </c>
      <c r="F45">
        <v>3089.9252999999999</v>
      </c>
      <c r="G45" t="s">
        <v>142</v>
      </c>
      <c r="H45" t="s">
        <v>12</v>
      </c>
      <c r="I45">
        <v>1911.2939999999999</v>
      </c>
      <c r="J45">
        <v>3185.49</v>
      </c>
      <c r="K45">
        <v>5</v>
      </c>
      <c r="L45">
        <v>4067.3095757264323</v>
      </c>
      <c r="M45">
        <v>3865.1374999999998</v>
      </c>
      <c r="N45">
        <v>30899.252999999997</v>
      </c>
      <c r="O45">
        <v>11786.313</v>
      </c>
      <c r="P45">
        <v>-775.21219999999994</v>
      </c>
      <c r="Q45">
        <v>-0.20056523215538904</v>
      </c>
      <c r="R45">
        <v>0.3814432989690722</v>
      </c>
    </row>
    <row r="46" spans="1:18" x14ac:dyDescent="0.2">
      <c r="A46">
        <v>821</v>
      </c>
      <c r="B46">
        <v>118</v>
      </c>
      <c r="C46" s="1">
        <v>44935</v>
      </c>
      <c r="D46">
        <v>29</v>
      </c>
      <c r="E46">
        <v>5</v>
      </c>
      <c r="F46">
        <v>2991.7874999999999</v>
      </c>
      <c r="G46" t="s">
        <v>130</v>
      </c>
      <c r="H46" t="s">
        <v>19</v>
      </c>
      <c r="I46">
        <v>1889.55</v>
      </c>
      <c r="J46">
        <v>3149.25</v>
      </c>
      <c r="K46">
        <v>5</v>
      </c>
      <c r="L46">
        <v>3395.4995203823646</v>
      </c>
      <c r="M46">
        <v>224.52399999999997</v>
      </c>
      <c r="N46">
        <v>86761.837499999994</v>
      </c>
      <c r="O46">
        <v>31964.887499999997</v>
      </c>
      <c r="P46">
        <v>2767.2635</v>
      </c>
      <c r="Q46">
        <v>12.325023160107607</v>
      </c>
      <c r="R46">
        <v>0.36842105263157893</v>
      </c>
    </row>
    <row r="47" spans="1:18" x14ac:dyDescent="0.2">
      <c r="A47">
        <v>46</v>
      </c>
      <c r="B47">
        <v>125</v>
      </c>
      <c r="C47" s="1">
        <v>45362</v>
      </c>
      <c r="D47">
        <v>14</v>
      </c>
      <c r="E47">
        <v>7</v>
      </c>
      <c r="F47">
        <v>4046.4950999999996</v>
      </c>
      <c r="G47" t="s">
        <v>137</v>
      </c>
      <c r="H47" t="s">
        <v>8</v>
      </c>
      <c r="I47">
        <v>2610.6419999999998</v>
      </c>
      <c r="J47">
        <v>4351.07</v>
      </c>
      <c r="K47">
        <v>5</v>
      </c>
      <c r="L47">
        <v>4688.0643522763348</v>
      </c>
      <c r="M47">
        <v>5094.8040000000001</v>
      </c>
      <c r="N47">
        <v>56650.931399999994</v>
      </c>
      <c r="O47">
        <v>20101.943399999996</v>
      </c>
      <c r="P47">
        <v>-1048.3089000000004</v>
      </c>
      <c r="Q47">
        <v>-0.20576039824103154</v>
      </c>
      <c r="R47">
        <v>0.35483870967741932</v>
      </c>
    </row>
    <row r="48" spans="1:18" x14ac:dyDescent="0.2">
      <c r="A48">
        <v>810</v>
      </c>
      <c r="B48">
        <v>56</v>
      </c>
      <c r="C48" s="1">
        <v>45792</v>
      </c>
      <c r="D48">
        <v>5</v>
      </c>
      <c r="E48">
        <v>8</v>
      </c>
      <c r="F48">
        <v>7343.2560000000003</v>
      </c>
      <c r="G48" t="s">
        <v>68</v>
      </c>
      <c r="H48" t="s">
        <v>35</v>
      </c>
      <c r="I48">
        <v>4789.08</v>
      </c>
      <c r="J48">
        <v>7981.8</v>
      </c>
      <c r="K48">
        <v>5</v>
      </c>
      <c r="L48">
        <v>10183.894994765038</v>
      </c>
      <c r="M48">
        <v>3458.9274999999998</v>
      </c>
      <c r="N48">
        <v>36716.28</v>
      </c>
      <c r="O48">
        <v>12770.880000000001</v>
      </c>
      <c r="P48">
        <v>3884.3285000000005</v>
      </c>
      <c r="Q48">
        <v>1.1229863881217519</v>
      </c>
      <c r="R48">
        <v>0.34782608695652178</v>
      </c>
    </row>
    <row r="49" spans="1:18" x14ac:dyDescent="0.2">
      <c r="A49">
        <v>808</v>
      </c>
      <c r="B49">
        <v>141</v>
      </c>
      <c r="C49" s="1">
        <v>45419</v>
      </c>
      <c r="D49">
        <v>49</v>
      </c>
      <c r="E49">
        <v>8</v>
      </c>
      <c r="F49">
        <v>7235.9748</v>
      </c>
      <c r="G49" t="s">
        <v>153</v>
      </c>
      <c r="H49" t="s">
        <v>19</v>
      </c>
      <c r="I49">
        <v>4719.1139999999996</v>
      </c>
      <c r="J49">
        <v>7865.19</v>
      </c>
      <c r="K49">
        <v>5</v>
      </c>
      <c r="L49">
        <v>7949.1073826536312</v>
      </c>
      <c r="M49">
        <v>7586.8133333333344</v>
      </c>
      <c r="N49">
        <v>354562.76520000002</v>
      </c>
      <c r="O49">
        <v>123326.17920000001</v>
      </c>
      <c r="P49">
        <v>-350.83853333333445</v>
      </c>
      <c r="Q49">
        <v>-4.624320092230217E-2</v>
      </c>
      <c r="R49">
        <v>0.34782608695652173</v>
      </c>
    </row>
    <row r="50" spans="1:18" x14ac:dyDescent="0.2">
      <c r="A50">
        <v>49</v>
      </c>
      <c r="B50">
        <v>138</v>
      </c>
      <c r="C50" s="1">
        <v>45785</v>
      </c>
      <c r="D50">
        <v>42</v>
      </c>
      <c r="E50">
        <v>10</v>
      </c>
      <c r="F50">
        <v>2782.3409999999999</v>
      </c>
      <c r="G50" t="s">
        <v>150</v>
      </c>
      <c r="H50" t="s">
        <v>12</v>
      </c>
      <c r="I50">
        <v>1854.8939999999998</v>
      </c>
      <c r="J50">
        <v>3091.49</v>
      </c>
      <c r="K50">
        <v>5</v>
      </c>
      <c r="L50">
        <v>3153.8614469437111</v>
      </c>
      <c r="M50">
        <v>4980.4933333333329</v>
      </c>
      <c r="N50">
        <v>116858.322</v>
      </c>
      <c r="O50">
        <v>38952.774000000005</v>
      </c>
      <c r="P50">
        <v>-2198.152333333333</v>
      </c>
      <c r="Q50">
        <v>-0.44135232922039846</v>
      </c>
      <c r="R50">
        <v>0.33333333333333337</v>
      </c>
    </row>
    <row r="51" spans="1:18" x14ac:dyDescent="0.2">
      <c r="A51">
        <v>797</v>
      </c>
      <c r="B51">
        <v>74</v>
      </c>
      <c r="C51" s="1">
        <v>45068</v>
      </c>
      <c r="D51">
        <v>40</v>
      </c>
      <c r="E51">
        <v>8</v>
      </c>
      <c r="F51">
        <v>1752.7932000000001</v>
      </c>
      <c r="G51" t="s">
        <v>86</v>
      </c>
      <c r="H51" t="s">
        <v>17</v>
      </c>
      <c r="I51">
        <v>1143.126</v>
      </c>
      <c r="J51">
        <v>1905.21</v>
      </c>
      <c r="K51">
        <v>5</v>
      </c>
      <c r="L51">
        <v>1963.8049613548997</v>
      </c>
      <c r="M51">
        <v>2585.9039999999995</v>
      </c>
      <c r="N51">
        <v>70111.728000000003</v>
      </c>
      <c r="O51">
        <v>24386.688000000002</v>
      </c>
      <c r="P51">
        <v>-833.11079999999947</v>
      </c>
      <c r="Q51">
        <v>-0.3221739090082229</v>
      </c>
      <c r="R51">
        <v>0.34782608695652173</v>
      </c>
    </row>
    <row r="52" spans="1:18" x14ac:dyDescent="0.2">
      <c r="A52">
        <v>791</v>
      </c>
      <c r="B52">
        <v>38</v>
      </c>
      <c r="C52" s="1">
        <v>45014</v>
      </c>
      <c r="D52">
        <v>4</v>
      </c>
      <c r="E52">
        <v>10</v>
      </c>
      <c r="F52">
        <v>5935.9409999999998</v>
      </c>
      <c r="G52" t="s">
        <v>50</v>
      </c>
      <c r="H52" t="s">
        <v>17</v>
      </c>
      <c r="I52">
        <v>3957.2939999999999</v>
      </c>
      <c r="J52">
        <v>6595.49</v>
      </c>
      <c r="K52">
        <v>5</v>
      </c>
      <c r="L52">
        <v>6712.1489409621145</v>
      </c>
      <c r="M52">
        <v>517.86</v>
      </c>
      <c r="N52">
        <v>23743.763999999999</v>
      </c>
      <c r="O52">
        <v>7914.5879999999997</v>
      </c>
      <c r="P52">
        <v>5418.0810000000001</v>
      </c>
      <c r="Q52">
        <v>10.462443517553007</v>
      </c>
      <c r="R52">
        <v>0.33333333333333331</v>
      </c>
    </row>
    <row r="53" spans="1:18" x14ac:dyDescent="0.2">
      <c r="A53">
        <v>786</v>
      </c>
      <c r="B53">
        <v>92</v>
      </c>
      <c r="C53" s="1">
        <v>45677</v>
      </c>
      <c r="D53">
        <v>13</v>
      </c>
      <c r="E53">
        <v>4</v>
      </c>
      <c r="F53">
        <v>3434.8991999999998</v>
      </c>
      <c r="G53" t="s">
        <v>104</v>
      </c>
      <c r="H53" t="s">
        <v>19</v>
      </c>
      <c r="I53">
        <v>2146.8119999999999</v>
      </c>
      <c r="J53">
        <v>3578.02</v>
      </c>
      <c r="K53">
        <v>5</v>
      </c>
      <c r="L53">
        <v>3943.7143659506992</v>
      </c>
      <c r="M53">
        <v>5387.83</v>
      </c>
      <c r="N53">
        <v>44653.689599999998</v>
      </c>
      <c r="O53">
        <v>16745.133600000001</v>
      </c>
      <c r="P53">
        <v>-1952.9308000000001</v>
      </c>
      <c r="Q53">
        <v>-0.36247075353157027</v>
      </c>
      <c r="R53">
        <v>0.37500000000000006</v>
      </c>
    </row>
    <row r="54" spans="1:18" x14ac:dyDescent="0.2">
      <c r="A54">
        <v>784</v>
      </c>
      <c r="B54">
        <v>28</v>
      </c>
      <c r="C54" s="1">
        <v>45343</v>
      </c>
      <c r="D54">
        <v>2</v>
      </c>
      <c r="E54">
        <v>3</v>
      </c>
      <c r="F54">
        <v>5545.1214</v>
      </c>
      <c r="G54" t="s">
        <v>40</v>
      </c>
      <c r="H54" t="s">
        <v>8</v>
      </c>
      <c r="I54">
        <v>3429.9719999999998</v>
      </c>
      <c r="J54">
        <v>5716.62</v>
      </c>
      <c r="K54">
        <v>5</v>
      </c>
      <c r="L54">
        <v>6803.658921132147</v>
      </c>
      <c r="M54">
        <v>3542.9559999999997</v>
      </c>
      <c r="N54">
        <v>11090.2428</v>
      </c>
      <c r="O54">
        <v>4230.2988000000005</v>
      </c>
      <c r="P54">
        <v>2002.1654000000003</v>
      </c>
      <c r="Q54">
        <v>0.56511156220963521</v>
      </c>
      <c r="R54">
        <v>0.3814432989690722</v>
      </c>
    </row>
    <row r="55" spans="1:18" x14ac:dyDescent="0.2">
      <c r="A55">
        <v>783</v>
      </c>
      <c r="B55">
        <v>135</v>
      </c>
      <c r="C55" s="1">
        <v>45018</v>
      </c>
      <c r="D55">
        <v>48</v>
      </c>
      <c r="E55">
        <v>6</v>
      </c>
      <c r="F55">
        <v>7312.9273999999996</v>
      </c>
      <c r="G55" t="s">
        <v>147</v>
      </c>
      <c r="H55" t="s">
        <v>8</v>
      </c>
      <c r="I55">
        <v>4667.826</v>
      </c>
      <c r="J55">
        <v>7779.71</v>
      </c>
      <c r="K55">
        <v>5</v>
      </c>
      <c r="L55">
        <v>9587.6407846672337</v>
      </c>
      <c r="M55">
        <v>4172.7833333333338</v>
      </c>
      <c r="N55">
        <v>351020.51519999997</v>
      </c>
      <c r="O55">
        <v>126964.86719999998</v>
      </c>
      <c r="P55">
        <v>3140.1440666666658</v>
      </c>
      <c r="Q55">
        <v>0.75252986216234541</v>
      </c>
      <c r="R55">
        <v>0.36170212765957444</v>
      </c>
    </row>
    <row r="56" spans="1:18" x14ac:dyDescent="0.2">
      <c r="A56">
        <v>773</v>
      </c>
      <c r="B56">
        <v>139</v>
      </c>
      <c r="C56" s="1">
        <v>45243</v>
      </c>
      <c r="D56">
        <v>36</v>
      </c>
      <c r="E56">
        <v>8</v>
      </c>
      <c r="F56">
        <v>2383.7936</v>
      </c>
      <c r="G56" t="s">
        <v>151</v>
      </c>
      <c r="H56" t="s">
        <v>17</v>
      </c>
      <c r="I56">
        <v>1554.6479999999999</v>
      </c>
      <c r="J56">
        <v>2591.08</v>
      </c>
      <c r="K56">
        <v>5</v>
      </c>
      <c r="L56">
        <v>2694.2355681718591</v>
      </c>
      <c r="M56">
        <v>2839.1733333333336</v>
      </c>
      <c r="N56">
        <v>85816.569600000003</v>
      </c>
      <c r="O56">
        <v>29849.241600000001</v>
      </c>
      <c r="P56">
        <v>-455.37973333333366</v>
      </c>
      <c r="Q56">
        <v>-0.16039166330105487</v>
      </c>
      <c r="R56">
        <v>0.34782608695652173</v>
      </c>
    </row>
    <row r="57" spans="1:18" x14ac:dyDescent="0.2">
      <c r="A57">
        <v>761</v>
      </c>
      <c r="B57">
        <v>9</v>
      </c>
      <c r="C57" s="1">
        <v>45072</v>
      </c>
      <c r="D57">
        <v>28</v>
      </c>
      <c r="E57">
        <v>9</v>
      </c>
      <c r="F57">
        <v>2606.1035000000002</v>
      </c>
      <c r="G57" t="s">
        <v>20</v>
      </c>
      <c r="H57" t="s">
        <v>8</v>
      </c>
      <c r="I57">
        <v>1718.31</v>
      </c>
      <c r="J57">
        <v>2863.85</v>
      </c>
      <c r="K57">
        <v>5</v>
      </c>
      <c r="L57">
        <v>2996.3606424966447</v>
      </c>
      <c r="M57">
        <v>6325.1699999999992</v>
      </c>
      <c r="N57">
        <v>72970.898000000001</v>
      </c>
      <c r="O57">
        <v>24858.218000000008</v>
      </c>
      <c r="P57">
        <v>-3719.066499999999</v>
      </c>
      <c r="Q57">
        <v>-0.58797890017185306</v>
      </c>
      <c r="R57">
        <v>0.34065934065934078</v>
      </c>
    </row>
    <row r="58" spans="1:18" x14ac:dyDescent="0.2">
      <c r="A58">
        <v>760</v>
      </c>
      <c r="B58">
        <v>139</v>
      </c>
      <c r="C58" s="1">
        <v>45698</v>
      </c>
      <c r="D58">
        <v>50</v>
      </c>
      <c r="E58">
        <v>2</v>
      </c>
      <c r="F58">
        <v>2539.2583999999997</v>
      </c>
      <c r="G58" t="s">
        <v>151</v>
      </c>
      <c r="H58" t="s">
        <v>17</v>
      </c>
      <c r="I58">
        <v>1554.6479999999999</v>
      </c>
      <c r="J58">
        <v>2591.08</v>
      </c>
      <c r="K58">
        <v>5</v>
      </c>
      <c r="L58">
        <v>3038.2307582838093</v>
      </c>
      <c r="M58">
        <v>2839.1733333333336</v>
      </c>
      <c r="N58">
        <v>126962.91999999998</v>
      </c>
      <c r="O58">
        <v>49230.51999999999</v>
      </c>
      <c r="P58">
        <v>-299.91493333333392</v>
      </c>
      <c r="Q58">
        <v>-0.10563459786416723</v>
      </c>
      <c r="R58">
        <v>0.38775510204081631</v>
      </c>
    </row>
    <row r="59" spans="1:18" x14ac:dyDescent="0.2">
      <c r="A59">
        <v>758</v>
      </c>
      <c r="B59">
        <v>61</v>
      </c>
      <c r="C59" s="1">
        <v>45571</v>
      </c>
      <c r="D59">
        <v>9</v>
      </c>
      <c r="E59">
        <v>8</v>
      </c>
      <c r="F59">
        <v>2246.8607999999999</v>
      </c>
      <c r="G59" t="s">
        <v>73</v>
      </c>
      <c r="H59" t="s">
        <v>6</v>
      </c>
      <c r="I59">
        <v>1465.3439999999998</v>
      </c>
      <c r="J59">
        <v>2442.2399999999998</v>
      </c>
      <c r="K59">
        <v>5</v>
      </c>
      <c r="L59">
        <v>2648.3965535890679</v>
      </c>
      <c r="M59">
        <v>411.75600000000003</v>
      </c>
      <c r="N59">
        <v>20221.747199999998</v>
      </c>
      <c r="O59">
        <v>7033.6512000000012</v>
      </c>
      <c r="P59">
        <v>1835.1047999999998</v>
      </c>
      <c r="Q59">
        <v>4.4567773147203678</v>
      </c>
      <c r="R59">
        <v>0.34782608695652184</v>
      </c>
    </row>
    <row r="60" spans="1:18" x14ac:dyDescent="0.2">
      <c r="A60">
        <v>755</v>
      </c>
      <c r="B60">
        <v>47</v>
      </c>
      <c r="C60" s="1">
        <v>45042</v>
      </c>
      <c r="D60">
        <v>25</v>
      </c>
      <c r="E60">
        <v>9</v>
      </c>
      <c r="F60">
        <v>3106.3578000000002</v>
      </c>
      <c r="G60" t="s">
        <v>59</v>
      </c>
      <c r="H60" t="s">
        <v>10</v>
      </c>
      <c r="I60">
        <v>2048.1479999999997</v>
      </c>
      <c r="J60">
        <v>3413.58</v>
      </c>
      <c r="K60">
        <v>5</v>
      </c>
      <c r="L60">
        <v>3668.5562295698742</v>
      </c>
      <c r="M60">
        <v>2051.0440000000003</v>
      </c>
      <c r="N60">
        <v>77658.945000000007</v>
      </c>
      <c r="O60">
        <v>26455.245000000014</v>
      </c>
      <c r="P60">
        <v>1055.3137999999999</v>
      </c>
      <c r="Q60">
        <v>0.51452518814808446</v>
      </c>
      <c r="R60">
        <v>0.34065934065934078</v>
      </c>
    </row>
    <row r="61" spans="1:18" x14ac:dyDescent="0.2">
      <c r="A61">
        <v>747</v>
      </c>
      <c r="B61">
        <v>126</v>
      </c>
      <c r="C61" s="1">
        <v>46013</v>
      </c>
      <c r="D61">
        <v>14</v>
      </c>
      <c r="E61">
        <v>4</v>
      </c>
      <c r="F61">
        <v>972.70079999999996</v>
      </c>
      <c r="G61" t="s">
        <v>138</v>
      </c>
      <c r="H61" t="s">
        <v>12</v>
      </c>
      <c r="I61">
        <v>607.93799999999999</v>
      </c>
      <c r="J61">
        <v>1013.23</v>
      </c>
      <c r="K61">
        <v>5</v>
      </c>
      <c r="L61">
        <v>1095.9504059533529</v>
      </c>
      <c r="M61">
        <v>7593.0025000000005</v>
      </c>
      <c r="N61">
        <v>13617.8112</v>
      </c>
      <c r="O61">
        <v>5106.6791999999996</v>
      </c>
      <c r="P61">
        <v>-6620.3017000000009</v>
      </c>
      <c r="Q61">
        <v>-0.87189510341923371</v>
      </c>
      <c r="R61">
        <v>0.37499999999999994</v>
      </c>
    </row>
    <row r="62" spans="1:18" x14ac:dyDescent="0.2">
      <c r="A62">
        <v>741</v>
      </c>
      <c r="B62">
        <v>135</v>
      </c>
      <c r="C62" s="1">
        <v>45617</v>
      </c>
      <c r="D62">
        <v>30</v>
      </c>
      <c r="E62">
        <v>7</v>
      </c>
      <c r="F62">
        <v>7235.1302999999998</v>
      </c>
      <c r="G62" t="s">
        <v>147</v>
      </c>
      <c r="H62" t="s">
        <v>8</v>
      </c>
      <c r="I62">
        <v>4667.826</v>
      </c>
      <c r="J62">
        <v>7779.71</v>
      </c>
      <c r="K62">
        <v>5</v>
      </c>
      <c r="L62">
        <v>8819.99650146567</v>
      </c>
      <c r="M62">
        <v>4172.7833333333338</v>
      </c>
      <c r="N62">
        <v>217053.90899999999</v>
      </c>
      <c r="O62">
        <v>77019.128999999986</v>
      </c>
      <c r="P62">
        <v>3062.346966666666</v>
      </c>
      <c r="Q62">
        <v>0.73388592745849068</v>
      </c>
      <c r="R62">
        <v>0.35483870967741932</v>
      </c>
    </row>
    <row r="63" spans="1:18" x14ac:dyDescent="0.2">
      <c r="A63">
        <v>730</v>
      </c>
      <c r="B63">
        <v>130</v>
      </c>
      <c r="C63" s="1">
        <v>45671</v>
      </c>
      <c r="D63">
        <v>15</v>
      </c>
      <c r="E63">
        <v>7</v>
      </c>
      <c r="F63">
        <v>2962.5056999999997</v>
      </c>
      <c r="G63" t="s">
        <v>142</v>
      </c>
      <c r="H63" t="s">
        <v>12</v>
      </c>
      <c r="I63">
        <v>1911.2939999999999</v>
      </c>
      <c r="J63">
        <v>3185.49</v>
      </c>
      <c r="K63">
        <v>5</v>
      </c>
      <c r="L63">
        <v>3324.9763578046718</v>
      </c>
      <c r="M63">
        <v>3865.1374999999998</v>
      </c>
      <c r="N63">
        <v>44437.585499999994</v>
      </c>
      <c r="O63">
        <v>15768.175499999998</v>
      </c>
      <c r="P63">
        <v>-902.63180000000011</v>
      </c>
      <c r="Q63">
        <v>-0.2335316143345483</v>
      </c>
      <c r="R63">
        <v>0.35483870967741937</v>
      </c>
    </row>
    <row r="64" spans="1:18" x14ac:dyDescent="0.2">
      <c r="A64">
        <v>722</v>
      </c>
      <c r="B64">
        <v>139</v>
      </c>
      <c r="C64" s="1">
        <v>45911</v>
      </c>
      <c r="D64">
        <v>3</v>
      </c>
      <c r="E64">
        <v>5</v>
      </c>
      <c r="F64">
        <v>2461.5259999999998</v>
      </c>
      <c r="G64" t="s">
        <v>151</v>
      </c>
      <c r="H64" t="s">
        <v>17</v>
      </c>
      <c r="I64">
        <v>1554.6479999999999</v>
      </c>
      <c r="J64">
        <v>2591.08</v>
      </c>
      <c r="K64">
        <v>5</v>
      </c>
      <c r="L64">
        <v>3358.5674624961944</v>
      </c>
      <c r="M64">
        <v>2839.1733333333336</v>
      </c>
      <c r="N64">
        <v>7384.5779999999995</v>
      </c>
      <c r="O64">
        <v>2720.634</v>
      </c>
      <c r="P64">
        <v>-377.64733333333379</v>
      </c>
      <c r="Q64">
        <v>-0.13301313058261105</v>
      </c>
      <c r="R64">
        <v>0.36842105263157898</v>
      </c>
    </row>
    <row r="65" spans="1:18" x14ac:dyDescent="0.2">
      <c r="A65">
        <v>710</v>
      </c>
      <c r="B65">
        <v>23</v>
      </c>
      <c r="C65" s="1">
        <v>45506</v>
      </c>
      <c r="D65">
        <v>3</v>
      </c>
      <c r="E65">
        <v>3</v>
      </c>
      <c r="F65">
        <v>3844.498</v>
      </c>
      <c r="G65" t="s">
        <v>34</v>
      </c>
      <c r="H65" t="s">
        <v>35</v>
      </c>
      <c r="I65">
        <v>2378.04</v>
      </c>
      <c r="J65">
        <v>3963.4</v>
      </c>
      <c r="K65">
        <v>5</v>
      </c>
      <c r="L65">
        <v>5121.912519345271</v>
      </c>
      <c r="M65">
        <v>5343.3279999999995</v>
      </c>
      <c r="N65">
        <v>11533.494000000001</v>
      </c>
      <c r="O65">
        <v>4399.3739999999998</v>
      </c>
      <c r="P65">
        <v>-1498.8299999999995</v>
      </c>
      <c r="Q65">
        <v>-0.28050495870738229</v>
      </c>
      <c r="R65">
        <v>0.38144329896907214</v>
      </c>
    </row>
    <row r="66" spans="1:18" x14ac:dyDescent="0.2">
      <c r="A66">
        <v>65</v>
      </c>
      <c r="B66">
        <v>125</v>
      </c>
      <c r="C66" s="1">
        <v>45692</v>
      </c>
      <c r="D66">
        <v>24</v>
      </c>
      <c r="E66">
        <v>4</v>
      </c>
      <c r="F66">
        <v>4177.0271999999995</v>
      </c>
      <c r="G66" t="s">
        <v>137</v>
      </c>
      <c r="H66" t="s">
        <v>8</v>
      </c>
      <c r="I66">
        <v>2610.6419999999998</v>
      </c>
      <c r="J66">
        <v>4351.07</v>
      </c>
      <c r="K66">
        <v>5</v>
      </c>
      <c r="L66">
        <v>5469.9757295197842</v>
      </c>
      <c r="M66">
        <v>5094.8040000000001</v>
      </c>
      <c r="N66">
        <v>100248.65279999998</v>
      </c>
      <c r="O66">
        <v>37593.244799999993</v>
      </c>
      <c r="P66">
        <v>-917.77680000000055</v>
      </c>
      <c r="Q66">
        <v>-0.18013976592622613</v>
      </c>
      <c r="R66">
        <v>0.375</v>
      </c>
    </row>
    <row r="67" spans="1:18" x14ac:dyDescent="0.2">
      <c r="A67">
        <v>705</v>
      </c>
      <c r="B67">
        <v>56</v>
      </c>
      <c r="C67" s="1">
        <v>45699</v>
      </c>
      <c r="D67">
        <v>27</v>
      </c>
      <c r="E67">
        <v>7</v>
      </c>
      <c r="F67">
        <v>7423.0739999999996</v>
      </c>
      <c r="G67" t="s">
        <v>68</v>
      </c>
      <c r="H67" t="s">
        <v>35</v>
      </c>
      <c r="I67">
        <v>4789.08</v>
      </c>
      <c r="J67">
        <v>7981.8</v>
      </c>
      <c r="K67">
        <v>5</v>
      </c>
      <c r="L67">
        <v>10370.746557352233</v>
      </c>
      <c r="M67">
        <v>3458.9274999999998</v>
      </c>
      <c r="N67">
        <v>200422.99799999999</v>
      </c>
      <c r="O67">
        <v>71117.837999999989</v>
      </c>
      <c r="P67">
        <v>3964.1464999999998</v>
      </c>
      <c r="Q67">
        <v>1.146062327123075</v>
      </c>
      <c r="R67">
        <v>0.35483870967741932</v>
      </c>
    </row>
    <row r="68" spans="1:18" x14ac:dyDescent="0.2">
      <c r="A68">
        <v>693</v>
      </c>
      <c r="B68">
        <v>61</v>
      </c>
      <c r="C68" s="1">
        <v>45654</v>
      </c>
      <c r="D68">
        <v>16</v>
      </c>
      <c r="E68">
        <v>3</v>
      </c>
      <c r="F68">
        <v>2368.9727999999996</v>
      </c>
      <c r="G68" t="s">
        <v>73</v>
      </c>
      <c r="H68" t="s">
        <v>6</v>
      </c>
      <c r="I68">
        <v>1465.3439999999998</v>
      </c>
      <c r="J68">
        <v>2442.2399999999998</v>
      </c>
      <c r="K68">
        <v>5</v>
      </c>
      <c r="L68">
        <v>2620.6785654536166</v>
      </c>
      <c r="M68">
        <v>411.75600000000003</v>
      </c>
      <c r="N68">
        <v>37903.564799999993</v>
      </c>
      <c r="O68">
        <v>14458.060799999996</v>
      </c>
      <c r="P68">
        <v>1957.2167999999995</v>
      </c>
      <c r="Q68">
        <v>4.7533412992160393</v>
      </c>
      <c r="R68">
        <v>0.38144329896907214</v>
      </c>
    </row>
    <row r="69" spans="1:18" x14ac:dyDescent="0.2">
      <c r="A69">
        <v>688</v>
      </c>
      <c r="B69">
        <v>130</v>
      </c>
      <c r="C69" s="1">
        <v>45363</v>
      </c>
      <c r="D69">
        <v>46</v>
      </c>
      <c r="E69">
        <v>10</v>
      </c>
      <c r="F69">
        <v>2866.9409999999998</v>
      </c>
      <c r="G69" t="s">
        <v>142</v>
      </c>
      <c r="H69" t="s">
        <v>12</v>
      </c>
      <c r="I69">
        <v>1911.2939999999999</v>
      </c>
      <c r="J69">
        <v>3185.49</v>
      </c>
      <c r="K69">
        <v>5</v>
      </c>
      <c r="L69">
        <v>3516.5447825019814</v>
      </c>
      <c r="M69">
        <v>3865.1374999999998</v>
      </c>
      <c r="N69">
        <v>131879.28599999999</v>
      </c>
      <c r="O69">
        <v>43959.761999999995</v>
      </c>
      <c r="P69">
        <v>-998.19650000000001</v>
      </c>
      <c r="Q69">
        <v>-0.25825640096891767</v>
      </c>
      <c r="R69">
        <v>0.33333333333333331</v>
      </c>
    </row>
    <row r="70" spans="1:18" x14ac:dyDescent="0.2">
      <c r="A70">
        <v>678</v>
      </c>
      <c r="B70">
        <v>126</v>
      </c>
      <c r="C70" s="1">
        <v>45484</v>
      </c>
      <c r="D70">
        <v>7</v>
      </c>
      <c r="E70">
        <v>9</v>
      </c>
      <c r="F70">
        <v>922.03930000000003</v>
      </c>
      <c r="G70" t="s">
        <v>138</v>
      </c>
      <c r="H70" t="s">
        <v>12</v>
      </c>
      <c r="I70">
        <v>607.93799999999999</v>
      </c>
      <c r="J70">
        <v>1013.23</v>
      </c>
      <c r="K70">
        <v>5</v>
      </c>
      <c r="L70">
        <v>1119.9693055310322</v>
      </c>
      <c r="M70">
        <v>7593.0025000000005</v>
      </c>
      <c r="N70">
        <v>6454.2750999999998</v>
      </c>
      <c r="O70">
        <v>2198.7091</v>
      </c>
      <c r="P70">
        <v>-6670.9632000000001</v>
      </c>
      <c r="Q70">
        <v>-0.87856723344948195</v>
      </c>
      <c r="R70">
        <v>0.34065934065934067</v>
      </c>
    </row>
    <row r="71" spans="1:18" x14ac:dyDescent="0.2">
      <c r="A71">
        <v>670</v>
      </c>
      <c r="B71">
        <v>126</v>
      </c>
      <c r="C71" s="1">
        <v>45186</v>
      </c>
      <c r="D71">
        <v>10</v>
      </c>
      <c r="E71">
        <v>7</v>
      </c>
      <c r="F71">
        <v>942.3039</v>
      </c>
      <c r="G71" t="s">
        <v>138</v>
      </c>
      <c r="H71" t="s">
        <v>12</v>
      </c>
      <c r="I71">
        <v>607.93799999999999</v>
      </c>
      <c r="J71">
        <v>1013.23</v>
      </c>
      <c r="K71">
        <v>5</v>
      </c>
      <c r="L71">
        <v>1255.3524076074291</v>
      </c>
      <c r="M71">
        <v>7593.0025000000005</v>
      </c>
      <c r="N71">
        <v>9423.0390000000007</v>
      </c>
      <c r="O71">
        <v>3343.6590000000001</v>
      </c>
      <c r="P71">
        <v>-6650.6986000000006</v>
      </c>
      <c r="Q71">
        <v>-0.87589838143738263</v>
      </c>
      <c r="R71">
        <v>0.35483870967741932</v>
      </c>
    </row>
    <row r="72" spans="1:18" x14ac:dyDescent="0.2">
      <c r="A72">
        <v>662</v>
      </c>
      <c r="B72">
        <v>125</v>
      </c>
      <c r="C72" s="1">
        <v>45487</v>
      </c>
      <c r="D72">
        <v>47</v>
      </c>
      <c r="E72">
        <v>4</v>
      </c>
      <c r="F72">
        <v>4177.0271999999995</v>
      </c>
      <c r="G72" t="s">
        <v>137</v>
      </c>
      <c r="H72" t="s">
        <v>8</v>
      </c>
      <c r="I72">
        <v>2610.6419999999998</v>
      </c>
      <c r="J72">
        <v>4351.07</v>
      </c>
      <c r="K72">
        <v>5</v>
      </c>
      <c r="L72">
        <v>4845.3549941536903</v>
      </c>
      <c r="M72">
        <v>5094.8040000000001</v>
      </c>
      <c r="N72">
        <v>196320.27839999998</v>
      </c>
      <c r="O72">
        <v>73620.104399999982</v>
      </c>
      <c r="P72">
        <v>-917.77680000000055</v>
      </c>
      <c r="Q72">
        <v>-0.18013976592622613</v>
      </c>
      <c r="R72">
        <v>0.37499999999999994</v>
      </c>
    </row>
    <row r="73" spans="1:18" x14ac:dyDescent="0.2">
      <c r="A73">
        <v>655</v>
      </c>
      <c r="B73">
        <v>28</v>
      </c>
      <c r="C73" s="1">
        <v>45957</v>
      </c>
      <c r="D73">
        <v>18</v>
      </c>
      <c r="E73">
        <v>10</v>
      </c>
      <c r="F73">
        <v>5144.9579999999996</v>
      </c>
      <c r="G73" t="s">
        <v>40</v>
      </c>
      <c r="H73" t="s">
        <v>8</v>
      </c>
      <c r="I73">
        <v>3429.9719999999998</v>
      </c>
      <c r="J73">
        <v>5716.62</v>
      </c>
      <c r="K73">
        <v>5</v>
      </c>
      <c r="L73">
        <v>6647.4592122556096</v>
      </c>
      <c r="M73">
        <v>3542.9559999999997</v>
      </c>
      <c r="N73">
        <v>92609.243999999992</v>
      </c>
      <c r="O73">
        <v>30869.748</v>
      </c>
      <c r="P73">
        <v>1602.002</v>
      </c>
      <c r="Q73">
        <v>0.45216536699863052</v>
      </c>
      <c r="R73">
        <v>0.33333333333333337</v>
      </c>
    </row>
    <row r="74" spans="1:18" x14ac:dyDescent="0.2">
      <c r="A74">
        <v>652</v>
      </c>
      <c r="B74">
        <v>74</v>
      </c>
      <c r="C74" s="1">
        <v>45715</v>
      </c>
      <c r="D74">
        <v>17</v>
      </c>
      <c r="E74">
        <v>5</v>
      </c>
      <c r="F74">
        <v>1809.9494999999999</v>
      </c>
      <c r="G74" t="s">
        <v>86</v>
      </c>
      <c r="H74" t="s">
        <v>17</v>
      </c>
      <c r="I74">
        <v>1143.126</v>
      </c>
      <c r="J74">
        <v>1905.21</v>
      </c>
      <c r="K74">
        <v>5</v>
      </c>
      <c r="L74">
        <v>2201.2180491824752</v>
      </c>
      <c r="M74">
        <v>2585.9039999999995</v>
      </c>
      <c r="N74">
        <v>30769.141499999998</v>
      </c>
      <c r="O74">
        <v>11335.9995</v>
      </c>
      <c r="P74">
        <v>-775.9544999999996</v>
      </c>
      <c r="Q74">
        <v>-0.30007088430196932</v>
      </c>
      <c r="R74">
        <v>0.36842105263157898</v>
      </c>
    </row>
    <row r="75" spans="1:18" x14ac:dyDescent="0.2">
      <c r="A75">
        <v>650</v>
      </c>
      <c r="B75">
        <v>138</v>
      </c>
      <c r="C75" s="1">
        <v>45746</v>
      </c>
      <c r="D75">
        <v>21</v>
      </c>
      <c r="E75">
        <v>10</v>
      </c>
      <c r="F75">
        <v>2782.3409999999999</v>
      </c>
      <c r="G75" t="s">
        <v>150</v>
      </c>
      <c r="H75" t="s">
        <v>12</v>
      </c>
      <c r="I75">
        <v>1854.8939999999998</v>
      </c>
      <c r="J75">
        <v>3091.49</v>
      </c>
      <c r="K75">
        <v>5</v>
      </c>
      <c r="L75">
        <v>3208.1140502710464</v>
      </c>
      <c r="M75">
        <v>4980.4933333333329</v>
      </c>
      <c r="N75">
        <v>58429.161</v>
      </c>
      <c r="O75">
        <v>19476.387000000002</v>
      </c>
      <c r="P75">
        <v>-2198.152333333333</v>
      </c>
      <c r="Q75">
        <v>-0.44135232922039846</v>
      </c>
      <c r="R75">
        <v>0.33333333333333337</v>
      </c>
    </row>
    <row r="76" spans="1:18" x14ac:dyDescent="0.2">
      <c r="A76">
        <v>75</v>
      </c>
      <c r="B76">
        <v>116</v>
      </c>
      <c r="C76" s="1">
        <v>45828</v>
      </c>
      <c r="D76">
        <v>30</v>
      </c>
      <c r="E76">
        <v>9</v>
      </c>
      <c r="F76">
        <v>2150.4665</v>
      </c>
      <c r="G76" t="s">
        <v>128</v>
      </c>
      <c r="H76" t="s">
        <v>19</v>
      </c>
      <c r="I76">
        <v>1417.89</v>
      </c>
      <c r="J76">
        <v>2363.15</v>
      </c>
      <c r="K76">
        <v>5</v>
      </c>
      <c r="L76">
        <v>2681.421864678653</v>
      </c>
      <c r="M76">
        <v>4469.4999999999991</v>
      </c>
      <c r="N76">
        <v>64513.995000000003</v>
      </c>
      <c r="O76">
        <v>21977.294999999998</v>
      </c>
      <c r="P76">
        <v>-2319.0334999999991</v>
      </c>
      <c r="Q76">
        <v>-0.51885747846515262</v>
      </c>
      <c r="R76">
        <v>0.34065934065934061</v>
      </c>
    </row>
    <row r="77" spans="1:18" x14ac:dyDescent="0.2">
      <c r="A77">
        <v>76</v>
      </c>
      <c r="B77">
        <v>126</v>
      </c>
      <c r="C77" s="1">
        <v>44937</v>
      </c>
      <c r="D77">
        <v>40</v>
      </c>
      <c r="E77">
        <v>9</v>
      </c>
      <c r="F77">
        <v>922.03930000000003</v>
      </c>
      <c r="G77" t="s">
        <v>138</v>
      </c>
      <c r="H77" t="s">
        <v>12</v>
      </c>
      <c r="I77">
        <v>607.93799999999999</v>
      </c>
      <c r="J77">
        <v>1013.23</v>
      </c>
      <c r="K77">
        <v>5</v>
      </c>
      <c r="L77">
        <v>1054.7528431800156</v>
      </c>
      <c r="M77">
        <v>7593.0025000000005</v>
      </c>
      <c r="N77">
        <v>36881.572</v>
      </c>
      <c r="O77">
        <v>12564.052000000001</v>
      </c>
      <c r="P77">
        <v>-6670.9632000000001</v>
      </c>
      <c r="Q77">
        <v>-0.87856723344948195</v>
      </c>
      <c r="R77">
        <v>0.34065934065934073</v>
      </c>
    </row>
    <row r="78" spans="1:18" x14ac:dyDescent="0.2">
      <c r="A78">
        <v>645</v>
      </c>
      <c r="B78">
        <v>139</v>
      </c>
      <c r="C78" s="1">
        <v>45827</v>
      </c>
      <c r="D78">
        <v>41</v>
      </c>
      <c r="E78">
        <v>6</v>
      </c>
      <c r="F78">
        <v>2435.6151999999997</v>
      </c>
      <c r="G78" t="s">
        <v>151</v>
      </c>
      <c r="H78" t="s">
        <v>17</v>
      </c>
      <c r="I78">
        <v>1554.6479999999999</v>
      </c>
      <c r="J78">
        <v>2591.08</v>
      </c>
      <c r="K78">
        <v>5</v>
      </c>
      <c r="L78">
        <v>3010.4511868513782</v>
      </c>
      <c r="M78">
        <v>2839.1733333333336</v>
      </c>
      <c r="N78">
        <v>99860.223199999993</v>
      </c>
      <c r="O78">
        <v>36119.655199999994</v>
      </c>
      <c r="P78">
        <v>-403.5581333333339</v>
      </c>
      <c r="Q78">
        <v>-0.14213930815542572</v>
      </c>
      <c r="R78">
        <v>0.36170212765957444</v>
      </c>
    </row>
    <row r="79" spans="1:18" x14ac:dyDescent="0.2">
      <c r="A79">
        <v>634</v>
      </c>
      <c r="B79">
        <v>92</v>
      </c>
      <c r="C79" s="1">
        <v>45901</v>
      </c>
      <c r="D79">
        <v>12</v>
      </c>
      <c r="E79">
        <v>8</v>
      </c>
      <c r="F79">
        <v>3291.7784000000001</v>
      </c>
      <c r="G79" t="s">
        <v>104</v>
      </c>
      <c r="H79" t="s">
        <v>19</v>
      </c>
      <c r="I79">
        <v>2146.8119999999999</v>
      </c>
      <c r="J79">
        <v>3578.02</v>
      </c>
      <c r="K79">
        <v>5</v>
      </c>
      <c r="L79">
        <v>3870.9729565039338</v>
      </c>
      <c r="M79">
        <v>5387.83</v>
      </c>
      <c r="N79">
        <v>39501.340800000005</v>
      </c>
      <c r="O79">
        <v>13739.596800000003</v>
      </c>
      <c r="P79">
        <v>-2096.0515999999998</v>
      </c>
      <c r="Q79">
        <v>-0.38903447213442144</v>
      </c>
      <c r="R79">
        <v>0.34782608695652178</v>
      </c>
    </row>
    <row r="80" spans="1:18" x14ac:dyDescent="0.2">
      <c r="A80">
        <v>629</v>
      </c>
      <c r="B80">
        <v>130</v>
      </c>
      <c r="C80" s="1">
        <v>45340</v>
      </c>
      <c r="D80">
        <v>25</v>
      </c>
      <c r="E80">
        <v>5</v>
      </c>
      <c r="F80">
        <v>3026.2154999999998</v>
      </c>
      <c r="G80" t="s">
        <v>142</v>
      </c>
      <c r="H80" t="s">
        <v>12</v>
      </c>
      <c r="I80">
        <v>1911.2939999999999</v>
      </c>
      <c r="J80">
        <v>3185.49</v>
      </c>
      <c r="K80">
        <v>5</v>
      </c>
      <c r="L80">
        <v>3626.8009820024445</v>
      </c>
      <c r="M80">
        <v>3865.1374999999998</v>
      </c>
      <c r="N80">
        <v>75655.387499999997</v>
      </c>
      <c r="O80">
        <v>27873.037499999999</v>
      </c>
      <c r="P80">
        <v>-838.92200000000003</v>
      </c>
      <c r="Q80">
        <v>-0.21704842324496867</v>
      </c>
      <c r="R80">
        <v>0.36842105263157893</v>
      </c>
    </row>
    <row r="81" spans="1:18" x14ac:dyDescent="0.2">
      <c r="A81">
        <v>628</v>
      </c>
      <c r="B81">
        <v>118</v>
      </c>
      <c r="C81" s="1">
        <v>45816</v>
      </c>
      <c r="D81">
        <v>18</v>
      </c>
      <c r="E81">
        <v>8</v>
      </c>
      <c r="F81">
        <v>2897.31</v>
      </c>
      <c r="G81" t="s">
        <v>130</v>
      </c>
      <c r="H81" t="s">
        <v>19</v>
      </c>
      <c r="I81">
        <v>1889.55</v>
      </c>
      <c r="J81">
        <v>3149.25</v>
      </c>
      <c r="K81">
        <v>5</v>
      </c>
      <c r="L81">
        <v>3381.9647923399052</v>
      </c>
      <c r="M81">
        <v>224.52399999999997</v>
      </c>
      <c r="N81">
        <v>52151.58</v>
      </c>
      <c r="O81">
        <v>18139.68</v>
      </c>
      <c r="P81">
        <v>2672.7860000000001</v>
      </c>
      <c r="Q81">
        <v>11.904232955051578</v>
      </c>
      <c r="R81">
        <v>0.34782608695652173</v>
      </c>
    </row>
    <row r="82" spans="1:18" x14ac:dyDescent="0.2">
      <c r="A82">
        <v>623</v>
      </c>
      <c r="B82">
        <v>13</v>
      </c>
      <c r="C82" s="1">
        <v>45636</v>
      </c>
      <c r="D82">
        <v>28</v>
      </c>
      <c r="E82">
        <v>7</v>
      </c>
      <c r="F82">
        <v>1671.2657999999999</v>
      </c>
      <c r="G82" t="s">
        <v>24</v>
      </c>
      <c r="H82" t="s">
        <v>12</v>
      </c>
      <c r="I82">
        <v>1078.2359999999999</v>
      </c>
      <c r="J82">
        <v>1797.06</v>
      </c>
      <c r="K82">
        <v>5</v>
      </c>
      <c r="L82">
        <v>1932.0253154227346</v>
      </c>
      <c r="M82">
        <v>1712.5580000000002</v>
      </c>
      <c r="N82">
        <v>46795.4424</v>
      </c>
      <c r="O82">
        <v>16604.8344</v>
      </c>
      <c r="P82">
        <v>-41.292200000000321</v>
      </c>
      <c r="Q82">
        <v>-2.4111416956389398E-2</v>
      </c>
      <c r="R82">
        <v>0.35483870967741937</v>
      </c>
    </row>
    <row r="83" spans="1:18" x14ac:dyDescent="0.2">
      <c r="A83">
        <v>617</v>
      </c>
      <c r="B83">
        <v>132</v>
      </c>
      <c r="C83" s="1">
        <v>45911</v>
      </c>
      <c r="D83">
        <v>46</v>
      </c>
      <c r="E83">
        <v>3</v>
      </c>
      <c r="F83">
        <v>5323.6800999999996</v>
      </c>
      <c r="G83" t="s">
        <v>144</v>
      </c>
      <c r="H83" t="s">
        <v>12</v>
      </c>
      <c r="I83">
        <v>3292.998</v>
      </c>
      <c r="J83">
        <v>5488.33</v>
      </c>
      <c r="K83">
        <v>5</v>
      </c>
      <c r="L83">
        <v>6773.7490516712969</v>
      </c>
      <c r="M83">
        <v>3374.6533333333332</v>
      </c>
      <c r="N83">
        <v>244889.28459999998</v>
      </c>
      <c r="O83">
        <v>93411.376599999974</v>
      </c>
      <c r="P83">
        <v>1949.0267666666664</v>
      </c>
      <c r="Q83">
        <v>0.57754873587015354</v>
      </c>
      <c r="R83">
        <v>0.38144329896907209</v>
      </c>
    </row>
    <row r="84" spans="1:18" x14ac:dyDescent="0.2">
      <c r="A84">
        <v>615</v>
      </c>
      <c r="B84">
        <v>6</v>
      </c>
      <c r="C84" s="1">
        <v>45999</v>
      </c>
      <c r="D84">
        <v>40</v>
      </c>
      <c r="E84">
        <v>8</v>
      </c>
      <c r="F84">
        <v>3795.1656000000003</v>
      </c>
      <c r="G84" t="s">
        <v>15</v>
      </c>
      <c r="H84" t="s">
        <v>8</v>
      </c>
      <c r="I84">
        <v>2475.1080000000002</v>
      </c>
      <c r="J84">
        <v>4125.18</v>
      </c>
      <c r="K84">
        <v>5</v>
      </c>
      <c r="L84">
        <v>5282.8577872678015</v>
      </c>
      <c r="M84">
        <v>6862.0275000000001</v>
      </c>
      <c r="N84">
        <v>151806.62400000001</v>
      </c>
      <c r="O84">
        <v>52802.304000000004</v>
      </c>
      <c r="P84">
        <v>-3066.8618999999999</v>
      </c>
      <c r="Q84">
        <v>-0.44693232430211038</v>
      </c>
      <c r="R84">
        <v>0.34782608695652173</v>
      </c>
    </row>
    <row r="85" spans="1:18" x14ac:dyDescent="0.2">
      <c r="A85">
        <v>608</v>
      </c>
      <c r="B85">
        <v>80</v>
      </c>
      <c r="C85" s="1">
        <v>45453</v>
      </c>
      <c r="D85">
        <v>45</v>
      </c>
      <c r="E85">
        <v>5</v>
      </c>
      <c r="F85">
        <v>949.11649999999997</v>
      </c>
      <c r="G85" t="s">
        <v>92</v>
      </c>
      <c r="H85" t="s">
        <v>8</v>
      </c>
      <c r="I85">
        <v>599.44200000000001</v>
      </c>
      <c r="J85">
        <v>999.07</v>
      </c>
      <c r="K85">
        <v>5</v>
      </c>
      <c r="L85">
        <v>1197.2620321170702</v>
      </c>
      <c r="M85">
        <v>4319.1966666666667</v>
      </c>
      <c r="N85">
        <v>42710.2425</v>
      </c>
      <c r="O85">
        <v>15735.352499999999</v>
      </c>
      <c r="P85">
        <v>-3370.0801666666666</v>
      </c>
      <c r="Q85">
        <v>-0.78025624363789869</v>
      </c>
      <c r="R85">
        <v>0.36842105263157893</v>
      </c>
    </row>
    <row r="86" spans="1:18" x14ac:dyDescent="0.2">
      <c r="A86">
        <v>604</v>
      </c>
      <c r="B86">
        <v>56</v>
      </c>
      <c r="C86" s="1">
        <v>45453</v>
      </c>
      <c r="D86">
        <v>48</v>
      </c>
      <c r="E86">
        <v>6</v>
      </c>
      <c r="F86">
        <v>7502.8919999999998</v>
      </c>
      <c r="G86" t="s">
        <v>68</v>
      </c>
      <c r="H86" t="s">
        <v>35</v>
      </c>
      <c r="I86">
        <v>4789.08</v>
      </c>
      <c r="J86">
        <v>7981.8</v>
      </c>
      <c r="K86">
        <v>5</v>
      </c>
      <c r="L86">
        <v>10303.480192886496</v>
      </c>
      <c r="M86">
        <v>3458.9274999999998</v>
      </c>
      <c r="N86">
        <v>360138.81599999999</v>
      </c>
      <c r="O86">
        <v>130262.976</v>
      </c>
      <c r="P86">
        <v>4043.9645</v>
      </c>
      <c r="Q86">
        <v>1.1691382661243985</v>
      </c>
      <c r="R86">
        <v>0.36170212765957449</v>
      </c>
    </row>
    <row r="87" spans="1:18" x14ac:dyDescent="0.2">
      <c r="A87">
        <v>598</v>
      </c>
      <c r="B87">
        <v>139</v>
      </c>
      <c r="C87" s="1">
        <v>44980</v>
      </c>
      <c r="D87">
        <v>16</v>
      </c>
      <c r="E87">
        <v>8</v>
      </c>
      <c r="F87">
        <v>2383.7936</v>
      </c>
      <c r="G87" t="s">
        <v>151</v>
      </c>
      <c r="H87" t="s">
        <v>17</v>
      </c>
      <c r="I87">
        <v>1554.6479999999999</v>
      </c>
      <c r="J87">
        <v>2591.08</v>
      </c>
      <c r="K87">
        <v>5</v>
      </c>
      <c r="L87">
        <v>3218.685462211085</v>
      </c>
      <c r="M87">
        <v>2839.1733333333336</v>
      </c>
      <c r="N87">
        <v>38140.6976</v>
      </c>
      <c r="O87">
        <v>13266.329600000001</v>
      </c>
      <c r="P87">
        <v>-455.37973333333366</v>
      </c>
      <c r="Q87">
        <v>-0.16039166330105487</v>
      </c>
      <c r="R87">
        <v>0.34782608695652178</v>
      </c>
    </row>
    <row r="88" spans="1:18" x14ac:dyDescent="0.2">
      <c r="A88">
        <v>595</v>
      </c>
      <c r="B88">
        <v>47</v>
      </c>
      <c r="C88" s="1">
        <v>45709</v>
      </c>
      <c r="D88">
        <v>34</v>
      </c>
      <c r="E88">
        <v>7</v>
      </c>
      <c r="F88">
        <v>3174.6293999999998</v>
      </c>
      <c r="G88" t="s">
        <v>59</v>
      </c>
      <c r="H88" t="s">
        <v>10</v>
      </c>
      <c r="I88">
        <v>2048.1479999999997</v>
      </c>
      <c r="J88">
        <v>3413.58</v>
      </c>
      <c r="K88">
        <v>5</v>
      </c>
      <c r="L88">
        <v>3470.9997152164729</v>
      </c>
      <c r="M88">
        <v>2051.0440000000003</v>
      </c>
      <c r="N88">
        <v>107937.39959999999</v>
      </c>
      <c r="O88">
        <v>38300.367600000005</v>
      </c>
      <c r="P88">
        <v>1123.5853999999995</v>
      </c>
      <c r="Q88">
        <v>0.54781145601947068</v>
      </c>
      <c r="R88">
        <v>0.35483870967741943</v>
      </c>
    </row>
    <row r="89" spans="1:18" x14ac:dyDescent="0.2">
      <c r="A89">
        <v>593</v>
      </c>
      <c r="B89">
        <v>47</v>
      </c>
      <c r="C89" s="1">
        <v>45823</v>
      </c>
      <c r="D89">
        <v>18</v>
      </c>
      <c r="E89">
        <v>5</v>
      </c>
      <c r="F89">
        <v>3242.9009999999998</v>
      </c>
      <c r="G89" t="s">
        <v>59</v>
      </c>
      <c r="H89" t="s">
        <v>10</v>
      </c>
      <c r="I89">
        <v>2048.1479999999997</v>
      </c>
      <c r="J89">
        <v>3413.58</v>
      </c>
      <c r="K89">
        <v>5</v>
      </c>
      <c r="L89">
        <v>4226.286377791389</v>
      </c>
      <c r="M89">
        <v>2051.0440000000003</v>
      </c>
      <c r="N89">
        <v>58372.217999999993</v>
      </c>
      <c r="O89">
        <v>21505.554000000004</v>
      </c>
      <c r="P89">
        <v>1191.8569999999995</v>
      </c>
      <c r="Q89">
        <v>0.58109772389085723</v>
      </c>
      <c r="R89">
        <v>0.36842105263157904</v>
      </c>
    </row>
    <row r="90" spans="1:18" x14ac:dyDescent="0.2">
      <c r="A90">
        <v>590</v>
      </c>
      <c r="B90">
        <v>135</v>
      </c>
      <c r="C90" s="1">
        <v>45912</v>
      </c>
      <c r="D90">
        <v>6</v>
      </c>
      <c r="E90">
        <v>3</v>
      </c>
      <c r="F90">
        <v>7546.3186999999998</v>
      </c>
      <c r="G90" t="s">
        <v>147</v>
      </c>
      <c r="H90" t="s">
        <v>8</v>
      </c>
      <c r="I90">
        <v>4667.826</v>
      </c>
      <c r="J90">
        <v>7779.71</v>
      </c>
      <c r="K90">
        <v>5</v>
      </c>
      <c r="L90">
        <v>8715.634760524712</v>
      </c>
      <c r="M90">
        <v>4172.7833333333338</v>
      </c>
      <c r="N90">
        <v>45277.912199999999</v>
      </c>
      <c r="O90">
        <v>17270.956200000001</v>
      </c>
      <c r="P90">
        <v>3373.5353666666661</v>
      </c>
      <c r="Q90">
        <v>0.8084616662739097</v>
      </c>
      <c r="R90">
        <v>0.3814432989690722</v>
      </c>
    </row>
    <row r="91" spans="1:18" x14ac:dyDescent="0.2">
      <c r="A91">
        <v>583</v>
      </c>
      <c r="B91">
        <v>23</v>
      </c>
      <c r="C91" s="1">
        <v>45051</v>
      </c>
      <c r="D91">
        <v>8</v>
      </c>
      <c r="E91">
        <v>2</v>
      </c>
      <c r="F91">
        <v>3884.1320000000001</v>
      </c>
      <c r="G91" t="s">
        <v>34</v>
      </c>
      <c r="H91" t="s">
        <v>35</v>
      </c>
      <c r="I91">
        <v>2378.04</v>
      </c>
      <c r="J91">
        <v>3963.4</v>
      </c>
      <c r="K91">
        <v>5</v>
      </c>
      <c r="L91">
        <v>4986.3578730001036</v>
      </c>
      <c r="M91">
        <v>5343.3279999999995</v>
      </c>
      <c r="N91">
        <v>31073.056</v>
      </c>
      <c r="O91">
        <v>12048.736000000001</v>
      </c>
      <c r="P91">
        <v>-1459.1959999999995</v>
      </c>
      <c r="Q91">
        <v>-0.27308748405488109</v>
      </c>
      <c r="R91">
        <v>0.38775510204081637</v>
      </c>
    </row>
    <row r="92" spans="1:18" x14ac:dyDescent="0.2">
      <c r="A92">
        <v>582</v>
      </c>
      <c r="B92">
        <v>116</v>
      </c>
      <c r="C92" s="1">
        <v>45726</v>
      </c>
      <c r="D92">
        <v>37</v>
      </c>
      <c r="E92">
        <v>7</v>
      </c>
      <c r="F92">
        <v>2197.7294999999999</v>
      </c>
      <c r="G92" t="s">
        <v>128</v>
      </c>
      <c r="H92" t="s">
        <v>19</v>
      </c>
      <c r="I92">
        <v>1417.89</v>
      </c>
      <c r="J92">
        <v>2363.15</v>
      </c>
      <c r="K92">
        <v>5</v>
      </c>
      <c r="L92">
        <v>2568.8907863390168</v>
      </c>
      <c r="M92">
        <v>4469.4999999999991</v>
      </c>
      <c r="N92">
        <v>81315.991500000004</v>
      </c>
      <c r="O92">
        <v>28854.061499999993</v>
      </c>
      <c r="P92">
        <v>-2271.7704999999992</v>
      </c>
      <c r="Q92">
        <v>-0.50828291755229882</v>
      </c>
      <c r="R92">
        <v>0.35483870967741926</v>
      </c>
    </row>
    <row r="93" spans="1:18" x14ac:dyDescent="0.2">
      <c r="A93">
        <v>92</v>
      </c>
      <c r="B93">
        <v>6</v>
      </c>
      <c r="C93" s="1">
        <v>45525</v>
      </c>
      <c r="D93">
        <v>32</v>
      </c>
      <c r="E93">
        <v>10</v>
      </c>
      <c r="F93">
        <v>3712.6620000000003</v>
      </c>
      <c r="G93" t="s">
        <v>15</v>
      </c>
      <c r="H93" t="s">
        <v>8</v>
      </c>
      <c r="I93">
        <v>2475.1080000000002</v>
      </c>
      <c r="J93">
        <v>4125.18</v>
      </c>
      <c r="K93">
        <v>5</v>
      </c>
      <c r="L93">
        <v>4882.4191886245362</v>
      </c>
      <c r="M93">
        <v>6862.0275000000001</v>
      </c>
      <c r="N93">
        <v>118805.18400000001</v>
      </c>
      <c r="O93">
        <v>39601.728000000003</v>
      </c>
      <c r="P93">
        <v>-3149.3654999999999</v>
      </c>
      <c r="Q93">
        <v>-0.45895553464336886</v>
      </c>
      <c r="R93">
        <v>0.33333333333333331</v>
      </c>
    </row>
    <row r="94" spans="1:18" x14ac:dyDescent="0.2">
      <c r="A94">
        <v>573</v>
      </c>
      <c r="B94">
        <v>141</v>
      </c>
      <c r="C94" s="1">
        <v>45459</v>
      </c>
      <c r="D94">
        <v>10</v>
      </c>
      <c r="E94">
        <v>3</v>
      </c>
      <c r="F94">
        <v>7629.2342999999992</v>
      </c>
      <c r="G94" t="s">
        <v>153</v>
      </c>
      <c r="H94" t="s">
        <v>19</v>
      </c>
      <c r="I94">
        <v>4719.1139999999996</v>
      </c>
      <c r="J94">
        <v>7865.19</v>
      </c>
      <c r="K94">
        <v>5</v>
      </c>
      <c r="L94">
        <v>9972.5913841888578</v>
      </c>
      <c r="M94">
        <v>7586.8133333333344</v>
      </c>
      <c r="N94">
        <v>76292.342999999993</v>
      </c>
      <c r="O94">
        <v>29101.202999999994</v>
      </c>
      <c r="P94">
        <v>42.420966666664754</v>
      </c>
      <c r="Q94">
        <v>5.5914077232247818E-3</v>
      </c>
      <c r="R94">
        <v>0.38144329896907214</v>
      </c>
    </row>
    <row r="95" spans="1:18" x14ac:dyDescent="0.2">
      <c r="A95">
        <v>572</v>
      </c>
      <c r="B95">
        <v>116</v>
      </c>
      <c r="C95" s="1">
        <v>44927</v>
      </c>
      <c r="D95">
        <v>1</v>
      </c>
      <c r="E95">
        <v>7</v>
      </c>
      <c r="F95">
        <v>2197.7294999999999</v>
      </c>
      <c r="G95" t="s">
        <v>128</v>
      </c>
      <c r="H95" t="s">
        <v>19</v>
      </c>
      <c r="I95">
        <v>1417.89</v>
      </c>
      <c r="J95">
        <v>2363.15</v>
      </c>
      <c r="K95">
        <v>5</v>
      </c>
      <c r="L95">
        <v>2515.7158855875973</v>
      </c>
      <c r="M95">
        <v>4469.4999999999991</v>
      </c>
      <c r="N95">
        <v>2197.7294999999999</v>
      </c>
      <c r="O95">
        <v>779.83949999999982</v>
      </c>
      <c r="P95">
        <v>-2271.7704999999992</v>
      </c>
      <c r="Q95">
        <v>-0.50828291755229882</v>
      </c>
      <c r="R95">
        <v>0.35483870967741926</v>
      </c>
    </row>
    <row r="96" spans="1:18" x14ac:dyDescent="0.2">
      <c r="A96">
        <v>95</v>
      </c>
      <c r="B96">
        <v>28</v>
      </c>
      <c r="C96" s="1">
        <v>44967</v>
      </c>
      <c r="D96">
        <v>34</v>
      </c>
      <c r="E96">
        <v>10</v>
      </c>
      <c r="F96">
        <v>5144.9579999999996</v>
      </c>
      <c r="G96" t="s">
        <v>40</v>
      </c>
      <c r="H96" t="s">
        <v>8</v>
      </c>
      <c r="I96">
        <v>3429.9719999999998</v>
      </c>
      <c r="J96">
        <v>5716.62</v>
      </c>
      <c r="K96">
        <v>5</v>
      </c>
      <c r="L96">
        <v>7151.4023257542167</v>
      </c>
      <c r="M96">
        <v>3542.9559999999997</v>
      </c>
      <c r="N96">
        <v>174928.57199999999</v>
      </c>
      <c r="O96">
        <v>58309.523999999998</v>
      </c>
      <c r="P96">
        <v>1602.002</v>
      </c>
      <c r="Q96">
        <v>0.45216536699863052</v>
      </c>
      <c r="R96">
        <v>0.33333333333333337</v>
      </c>
    </row>
    <row r="97" spans="1:18" x14ac:dyDescent="0.2">
      <c r="A97">
        <v>559</v>
      </c>
      <c r="B97">
        <v>56</v>
      </c>
      <c r="C97" s="1">
        <v>45067</v>
      </c>
      <c r="D97">
        <v>29</v>
      </c>
      <c r="E97">
        <v>6</v>
      </c>
      <c r="F97">
        <v>7502.8919999999998</v>
      </c>
      <c r="G97" t="s">
        <v>68</v>
      </c>
      <c r="H97" t="s">
        <v>35</v>
      </c>
      <c r="I97">
        <v>4789.08</v>
      </c>
      <c r="J97">
        <v>7981.8</v>
      </c>
      <c r="K97">
        <v>5</v>
      </c>
      <c r="L97">
        <v>9800.8466102398143</v>
      </c>
      <c r="M97">
        <v>3458.9274999999998</v>
      </c>
      <c r="N97">
        <v>217583.86799999999</v>
      </c>
      <c r="O97">
        <v>78700.547999999995</v>
      </c>
      <c r="P97">
        <v>4043.9645</v>
      </c>
      <c r="Q97">
        <v>1.1691382661243985</v>
      </c>
      <c r="R97">
        <v>0.36170212765957449</v>
      </c>
    </row>
    <row r="98" spans="1:18" x14ac:dyDescent="0.2">
      <c r="A98">
        <v>557</v>
      </c>
      <c r="B98">
        <v>88</v>
      </c>
      <c r="C98" s="1">
        <v>45409</v>
      </c>
      <c r="D98">
        <v>9</v>
      </c>
      <c r="E98">
        <v>3</v>
      </c>
      <c r="F98">
        <v>6049.2401</v>
      </c>
      <c r="G98" t="s">
        <v>100</v>
      </c>
      <c r="H98" t="s">
        <v>35</v>
      </c>
      <c r="I98">
        <v>3741.7979999999998</v>
      </c>
      <c r="J98">
        <v>6236.33</v>
      </c>
      <c r="K98">
        <v>5</v>
      </c>
      <c r="L98">
        <v>7896.1392629089778</v>
      </c>
      <c r="M98">
        <v>4981.5050000000001</v>
      </c>
      <c r="N98">
        <v>54443.160900000003</v>
      </c>
      <c r="O98">
        <v>20766.978900000002</v>
      </c>
      <c r="P98">
        <v>1067.7350999999999</v>
      </c>
      <c r="Q98">
        <v>0.2143398631538059</v>
      </c>
      <c r="R98">
        <v>0.3814432989690722</v>
      </c>
    </row>
    <row r="99" spans="1:18" x14ac:dyDescent="0.2">
      <c r="A99">
        <v>552</v>
      </c>
      <c r="B99">
        <v>47</v>
      </c>
      <c r="C99" s="1">
        <v>45336</v>
      </c>
      <c r="D99">
        <v>23</v>
      </c>
      <c r="E99">
        <v>5</v>
      </c>
      <c r="F99">
        <v>3242.9009999999998</v>
      </c>
      <c r="G99" t="s">
        <v>59</v>
      </c>
      <c r="H99" t="s">
        <v>10</v>
      </c>
      <c r="I99">
        <v>2048.1479999999997</v>
      </c>
      <c r="J99">
        <v>3413.58</v>
      </c>
      <c r="K99">
        <v>5</v>
      </c>
      <c r="L99">
        <v>4139.7700356505411</v>
      </c>
      <c r="M99">
        <v>2051.0440000000003</v>
      </c>
      <c r="N99">
        <v>74586.722999999998</v>
      </c>
      <c r="O99">
        <v>27479.319000000003</v>
      </c>
      <c r="P99">
        <v>1191.8569999999995</v>
      </c>
      <c r="Q99">
        <v>0.58109772389085723</v>
      </c>
      <c r="R99">
        <v>0.36842105263157898</v>
      </c>
    </row>
    <row r="100" spans="1:18" x14ac:dyDescent="0.2">
      <c r="A100">
        <v>539</v>
      </c>
      <c r="B100">
        <v>118</v>
      </c>
      <c r="C100" s="1">
        <v>45025</v>
      </c>
      <c r="D100">
        <v>41</v>
      </c>
      <c r="E100">
        <v>2</v>
      </c>
      <c r="F100">
        <v>3086.2649999999999</v>
      </c>
      <c r="G100" t="s">
        <v>130</v>
      </c>
      <c r="H100" t="s">
        <v>19</v>
      </c>
      <c r="I100">
        <v>1889.55</v>
      </c>
      <c r="J100">
        <v>3149.25</v>
      </c>
      <c r="K100">
        <v>5</v>
      </c>
      <c r="L100">
        <v>3700.3995500681235</v>
      </c>
      <c r="M100">
        <v>224.52399999999997</v>
      </c>
      <c r="N100">
        <v>126536.86499999999</v>
      </c>
      <c r="O100">
        <v>49065.314999999995</v>
      </c>
      <c r="P100">
        <v>2861.741</v>
      </c>
      <c r="Q100">
        <v>12.745813365163636</v>
      </c>
      <c r="R100">
        <v>0.38775510204081631</v>
      </c>
    </row>
    <row r="101" spans="1:18" x14ac:dyDescent="0.2">
      <c r="A101">
        <v>537</v>
      </c>
      <c r="B101">
        <v>92</v>
      </c>
      <c r="C101" s="1">
        <v>45326</v>
      </c>
      <c r="D101">
        <v>25</v>
      </c>
      <c r="E101">
        <v>4</v>
      </c>
      <c r="F101">
        <v>3434.8991999999998</v>
      </c>
      <c r="G101" t="s">
        <v>104</v>
      </c>
      <c r="H101" t="s">
        <v>19</v>
      </c>
      <c r="I101">
        <v>2146.8119999999999</v>
      </c>
      <c r="J101">
        <v>3578.02</v>
      </c>
      <c r="K101">
        <v>5</v>
      </c>
      <c r="L101">
        <v>4267.5033549857499</v>
      </c>
      <c r="M101">
        <v>5387.83</v>
      </c>
      <c r="N101">
        <v>85872.48</v>
      </c>
      <c r="O101">
        <v>32202.18</v>
      </c>
      <c r="P101">
        <v>-1952.9308000000001</v>
      </c>
      <c r="Q101">
        <v>-0.36247075353157027</v>
      </c>
      <c r="R101">
        <v>0.375</v>
      </c>
    </row>
    <row r="102" spans="1:18" x14ac:dyDescent="0.2">
      <c r="A102">
        <v>535</v>
      </c>
      <c r="B102">
        <v>88</v>
      </c>
      <c r="C102" s="1">
        <v>44952</v>
      </c>
      <c r="D102">
        <v>36</v>
      </c>
      <c r="E102">
        <v>8</v>
      </c>
      <c r="F102">
        <v>5737.4236000000001</v>
      </c>
      <c r="G102" t="s">
        <v>100</v>
      </c>
      <c r="H102" t="s">
        <v>35</v>
      </c>
      <c r="I102">
        <v>3741.7979999999998</v>
      </c>
      <c r="J102">
        <v>6236.33</v>
      </c>
      <c r="K102">
        <v>5</v>
      </c>
      <c r="L102">
        <v>8107.0245585838493</v>
      </c>
      <c r="M102">
        <v>4981.5050000000001</v>
      </c>
      <c r="N102">
        <v>206547.24960000001</v>
      </c>
      <c r="O102">
        <v>71842.521600000007</v>
      </c>
      <c r="P102">
        <v>755.91859999999997</v>
      </c>
      <c r="Q102">
        <v>0.15174502484690872</v>
      </c>
      <c r="R102">
        <v>0.34782608695652178</v>
      </c>
    </row>
    <row r="103" spans="1:18" x14ac:dyDescent="0.2">
      <c r="A103">
        <v>529</v>
      </c>
      <c r="B103">
        <v>130</v>
      </c>
      <c r="C103" s="1">
        <v>45988</v>
      </c>
      <c r="D103">
        <v>4</v>
      </c>
      <c r="E103">
        <v>7</v>
      </c>
      <c r="F103">
        <v>2962.5056999999997</v>
      </c>
      <c r="G103" t="s">
        <v>142</v>
      </c>
      <c r="H103" t="s">
        <v>12</v>
      </c>
      <c r="I103">
        <v>1911.2939999999999</v>
      </c>
      <c r="J103">
        <v>3185.49</v>
      </c>
      <c r="K103">
        <v>5</v>
      </c>
      <c r="L103">
        <v>3591.1613390169268</v>
      </c>
      <c r="M103">
        <v>3865.1374999999998</v>
      </c>
      <c r="N103">
        <v>11850.022799999999</v>
      </c>
      <c r="O103">
        <v>4204.8467999999993</v>
      </c>
      <c r="P103">
        <v>-902.63180000000011</v>
      </c>
      <c r="Q103">
        <v>-0.2335316143345483</v>
      </c>
      <c r="R103">
        <v>0.35483870967741932</v>
      </c>
    </row>
    <row r="104" spans="1:18" x14ac:dyDescent="0.2">
      <c r="A104">
        <v>527</v>
      </c>
      <c r="B104">
        <v>80</v>
      </c>
      <c r="C104" s="1">
        <v>45257</v>
      </c>
      <c r="D104">
        <v>34</v>
      </c>
      <c r="E104">
        <v>4</v>
      </c>
      <c r="F104">
        <v>959.10720000000003</v>
      </c>
      <c r="G104" t="s">
        <v>92</v>
      </c>
      <c r="H104" t="s">
        <v>8</v>
      </c>
      <c r="I104">
        <v>599.44200000000001</v>
      </c>
      <c r="J104">
        <v>999.07</v>
      </c>
      <c r="K104">
        <v>5</v>
      </c>
      <c r="L104">
        <v>1055.9021807200243</v>
      </c>
      <c r="M104">
        <v>4319.1966666666667</v>
      </c>
      <c r="N104">
        <v>32609.644800000002</v>
      </c>
      <c r="O104">
        <v>12228.616800000002</v>
      </c>
      <c r="P104">
        <v>-3360.0894666666668</v>
      </c>
      <c r="Q104">
        <v>-0.77794315146566606</v>
      </c>
      <c r="R104">
        <v>0.37500000000000006</v>
      </c>
    </row>
    <row r="105" spans="1:18" x14ac:dyDescent="0.2">
      <c r="A105">
        <v>519</v>
      </c>
      <c r="B105">
        <v>5</v>
      </c>
      <c r="C105" s="1">
        <v>45517</v>
      </c>
      <c r="D105">
        <v>26</v>
      </c>
      <c r="E105">
        <v>4</v>
      </c>
      <c r="F105">
        <v>797.04</v>
      </c>
      <c r="G105" t="s">
        <v>13</v>
      </c>
      <c r="H105" t="s">
        <v>14</v>
      </c>
      <c r="I105">
        <v>498.15</v>
      </c>
      <c r="J105">
        <v>830.25</v>
      </c>
      <c r="K105">
        <v>5</v>
      </c>
      <c r="L105">
        <v>845.09098355473998</v>
      </c>
      <c r="M105">
        <v>7010.5333333333328</v>
      </c>
      <c r="N105">
        <v>20723.04</v>
      </c>
      <c r="O105">
        <v>7771.1399999999994</v>
      </c>
      <c r="P105">
        <v>-6213.4933333333329</v>
      </c>
      <c r="Q105">
        <v>-0.88630822191369174</v>
      </c>
      <c r="R105">
        <v>0.37499999999999994</v>
      </c>
    </row>
    <row r="106" spans="1:18" x14ac:dyDescent="0.2">
      <c r="A106">
        <v>105</v>
      </c>
      <c r="B106">
        <v>126</v>
      </c>
      <c r="C106" s="1">
        <v>45975</v>
      </c>
      <c r="D106">
        <v>47</v>
      </c>
      <c r="E106">
        <v>7</v>
      </c>
      <c r="F106">
        <v>942.3039</v>
      </c>
      <c r="G106" t="s">
        <v>138</v>
      </c>
      <c r="H106" t="s">
        <v>12</v>
      </c>
      <c r="I106">
        <v>607.93799999999999</v>
      </c>
      <c r="J106">
        <v>1013.23</v>
      </c>
      <c r="K106">
        <v>5</v>
      </c>
      <c r="L106">
        <v>1290.8411885327321</v>
      </c>
      <c r="M106">
        <v>7593.0025000000005</v>
      </c>
      <c r="N106">
        <v>44288.283300000003</v>
      </c>
      <c r="O106">
        <v>15715.1973</v>
      </c>
      <c r="P106">
        <v>-6650.6986000000006</v>
      </c>
      <c r="Q106">
        <v>-0.87589838143738263</v>
      </c>
      <c r="R106">
        <v>0.35483870967741932</v>
      </c>
    </row>
    <row r="107" spans="1:18" x14ac:dyDescent="0.2">
      <c r="A107">
        <v>516</v>
      </c>
      <c r="B107">
        <v>74</v>
      </c>
      <c r="C107" s="1">
        <v>45509</v>
      </c>
      <c r="D107">
        <v>46</v>
      </c>
      <c r="E107">
        <v>6</v>
      </c>
      <c r="F107">
        <v>1790.8973999999998</v>
      </c>
      <c r="G107" t="s">
        <v>86</v>
      </c>
      <c r="H107" t="s">
        <v>17</v>
      </c>
      <c r="I107">
        <v>1143.126</v>
      </c>
      <c r="J107">
        <v>1905.21</v>
      </c>
      <c r="K107">
        <v>5</v>
      </c>
      <c r="L107">
        <v>2314.2025124638121</v>
      </c>
      <c r="M107">
        <v>2585.9039999999995</v>
      </c>
      <c r="N107">
        <v>82381.280399999989</v>
      </c>
      <c r="O107">
        <v>29797.484399999994</v>
      </c>
      <c r="P107">
        <v>-795.00659999999971</v>
      </c>
      <c r="Q107">
        <v>-0.30743855920405394</v>
      </c>
      <c r="R107">
        <v>0.36170212765957444</v>
      </c>
    </row>
    <row r="108" spans="1:18" x14ac:dyDescent="0.2">
      <c r="A108">
        <v>515</v>
      </c>
      <c r="B108">
        <v>138</v>
      </c>
      <c r="C108" s="1">
        <v>44937</v>
      </c>
      <c r="D108">
        <v>21</v>
      </c>
      <c r="E108">
        <v>7</v>
      </c>
      <c r="F108">
        <v>2875.0856999999996</v>
      </c>
      <c r="G108" t="s">
        <v>150</v>
      </c>
      <c r="H108" t="s">
        <v>12</v>
      </c>
      <c r="I108">
        <v>1854.8939999999998</v>
      </c>
      <c r="J108">
        <v>3091.49</v>
      </c>
      <c r="K108">
        <v>5</v>
      </c>
      <c r="L108">
        <v>3371.6682137692355</v>
      </c>
      <c r="M108">
        <v>4980.4933333333329</v>
      </c>
      <c r="N108">
        <v>60376.799699999989</v>
      </c>
      <c r="O108">
        <v>21424.025699999998</v>
      </c>
      <c r="P108">
        <v>-2105.4076333333333</v>
      </c>
      <c r="Q108">
        <v>-0.42273074019441181</v>
      </c>
      <c r="R108">
        <v>0.35483870967741937</v>
      </c>
    </row>
    <row r="109" spans="1:18" x14ac:dyDescent="0.2">
      <c r="A109">
        <v>511</v>
      </c>
      <c r="B109">
        <v>143</v>
      </c>
      <c r="C109" s="1">
        <v>45563</v>
      </c>
      <c r="D109">
        <v>23</v>
      </c>
      <c r="E109">
        <v>10</v>
      </c>
      <c r="F109">
        <v>270.26100000000002</v>
      </c>
      <c r="G109" t="s">
        <v>155</v>
      </c>
      <c r="H109" t="s">
        <v>19</v>
      </c>
      <c r="I109">
        <v>180.17400000000001</v>
      </c>
      <c r="J109">
        <v>300.29000000000002</v>
      </c>
      <c r="K109">
        <v>5</v>
      </c>
      <c r="L109">
        <v>331.91505353148239</v>
      </c>
      <c r="M109">
        <v>2883.9133333333339</v>
      </c>
      <c r="N109">
        <v>6216.0030000000006</v>
      </c>
      <c r="O109">
        <v>2072.0010000000002</v>
      </c>
      <c r="P109">
        <v>-2613.6523333333339</v>
      </c>
      <c r="Q109">
        <v>-0.90628671226828361</v>
      </c>
      <c r="R109">
        <v>0.33333333333333331</v>
      </c>
    </row>
    <row r="110" spans="1:18" x14ac:dyDescent="0.2">
      <c r="A110">
        <v>508</v>
      </c>
      <c r="B110">
        <v>88</v>
      </c>
      <c r="C110" s="1">
        <v>45113</v>
      </c>
      <c r="D110">
        <v>49</v>
      </c>
      <c r="E110">
        <v>6</v>
      </c>
      <c r="F110">
        <v>5862.1502</v>
      </c>
      <c r="G110" t="s">
        <v>100</v>
      </c>
      <c r="H110" t="s">
        <v>35</v>
      </c>
      <c r="I110">
        <v>3741.7979999999998</v>
      </c>
      <c r="J110">
        <v>6236.33</v>
      </c>
      <c r="K110">
        <v>5</v>
      </c>
      <c r="L110">
        <v>6834.7797978029084</v>
      </c>
      <c r="M110">
        <v>4981.5050000000001</v>
      </c>
      <c r="N110">
        <v>287245.35979999998</v>
      </c>
      <c r="O110">
        <v>103897.25780000001</v>
      </c>
      <c r="P110">
        <v>880.64519999999993</v>
      </c>
      <c r="Q110">
        <v>0.17678296016966757</v>
      </c>
      <c r="R110">
        <v>0.36170212765957455</v>
      </c>
    </row>
    <row r="111" spans="1:18" x14ac:dyDescent="0.2">
      <c r="A111">
        <v>493</v>
      </c>
      <c r="B111">
        <v>6</v>
      </c>
      <c r="C111" s="1">
        <v>45736</v>
      </c>
      <c r="D111">
        <v>43</v>
      </c>
      <c r="E111">
        <v>9</v>
      </c>
      <c r="F111">
        <v>3753.9138000000003</v>
      </c>
      <c r="G111" t="s">
        <v>15</v>
      </c>
      <c r="H111" t="s">
        <v>8</v>
      </c>
      <c r="I111">
        <v>2475.1080000000002</v>
      </c>
      <c r="J111">
        <v>4125.18</v>
      </c>
      <c r="K111">
        <v>5</v>
      </c>
      <c r="L111">
        <v>4576.4219459111428</v>
      </c>
      <c r="M111">
        <v>6862.0275000000001</v>
      </c>
      <c r="N111">
        <v>161418.29340000002</v>
      </c>
      <c r="O111">
        <v>54988.649400000002</v>
      </c>
      <c r="P111">
        <v>-3108.1136999999999</v>
      </c>
      <c r="Q111">
        <v>-0.45294392947273965</v>
      </c>
      <c r="R111">
        <v>0.34065934065934061</v>
      </c>
    </row>
    <row r="112" spans="1:18" x14ac:dyDescent="0.2">
      <c r="A112">
        <v>488</v>
      </c>
      <c r="B112">
        <v>88</v>
      </c>
      <c r="C112" s="1">
        <v>45672</v>
      </c>
      <c r="D112">
        <v>9</v>
      </c>
      <c r="E112">
        <v>8</v>
      </c>
      <c r="F112">
        <v>5737.4236000000001</v>
      </c>
      <c r="G112" t="s">
        <v>100</v>
      </c>
      <c r="H112" t="s">
        <v>35</v>
      </c>
      <c r="I112">
        <v>3741.7979999999998</v>
      </c>
      <c r="J112">
        <v>6236.33</v>
      </c>
      <c r="K112">
        <v>5</v>
      </c>
      <c r="L112">
        <v>7644.9755739301645</v>
      </c>
      <c r="M112">
        <v>4981.5050000000001</v>
      </c>
      <c r="N112">
        <v>51636.812400000003</v>
      </c>
      <c r="O112">
        <v>17960.630400000002</v>
      </c>
      <c r="P112">
        <v>755.91859999999997</v>
      </c>
      <c r="Q112">
        <v>0.15174502484690872</v>
      </c>
      <c r="R112">
        <v>0.34782608695652178</v>
      </c>
    </row>
    <row r="113" spans="1:18" x14ac:dyDescent="0.2">
      <c r="A113">
        <v>484</v>
      </c>
      <c r="B113">
        <v>61</v>
      </c>
      <c r="C113" s="1">
        <v>45525</v>
      </c>
      <c r="D113">
        <v>44</v>
      </c>
      <c r="E113">
        <v>2</v>
      </c>
      <c r="F113">
        <v>2393.3951999999999</v>
      </c>
      <c r="G113" t="s">
        <v>73</v>
      </c>
      <c r="H113" t="s">
        <v>6</v>
      </c>
      <c r="I113">
        <v>1465.3439999999998</v>
      </c>
      <c r="J113">
        <v>2442.2399999999998</v>
      </c>
      <c r="K113">
        <v>5</v>
      </c>
      <c r="L113">
        <v>2619.212424292502</v>
      </c>
      <c r="M113">
        <v>411.75600000000003</v>
      </c>
      <c r="N113">
        <v>105309.3888</v>
      </c>
      <c r="O113">
        <v>40834.252800000002</v>
      </c>
      <c r="P113">
        <v>1981.6391999999998</v>
      </c>
      <c r="Q113">
        <v>4.8126540961151747</v>
      </c>
      <c r="R113">
        <v>0.38775510204081637</v>
      </c>
    </row>
    <row r="114" spans="1:18" x14ac:dyDescent="0.2">
      <c r="A114">
        <v>482</v>
      </c>
      <c r="B114">
        <v>80</v>
      </c>
      <c r="C114" s="1">
        <v>45991</v>
      </c>
      <c r="D114">
        <v>39</v>
      </c>
      <c r="E114">
        <v>2</v>
      </c>
      <c r="F114">
        <v>979.08860000000004</v>
      </c>
      <c r="G114" t="s">
        <v>92</v>
      </c>
      <c r="H114" t="s">
        <v>8</v>
      </c>
      <c r="I114">
        <v>599.44200000000001</v>
      </c>
      <c r="J114">
        <v>999.07</v>
      </c>
      <c r="K114">
        <v>5</v>
      </c>
      <c r="L114">
        <v>1215.2409763714682</v>
      </c>
      <c r="M114">
        <v>4319.1966666666667</v>
      </c>
      <c r="N114">
        <v>38184.455399999999</v>
      </c>
      <c r="O114">
        <v>14806.217400000001</v>
      </c>
      <c r="P114">
        <v>-3340.1080666666667</v>
      </c>
      <c r="Q114">
        <v>-0.77331696712120079</v>
      </c>
      <c r="R114">
        <v>0.38775510204081637</v>
      </c>
    </row>
    <row r="115" spans="1:18" x14ac:dyDescent="0.2">
      <c r="A115">
        <v>114</v>
      </c>
      <c r="B115">
        <v>74</v>
      </c>
      <c r="C115" s="1">
        <v>45389</v>
      </c>
      <c r="D115">
        <v>38</v>
      </c>
      <c r="E115">
        <v>2</v>
      </c>
      <c r="F115">
        <v>1867.1058</v>
      </c>
      <c r="G115" t="s">
        <v>86</v>
      </c>
      <c r="H115" t="s">
        <v>17</v>
      </c>
      <c r="I115">
        <v>1143.126</v>
      </c>
      <c r="J115">
        <v>1905.21</v>
      </c>
      <c r="K115">
        <v>5</v>
      </c>
      <c r="L115">
        <v>2462.524656141477</v>
      </c>
      <c r="M115">
        <v>2585.9039999999995</v>
      </c>
      <c r="N115">
        <v>70950.020400000009</v>
      </c>
      <c r="O115">
        <v>27511.232400000001</v>
      </c>
      <c r="P115">
        <v>-718.7981999999995</v>
      </c>
      <c r="Q115">
        <v>-0.27796785959571568</v>
      </c>
      <c r="R115">
        <v>0.38775510204081631</v>
      </c>
    </row>
    <row r="116" spans="1:18" x14ac:dyDescent="0.2">
      <c r="A116">
        <v>115</v>
      </c>
      <c r="B116">
        <v>139</v>
      </c>
      <c r="C116" s="1">
        <v>45704</v>
      </c>
      <c r="D116">
        <v>41</v>
      </c>
      <c r="E116">
        <v>3</v>
      </c>
      <c r="F116">
        <v>2513.3476000000001</v>
      </c>
      <c r="G116" t="s">
        <v>151</v>
      </c>
      <c r="H116" t="s">
        <v>17</v>
      </c>
      <c r="I116">
        <v>1554.6479999999999</v>
      </c>
      <c r="J116">
        <v>2591.08</v>
      </c>
      <c r="K116">
        <v>5</v>
      </c>
      <c r="L116">
        <v>3118.8918857614367</v>
      </c>
      <c r="M116">
        <v>2839.1733333333336</v>
      </c>
      <c r="N116">
        <v>103047.2516</v>
      </c>
      <c r="O116">
        <v>39306.683600000004</v>
      </c>
      <c r="P116">
        <v>-325.82573333333357</v>
      </c>
      <c r="Q116">
        <v>-0.11476077543698172</v>
      </c>
      <c r="R116">
        <v>0.3814432989690722</v>
      </c>
    </row>
    <row r="117" spans="1:18" x14ac:dyDescent="0.2">
      <c r="A117">
        <v>480</v>
      </c>
      <c r="B117">
        <v>130</v>
      </c>
      <c r="C117" s="1">
        <v>45157</v>
      </c>
      <c r="D117">
        <v>10</v>
      </c>
      <c r="E117">
        <v>9</v>
      </c>
      <c r="F117">
        <v>2898.7959000000001</v>
      </c>
      <c r="G117" t="s">
        <v>142</v>
      </c>
      <c r="H117" t="s">
        <v>12</v>
      </c>
      <c r="I117">
        <v>1911.2939999999999</v>
      </c>
      <c r="J117">
        <v>3185.49</v>
      </c>
      <c r="K117">
        <v>5</v>
      </c>
      <c r="L117">
        <v>3374.1363092717143</v>
      </c>
      <c r="M117">
        <v>3865.1374999999998</v>
      </c>
      <c r="N117">
        <v>28987.959000000003</v>
      </c>
      <c r="O117">
        <v>9875.0190000000021</v>
      </c>
      <c r="P117">
        <v>-966.34159999999974</v>
      </c>
      <c r="Q117">
        <v>-0.2500148054241278</v>
      </c>
      <c r="R117">
        <v>0.34065934065934073</v>
      </c>
    </row>
    <row r="118" spans="1:18" x14ac:dyDescent="0.2">
      <c r="A118">
        <v>478</v>
      </c>
      <c r="B118">
        <v>80</v>
      </c>
      <c r="C118" s="1">
        <v>44979</v>
      </c>
      <c r="D118">
        <v>41</v>
      </c>
      <c r="E118">
        <v>9</v>
      </c>
      <c r="F118">
        <v>909.15370000000007</v>
      </c>
      <c r="G118" t="s">
        <v>92</v>
      </c>
      <c r="H118" t="s">
        <v>8</v>
      </c>
      <c r="I118">
        <v>599.44200000000001</v>
      </c>
      <c r="J118">
        <v>999.07</v>
      </c>
      <c r="K118">
        <v>5</v>
      </c>
      <c r="L118">
        <v>1085.026524282013</v>
      </c>
      <c r="M118">
        <v>4319.1966666666667</v>
      </c>
      <c r="N118">
        <v>37275.301700000004</v>
      </c>
      <c r="O118">
        <v>12698.179700000002</v>
      </c>
      <c r="P118">
        <v>-3410.0429666666669</v>
      </c>
      <c r="Q118">
        <v>-0.78950861232682934</v>
      </c>
      <c r="R118">
        <v>0.34065934065934067</v>
      </c>
    </row>
    <row r="119" spans="1:18" x14ac:dyDescent="0.2">
      <c r="A119">
        <v>118</v>
      </c>
      <c r="B119">
        <v>125</v>
      </c>
      <c r="C119" s="1">
        <v>45995</v>
      </c>
      <c r="D119">
        <v>45</v>
      </c>
      <c r="E119">
        <v>9</v>
      </c>
      <c r="F119">
        <v>3959.4737</v>
      </c>
      <c r="G119" t="s">
        <v>137</v>
      </c>
      <c r="H119" t="s">
        <v>8</v>
      </c>
      <c r="I119">
        <v>2610.6419999999998</v>
      </c>
      <c r="J119">
        <v>4351.07</v>
      </c>
      <c r="K119">
        <v>5</v>
      </c>
      <c r="L119">
        <v>5465.1512604095496</v>
      </c>
      <c r="M119">
        <v>5094.8040000000001</v>
      </c>
      <c r="N119">
        <v>178176.31649999999</v>
      </c>
      <c r="O119">
        <v>60697.426500000009</v>
      </c>
      <c r="P119">
        <v>-1135.3303000000001</v>
      </c>
      <c r="Q119">
        <v>-0.22284081978423509</v>
      </c>
      <c r="R119">
        <v>0.34065934065934073</v>
      </c>
    </row>
    <row r="120" spans="1:18" x14ac:dyDescent="0.2">
      <c r="A120">
        <v>477</v>
      </c>
      <c r="B120">
        <v>130</v>
      </c>
      <c r="C120" s="1">
        <v>44940</v>
      </c>
      <c r="D120">
        <v>12</v>
      </c>
      <c r="E120">
        <v>8</v>
      </c>
      <c r="F120">
        <v>2930.6507999999999</v>
      </c>
      <c r="G120" t="s">
        <v>142</v>
      </c>
      <c r="H120" t="s">
        <v>12</v>
      </c>
      <c r="I120">
        <v>1911.2939999999999</v>
      </c>
      <c r="J120">
        <v>3185.49</v>
      </c>
      <c r="K120">
        <v>5</v>
      </c>
      <c r="L120">
        <v>3702.3890831204699</v>
      </c>
      <c r="M120">
        <v>3865.1374999999998</v>
      </c>
      <c r="N120">
        <v>35167.809600000001</v>
      </c>
      <c r="O120">
        <v>12232.2816</v>
      </c>
      <c r="P120">
        <v>-934.48669999999993</v>
      </c>
      <c r="Q120">
        <v>-0.24177320987933806</v>
      </c>
      <c r="R120">
        <v>0.34782608695652173</v>
      </c>
    </row>
    <row r="121" spans="1:18" x14ac:dyDescent="0.2">
      <c r="A121">
        <v>469</v>
      </c>
      <c r="B121">
        <v>135</v>
      </c>
      <c r="C121" s="1">
        <v>45735</v>
      </c>
      <c r="D121">
        <v>39</v>
      </c>
      <c r="E121">
        <v>5</v>
      </c>
      <c r="F121">
        <v>7390.7244999999994</v>
      </c>
      <c r="G121" t="s">
        <v>147</v>
      </c>
      <c r="H121" t="s">
        <v>8</v>
      </c>
      <c r="I121">
        <v>4667.826</v>
      </c>
      <c r="J121">
        <v>7779.71</v>
      </c>
      <c r="K121">
        <v>5</v>
      </c>
      <c r="L121">
        <v>9943.8838049098485</v>
      </c>
      <c r="M121">
        <v>4172.7833333333338</v>
      </c>
      <c r="N121">
        <v>288238.25549999997</v>
      </c>
      <c r="O121">
        <v>106193.04149999998</v>
      </c>
      <c r="P121">
        <v>3217.9411666666656</v>
      </c>
      <c r="Q121">
        <v>0.77117379686620013</v>
      </c>
      <c r="R121">
        <v>0.36842105263157893</v>
      </c>
    </row>
    <row r="122" spans="1:18" x14ac:dyDescent="0.2">
      <c r="A122">
        <v>464</v>
      </c>
      <c r="B122">
        <v>132</v>
      </c>
      <c r="C122" s="1">
        <v>45044</v>
      </c>
      <c r="D122">
        <v>32</v>
      </c>
      <c r="E122">
        <v>7</v>
      </c>
      <c r="F122">
        <v>5104.1468999999997</v>
      </c>
      <c r="G122" t="s">
        <v>144</v>
      </c>
      <c r="H122" t="s">
        <v>12</v>
      </c>
      <c r="I122">
        <v>3292.998</v>
      </c>
      <c r="J122">
        <v>5488.33</v>
      </c>
      <c r="K122">
        <v>5</v>
      </c>
      <c r="L122">
        <v>6337.3036879516949</v>
      </c>
      <c r="M122">
        <v>3374.6533333333332</v>
      </c>
      <c r="N122">
        <v>163332.70079999999</v>
      </c>
      <c r="O122">
        <v>57956.76479999999</v>
      </c>
      <c r="P122">
        <v>1729.4935666666665</v>
      </c>
      <c r="Q122">
        <v>0.5124951797517967</v>
      </c>
      <c r="R122">
        <v>0.35483870967741932</v>
      </c>
    </row>
    <row r="123" spans="1:18" x14ac:dyDescent="0.2">
      <c r="A123">
        <v>460</v>
      </c>
      <c r="B123">
        <v>56</v>
      </c>
      <c r="C123" s="1">
        <v>45088</v>
      </c>
      <c r="D123">
        <v>2</v>
      </c>
      <c r="E123">
        <v>9</v>
      </c>
      <c r="F123">
        <v>7263.4380000000001</v>
      </c>
      <c r="G123" t="s">
        <v>68</v>
      </c>
      <c r="H123" t="s">
        <v>35</v>
      </c>
      <c r="I123">
        <v>4789.08</v>
      </c>
      <c r="J123">
        <v>7981.8</v>
      </c>
      <c r="K123">
        <v>5</v>
      </c>
      <c r="L123">
        <v>8643.1619614365591</v>
      </c>
      <c r="M123">
        <v>3458.9274999999998</v>
      </c>
      <c r="N123">
        <v>14526.876</v>
      </c>
      <c r="O123">
        <v>4948.7160000000003</v>
      </c>
      <c r="P123">
        <v>3804.5105000000003</v>
      </c>
      <c r="Q123">
        <v>1.0999104491204283</v>
      </c>
      <c r="R123">
        <v>0.34065934065934067</v>
      </c>
    </row>
    <row r="124" spans="1:18" x14ac:dyDescent="0.2">
      <c r="A124">
        <v>458</v>
      </c>
      <c r="B124">
        <v>138</v>
      </c>
      <c r="C124" s="1">
        <v>46021</v>
      </c>
      <c r="D124">
        <v>8</v>
      </c>
      <c r="E124">
        <v>5</v>
      </c>
      <c r="F124">
        <v>2936.9154999999996</v>
      </c>
      <c r="G124" t="s">
        <v>150</v>
      </c>
      <c r="H124" t="s">
        <v>12</v>
      </c>
      <c r="I124">
        <v>1854.8939999999998</v>
      </c>
      <c r="J124">
        <v>3091.49</v>
      </c>
      <c r="K124">
        <v>5</v>
      </c>
      <c r="L124">
        <v>3770.8951071987785</v>
      </c>
      <c r="M124">
        <v>4980.4933333333329</v>
      </c>
      <c r="N124">
        <v>23495.323999999997</v>
      </c>
      <c r="O124">
        <v>8656.1719999999987</v>
      </c>
      <c r="P124">
        <v>-2043.5778333333333</v>
      </c>
      <c r="Q124">
        <v>-0.41031634751042068</v>
      </c>
      <c r="R124">
        <v>0.36842105263157893</v>
      </c>
    </row>
    <row r="125" spans="1:18" x14ac:dyDescent="0.2">
      <c r="A125">
        <v>124</v>
      </c>
      <c r="B125">
        <v>28</v>
      </c>
      <c r="C125" s="1">
        <v>45309</v>
      </c>
      <c r="D125">
        <v>48</v>
      </c>
      <c r="E125">
        <v>5</v>
      </c>
      <c r="F125">
        <v>5430.7889999999998</v>
      </c>
      <c r="G125" t="s">
        <v>40</v>
      </c>
      <c r="H125" t="s">
        <v>8</v>
      </c>
      <c r="I125">
        <v>3429.9719999999998</v>
      </c>
      <c r="J125">
        <v>5716.62</v>
      </c>
      <c r="K125">
        <v>5</v>
      </c>
      <c r="L125">
        <v>6024.3320121330389</v>
      </c>
      <c r="M125">
        <v>3542.9559999999997</v>
      </c>
      <c r="N125">
        <v>260677.87199999997</v>
      </c>
      <c r="O125">
        <v>96039.216</v>
      </c>
      <c r="P125">
        <v>1887.8330000000001</v>
      </c>
      <c r="Q125">
        <v>0.53284122072077678</v>
      </c>
      <c r="R125">
        <v>0.36842105263157898</v>
      </c>
    </row>
    <row r="126" spans="1:18" x14ac:dyDescent="0.2">
      <c r="A126">
        <v>456</v>
      </c>
      <c r="B126">
        <v>92</v>
      </c>
      <c r="C126" s="1">
        <v>45371</v>
      </c>
      <c r="D126">
        <v>22</v>
      </c>
      <c r="E126">
        <v>8</v>
      </c>
      <c r="F126">
        <v>3291.7784000000001</v>
      </c>
      <c r="G126" t="s">
        <v>104</v>
      </c>
      <c r="H126" t="s">
        <v>19</v>
      </c>
      <c r="I126">
        <v>2146.8119999999999</v>
      </c>
      <c r="J126">
        <v>3578.02</v>
      </c>
      <c r="K126">
        <v>5</v>
      </c>
      <c r="L126">
        <v>4032.623227504997</v>
      </c>
      <c r="M126">
        <v>5387.83</v>
      </c>
      <c r="N126">
        <v>72419.124800000005</v>
      </c>
      <c r="O126">
        <v>25189.260800000004</v>
      </c>
      <c r="P126">
        <v>-2096.0515999999998</v>
      </c>
      <c r="Q126">
        <v>-0.38903447213442144</v>
      </c>
      <c r="R126">
        <v>0.34782608695652178</v>
      </c>
    </row>
    <row r="127" spans="1:18" x14ac:dyDescent="0.2">
      <c r="A127">
        <v>443</v>
      </c>
      <c r="B127">
        <v>38</v>
      </c>
      <c r="C127" s="1">
        <v>46009</v>
      </c>
      <c r="D127">
        <v>47</v>
      </c>
      <c r="E127">
        <v>6</v>
      </c>
      <c r="F127">
        <v>6199.7605999999996</v>
      </c>
      <c r="G127" t="s">
        <v>50</v>
      </c>
      <c r="H127" t="s">
        <v>17</v>
      </c>
      <c r="I127">
        <v>3957.2939999999999</v>
      </c>
      <c r="J127">
        <v>6595.49</v>
      </c>
      <c r="K127">
        <v>5</v>
      </c>
      <c r="L127">
        <v>8444.663039444411</v>
      </c>
      <c r="M127">
        <v>517.86</v>
      </c>
      <c r="N127">
        <v>291388.74819999997</v>
      </c>
      <c r="O127">
        <v>105395.93019999999</v>
      </c>
      <c r="P127">
        <v>5681.9005999999999</v>
      </c>
      <c r="Q127">
        <v>10.971885451666473</v>
      </c>
      <c r="R127">
        <v>0.36170212765957444</v>
      </c>
    </row>
    <row r="128" spans="1:18" x14ac:dyDescent="0.2">
      <c r="A128">
        <v>436</v>
      </c>
      <c r="B128">
        <v>47</v>
      </c>
      <c r="C128" s="1">
        <v>45812</v>
      </c>
      <c r="D128">
        <v>1</v>
      </c>
      <c r="E128">
        <v>4</v>
      </c>
      <c r="F128">
        <v>3277.0367999999999</v>
      </c>
      <c r="G128" t="s">
        <v>59</v>
      </c>
      <c r="H128" t="s">
        <v>10</v>
      </c>
      <c r="I128">
        <v>2048.1479999999997</v>
      </c>
      <c r="J128">
        <v>3413.58</v>
      </c>
      <c r="K128">
        <v>5</v>
      </c>
      <c r="L128">
        <v>3991.2581375841833</v>
      </c>
      <c r="M128">
        <v>2051.0440000000003</v>
      </c>
      <c r="N128">
        <v>3277.0367999999999</v>
      </c>
      <c r="O128">
        <v>1228.8888000000002</v>
      </c>
      <c r="P128">
        <v>1225.9927999999995</v>
      </c>
      <c r="Q128">
        <v>0.5977408578265504</v>
      </c>
      <c r="R128">
        <v>0.37500000000000006</v>
      </c>
    </row>
    <row r="129" spans="1:18" x14ac:dyDescent="0.2">
      <c r="A129">
        <v>435</v>
      </c>
      <c r="B129">
        <v>141</v>
      </c>
      <c r="C129" s="1">
        <v>45374</v>
      </c>
      <c r="D129">
        <v>18</v>
      </c>
      <c r="E129">
        <v>7</v>
      </c>
      <c r="F129">
        <v>7314.6266999999989</v>
      </c>
      <c r="G129" t="s">
        <v>153</v>
      </c>
      <c r="H129" t="s">
        <v>19</v>
      </c>
      <c r="I129">
        <v>4719.1139999999996</v>
      </c>
      <c r="J129">
        <v>7865.19</v>
      </c>
      <c r="K129">
        <v>5</v>
      </c>
      <c r="L129">
        <v>9636.6847603592632</v>
      </c>
      <c r="M129">
        <v>7586.8133333333344</v>
      </c>
      <c r="N129">
        <v>131663.28059999997</v>
      </c>
      <c r="O129">
        <v>46719.228599999988</v>
      </c>
      <c r="P129">
        <v>-272.18663333333552</v>
      </c>
      <c r="Q129">
        <v>-3.58762791931969E-2</v>
      </c>
      <c r="R129">
        <v>0.35483870967741932</v>
      </c>
    </row>
    <row r="130" spans="1:18" x14ac:dyDescent="0.2">
      <c r="A130">
        <v>434</v>
      </c>
      <c r="B130">
        <v>88</v>
      </c>
      <c r="C130" s="1">
        <v>45400</v>
      </c>
      <c r="D130">
        <v>26</v>
      </c>
      <c r="E130">
        <v>9</v>
      </c>
      <c r="F130">
        <v>5675.0603000000001</v>
      </c>
      <c r="G130" t="s">
        <v>100</v>
      </c>
      <c r="H130" t="s">
        <v>35</v>
      </c>
      <c r="I130">
        <v>3741.7979999999998</v>
      </c>
      <c r="J130">
        <v>6236.33</v>
      </c>
      <c r="K130">
        <v>5</v>
      </c>
      <c r="L130">
        <v>7520.019797551543</v>
      </c>
      <c r="M130">
        <v>4981.5050000000001</v>
      </c>
      <c r="N130">
        <v>147551.56779999999</v>
      </c>
      <c r="O130">
        <v>50264.819800000012</v>
      </c>
      <c r="P130">
        <v>693.55529999999999</v>
      </c>
      <c r="Q130">
        <v>0.13922605718552927</v>
      </c>
      <c r="R130">
        <v>0.34065934065934078</v>
      </c>
    </row>
    <row r="131" spans="1:18" x14ac:dyDescent="0.2">
      <c r="A131">
        <v>130</v>
      </c>
      <c r="B131">
        <v>116</v>
      </c>
      <c r="C131" s="1">
        <v>45234</v>
      </c>
      <c r="D131">
        <v>29</v>
      </c>
      <c r="E131">
        <v>9</v>
      </c>
      <c r="F131">
        <v>2150.4665</v>
      </c>
      <c r="G131" t="s">
        <v>128</v>
      </c>
      <c r="H131" t="s">
        <v>19</v>
      </c>
      <c r="I131">
        <v>1417.89</v>
      </c>
      <c r="J131">
        <v>2363.15</v>
      </c>
      <c r="K131">
        <v>5</v>
      </c>
      <c r="L131">
        <v>2796.3804908417233</v>
      </c>
      <c r="M131">
        <v>4469.4999999999991</v>
      </c>
      <c r="N131">
        <v>62363.5285</v>
      </c>
      <c r="O131">
        <v>21244.718499999995</v>
      </c>
      <c r="P131">
        <v>-2319.0334999999991</v>
      </c>
      <c r="Q131">
        <v>-0.51885747846515262</v>
      </c>
      <c r="R131">
        <v>0.34065934065934056</v>
      </c>
    </row>
    <row r="132" spans="1:18" x14ac:dyDescent="0.2">
      <c r="A132">
        <v>433</v>
      </c>
      <c r="B132">
        <v>23</v>
      </c>
      <c r="C132" s="1">
        <v>45944</v>
      </c>
      <c r="D132">
        <v>44</v>
      </c>
      <c r="E132">
        <v>2</v>
      </c>
      <c r="F132">
        <v>3884.1320000000001</v>
      </c>
      <c r="G132" t="s">
        <v>34</v>
      </c>
      <c r="H132" t="s">
        <v>35</v>
      </c>
      <c r="I132">
        <v>2378.04</v>
      </c>
      <c r="J132">
        <v>3963.4</v>
      </c>
      <c r="K132">
        <v>5</v>
      </c>
      <c r="L132">
        <v>4211.8502624860785</v>
      </c>
      <c r="M132">
        <v>5343.3279999999995</v>
      </c>
      <c r="N132">
        <v>170901.80799999999</v>
      </c>
      <c r="O132">
        <v>66268.04800000001</v>
      </c>
      <c r="P132">
        <v>-1459.1959999999995</v>
      </c>
      <c r="Q132">
        <v>-0.27308748405488109</v>
      </c>
      <c r="R132">
        <v>0.38775510204081642</v>
      </c>
    </row>
    <row r="133" spans="1:18" x14ac:dyDescent="0.2">
      <c r="A133">
        <v>432</v>
      </c>
      <c r="B133">
        <v>138</v>
      </c>
      <c r="C133" s="1">
        <v>45617</v>
      </c>
      <c r="D133">
        <v>42</v>
      </c>
      <c r="E133">
        <v>5</v>
      </c>
      <c r="F133">
        <v>2936.9154999999996</v>
      </c>
      <c r="G133" t="s">
        <v>150</v>
      </c>
      <c r="H133" t="s">
        <v>12</v>
      </c>
      <c r="I133">
        <v>1854.8939999999998</v>
      </c>
      <c r="J133">
        <v>3091.49</v>
      </c>
      <c r="K133">
        <v>5</v>
      </c>
      <c r="L133">
        <v>3285.1719797533933</v>
      </c>
      <c r="M133">
        <v>4980.4933333333329</v>
      </c>
      <c r="N133">
        <v>123350.45099999999</v>
      </c>
      <c r="O133">
        <v>45444.902999999991</v>
      </c>
      <c r="P133">
        <v>-2043.5778333333333</v>
      </c>
      <c r="Q133">
        <v>-0.41031634751042068</v>
      </c>
      <c r="R133">
        <v>0.36842105263157893</v>
      </c>
    </row>
    <row r="134" spans="1:18" x14ac:dyDescent="0.2">
      <c r="A134">
        <v>430</v>
      </c>
      <c r="B134">
        <v>14</v>
      </c>
      <c r="C134" s="1">
        <v>44940</v>
      </c>
      <c r="D134">
        <v>45</v>
      </c>
      <c r="E134">
        <v>7</v>
      </c>
      <c r="F134">
        <v>5599.1765999999998</v>
      </c>
      <c r="G134" t="s">
        <v>25</v>
      </c>
      <c r="H134" t="s">
        <v>6</v>
      </c>
      <c r="I134">
        <v>3612.3719999999998</v>
      </c>
      <c r="J134">
        <v>6020.62</v>
      </c>
      <c r="K134">
        <v>5</v>
      </c>
      <c r="L134">
        <v>6798.6755543940735</v>
      </c>
      <c r="M134">
        <v>3652.5316666666672</v>
      </c>
      <c r="N134">
        <v>251962.94699999999</v>
      </c>
      <c r="O134">
        <v>89406.206999999995</v>
      </c>
      <c r="P134">
        <v>1946.6449333333326</v>
      </c>
      <c r="Q134">
        <v>0.5329577156301174</v>
      </c>
      <c r="R134">
        <v>0.35483870967741937</v>
      </c>
    </row>
    <row r="135" spans="1:18" x14ac:dyDescent="0.2">
      <c r="A135">
        <v>413</v>
      </c>
      <c r="B135">
        <v>118</v>
      </c>
      <c r="C135" s="1">
        <v>45827</v>
      </c>
      <c r="D135">
        <v>35</v>
      </c>
      <c r="E135">
        <v>10</v>
      </c>
      <c r="F135">
        <v>2834.3250000000003</v>
      </c>
      <c r="G135" t="s">
        <v>130</v>
      </c>
      <c r="H135" t="s">
        <v>19</v>
      </c>
      <c r="I135">
        <v>1889.55</v>
      </c>
      <c r="J135">
        <v>3149.25</v>
      </c>
      <c r="K135">
        <v>5</v>
      </c>
      <c r="L135">
        <v>3252.9138205417726</v>
      </c>
      <c r="M135">
        <v>224.52399999999997</v>
      </c>
      <c r="N135">
        <v>99201.375000000015</v>
      </c>
      <c r="O135">
        <v>33067.125000000015</v>
      </c>
      <c r="P135">
        <v>2609.8010000000004</v>
      </c>
      <c r="Q135">
        <v>11.623706151680892</v>
      </c>
      <c r="R135">
        <v>0.33333333333333343</v>
      </c>
    </row>
    <row r="136" spans="1:18" x14ac:dyDescent="0.2">
      <c r="A136">
        <v>135</v>
      </c>
      <c r="B136">
        <v>141</v>
      </c>
      <c r="C136" s="1">
        <v>45715</v>
      </c>
      <c r="D136">
        <v>33</v>
      </c>
      <c r="E136">
        <v>3</v>
      </c>
      <c r="F136">
        <v>7629.2342999999992</v>
      </c>
      <c r="G136" t="s">
        <v>153</v>
      </c>
      <c r="H136" t="s">
        <v>19</v>
      </c>
      <c r="I136">
        <v>4719.1139999999996</v>
      </c>
      <c r="J136">
        <v>7865.19</v>
      </c>
      <c r="K136">
        <v>5</v>
      </c>
      <c r="L136">
        <v>8883.6060969308855</v>
      </c>
      <c r="M136">
        <v>7586.8133333333344</v>
      </c>
      <c r="N136">
        <v>251764.73189999998</v>
      </c>
      <c r="O136">
        <v>96033.969899999982</v>
      </c>
      <c r="P136">
        <v>42.420966666664754</v>
      </c>
      <c r="Q136">
        <v>5.5914077232247818E-3</v>
      </c>
      <c r="R136">
        <v>0.38144329896907214</v>
      </c>
    </row>
    <row r="137" spans="1:18" x14ac:dyDescent="0.2">
      <c r="A137">
        <v>411</v>
      </c>
      <c r="B137">
        <v>135</v>
      </c>
      <c r="C137" s="1">
        <v>45157</v>
      </c>
      <c r="D137">
        <v>19</v>
      </c>
      <c r="E137">
        <v>7</v>
      </c>
      <c r="F137">
        <v>7235.1302999999998</v>
      </c>
      <c r="G137" t="s">
        <v>147</v>
      </c>
      <c r="H137" t="s">
        <v>8</v>
      </c>
      <c r="I137">
        <v>4667.826</v>
      </c>
      <c r="J137">
        <v>7779.71</v>
      </c>
      <c r="K137">
        <v>5</v>
      </c>
      <c r="L137">
        <v>8803.3663250500904</v>
      </c>
      <c r="M137">
        <v>4172.7833333333338</v>
      </c>
      <c r="N137">
        <v>137467.47570000001</v>
      </c>
      <c r="O137">
        <v>48778.781699999992</v>
      </c>
      <c r="P137">
        <v>3062.346966666666</v>
      </c>
      <c r="Q137">
        <v>0.73388592745849068</v>
      </c>
      <c r="R137">
        <v>0.35483870967741926</v>
      </c>
    </row>
    <row r="138" spans="1:18" x14ac:dyDescent="0.2">
      <c r="A138">
        <v>407</v>
      </c>
      <c r="B138">
        <v>6</v>
      </c>
      <c r="C138" s="1">
        <v>45884</v>
      </c>
      <c r="D138">
        <v>33</v>
      </c>
      <c r="E138">
        <v>8</v>
      </c>
      <c r="F138">
        <v>3795.1656000000003</v>
      </c>
      <c r="G138" t="s">
        <v>15</v>
      </c>
      <c r="H138" t="s">
        <v>8</v>
      </c>
      <c r="I138">
        <v>2475.1080000000002</v>
      </c>
      <c r="J138">
        <v>4125.18</v>
      </c>
      <c r="K138">
        <v>5</v>
      </c>
      <c r="L138">
        <v>5028.9951031379114</v>
      </c>
      <c r="M138">
        <v>6862.0275000000001</v>
      </c>
      <c r="N138">
        <v>125240.46480000002</v>
      </c>
      <c r="O138">
        <v>43561.900800000003</v>
      </c>
      <c r="P138">
        <v>-3066.8618999999999</v>
      </c>
      <c r="Q138">
        <v>-0.44693232430211038</v>
      </c>
      <c r="R138">
        <v>0.34782608695652173</v>
      </c>
    </row>
    <row r="139" spans="1:18" x14ac:dyDescent="0.2">
      <c r="A139">
        <v>138</v>
      </c>
      <c r="B139">
        <v>92</v>
      </c>
      <c r="C139" s="1">
        <v>45263</v>
      </c>
      <c r="D139">
        <v>35</v>
      </c>
      <c r="E139">
        <v>10</v>
      </c>
      <c r="F139">
        <v>3220.2179999999998</v>
      </c>
      <c r="G139" t="s">
        <v>104</v>
      </c>
      <c r="H139" t="s">
        <v>19</v>
      </c>
      <c r="I139">
        <v>2146.8119999999999</v>
      </c>
      <c r="J139">
        <v>3578.02</v>
      </c>
      <c r="K139">
        <v>5</v>
      </c>
      <c r="L139">
        <v>3836.5910804032846</v>
      </c>
      <c r="M139">
        <v>5387.83</v>
      </c>
      <c r="N139">
        <v>112707.62999999999</v>
      </c>
      <c r="O139">
        <v>37569.21</v>
      </c>
      <c r="P139">
        <v>-2167.6120000000001</v>
      </c>
      <c r="Q139">
        <v>-0.40231633143584711</v>
      </c>
      <c r="R139">
        <v>0.33333333333333337</v>
      </c>
    </row>
    <row r="140" spans="1:18" x14ac:dyDescent="0.2">
      <c r="A140">
        <v>405</v>
      </c>
      <c r="B140">
        <v>88</v>
      </c>
      <c r="C140" s="1">
        <v>45381</v>
      </c>
      <c r="D140">
        <v>17</v>
      </c>
      <c r="E140">
        <v>6</v>
      </c>
      <c r="F140">
        <v>5862.1502</v>
      </c>
      <c r="G140" t="s">
        <v>100</v>
      </c>
      <c r="H140" t="s">
        <v>35</v>
      </c>
      <c r="I140">
        <v>3741.7979999999998</v>
      </c>
      <c r="J140">
        <v>6236.33</v>
      </c>
      <c r="K140">
        <v>5</v>
      </c>
      <c r="L140">
        <v>7170.9625861953837</v>
      </c>
      <c r="M140">
        <v>4981.5050000000001</v>
      </c>
      <c r="N140">
        <v>99656.553400000004</v>
      </c>
      <c r="O140">
        <v>36045.987400000005</v>
      </c>
      <c r="P140">
        <v>880.64519999999993</v>
      </c>
      <c r="Q140">
        <v>0.17678296016966757</v>
      </c>
      <c r="R140">
        <v>0.36170212765957449</v>
      </c>
    </row>
    <row r="141" spans="1:18" x14ac:dyDescent="0.2">
      <c r="A141">
        <v>399</v>
      </c>
      <c r="B141">
        <v>143</v>
      </c>
      <c r="C141" s="1">
        <v>45425</v>
      </c>
      <c r="D141">
        <v>5</v>
      </c>
      <c r="E141">
        <v>5</v>
      </c>
      <c r="F141">
        <v>285.27550000000002</v>
      </c>
      <c r="G141" t="s">
        <v>155</v>
      </c>
      <c r="H141" t="s">
        <v>19</v>
      </c>
      <c r="I141">
        <v>180.17400000000001</v>
      </c>
      <c r="J141">
        <v>300.29000000000002</v>
      </c>
      <c r="K141">
        <v>5</v>
      </c>
      <c r="L141">
        <v>371.59993493300379</v>
      </c>
      <c r="M141">
        <v>2883.9133333333339</v>
      </c>
      <c r="N141">
        <v>1426.3775000000001</v>
      </c>
      <c r="O141">
        <v>525.50750000000005</v>
      </c>
      <c r="P141">
        <v>-2598.6378333333337</v>
      </c>
      <c r="Q141">
        <v>-0.90108041850541043</v>
      </c>
      <c r="R141">
        <v>0.36842105263157898</v>
      </c>
    </row>
    <row r="142" spans="1:18" x14ac:dyDescent="0.2">
      <c r="A142">
        <v>398</v>
      </c>
      <c r="B142">
        <v>23</v>
      </c>
      <c r="C142" s="1">
        <v>45455</v>
      </c>
      <c r="D142">
        <v>46</v>
      </c>
      <c r="E142">
        <v>8</v>
      </c>
      <c r="F142">
        <v>3646.3280000000004</v>
      </c>
      <c r="G142" t="s">
        <v>34</v>
      </c>
      <c r="H142" t="s">
        <v>35</v>
      </c>
      <c r="I142">
        <v>2378.04</v>
      </c>
      <c r="J142">
        <v>3963.4</v>
      </c>
      <c r="K142">
        <v>5</v>
      </c>
      <c r="L142">
        <v>4923.9501112665585</v>
      </c>
      <c r="M142">
        <v>5343.3279999999995</v>
      </c>
      <c r="N142">
        <v>167731.08800000002</v>
      </c>
      <c r="O142">
        <v>58341.248000000021</v>
      </c>
      <c r="P142">
        <v>-1696.9999999999991</v>
      </c>
      <c r="Q142">
        <v>-0.31759233196988829</v>
      </c>
      <c r="R142">
        <v>0.34782608695652184</v>
      </c>
    </row>
    <row r="143" spans="1:18" x14ac:dyDescent="0.2">
      <c r="A143">
        <v>142</v>
      </c>
      <c r="B143">
        <v>116</v>
      </c>
      <c r="C143" s="1">
        <v>45036</v>
      </c>
      <c r="D143">
        <v>44</v>
      </c>
      <c r="E143">
        <v>4</v>
      </c>
      <c r="F143">
        <v>2268.6239999999998</v>
      </c>
      <c r="G143" t="s">
        <v>128</v>
      </c>
      <c r="H143" t="s">
        <v>19</v>
      </c>
      <c r="I143">
        <v>1417.89</v>
      </c>
      <c r="J143">
        <v>2363.15</v>
      </c>
      <c r="K143">
        <v>5</v>
      </c>
      <c r="L143">
        <v>2596.0878239540257</v>
      </c>
      <c r="M143">
        <v>4469.4999999999991</v>
      </c>
      <c r="N143">
        <v>99819.455999999991</v>
      </c>
      <c r="O143">
        <v>37432.295999999988</v>
      </c>
      <c r="P143">
        <v>-2200.8759999999993</v>
      </c>
      <c r="Q143">
        <v>-0.49242107618301817</v>
      </c>
      <c r="R143">
        <v>0.37499999999999989</v>
      </c>
    </row>
    <row r="144" spans="1:18" x14ac:dyDescent="0.2">
      <c r="A144">
        <v>392</v>
      </c>
      <c r="B144">
        <v>9</v>
      </c>
      <c r="C144" s="1">
        <v>45053</v>
      </c>
      <c r="D144">
        <v>2</v>
      </c>
      <c r="E144">
        <v>5</v>
      </c>
      <c r="F144">
        <v>2720.6574999999998</v>
      </c>
      <c r="G144" t="s">
        <v>20</v>
      </c>
      <c r="H144" t="s">
        <v>8</v>
      </c>
      <c r="I144">
        <v>1718.31</v>
      </c>
      <c r="J144">
        <v>2863.85</v>
      </c>
      <c r="K144">
        <v>5</v>
      </c>
      <c r="L144">
        <v>3581.8849019142021</v>
      </c>
      <c r="M144">
        <v>6325.1699999999992</v>
      </c>
      <c r="N144">
        <v>5441.3149999999996</v>
      </c>
      <c r="O144">
        <v>2004.6949999999997</v>
      </c>
      <c r="P144">
        <v>-3604.5124999999994</v>
      </c>
      <c r="Q144">
        <v>-0.56986808259698951</v>
      </c>
      <c r="R144">
        <v>0.36842105263157893</v>
      </c>
    </row>
    <row r="145" spans="1:18" x14ac:dyDescent="0.2">
      <c r="A145">
        <v>388</v>
      </c>
      <c r="B145">
        <v>14</v>
      </c>
      <c r="C145" s="1">
        <v>45116</v>
      </c>
      <c r="D145">
        <v>6</v>
      </c>
      <c r="E145">
        <v>7</v>
      </c>
      <c r="F145">
        <v>5599.1765999999998</v>
      </c>
      <c r="G145" t="s">
        <v>25</v>
      </c>
      <c r="H145" t="s">
        <v>6</v>
      </c>
      <c r="I145">
        <v>3612.3719999999998</v>
      </c>
      <c r="J145">
        <v>6020.62</v>
      </c>
      <c r="K145">
        <v>5</v>
      </c>
      <c r="L145">
        <v>6210.0387420422921</v>
      </c>
      <c r="M145">
        <v>3652.5316666666672</v>
      </c>
      <c r="N145">
        <v>33595.059600000001</v>
      </c>
      <c r="O145">
        <v>11920.827600000001</v>
      </c>
      <c r="P145">
        <v>1946.6449333333326</v>
      </c>
      <c r="Q145">
        <v>0.5329577156301174</v>
      </c>
      <c r="R145">
        <v>0.35483870967741937</v>
      </c>
    </row>
    <row r="146" spans="1:18" x14ac:dyDescent="0.2">
      <c r="A146">
        <v>381</v>
      </c>
      <c r="B146">
        <v>47</v>
      </c>
      <c r="C146" s="1">
        <v>45325</v>
      </c>
      <c r="D146">
        <v>3</v>
      </c>
      <c r="E146">
        <v>4</v>
      </c>
      <c r="F146">
        <v>3277.0367999999999</v>
      </c>
      <c r="G146" t="s">
        <v>59</v>
      </c>
      <c r="H146" t="s">
        <v>10</v>
      </c>
      <c r="I146">
        <v>2048.1479999999997</v>
      </c>
      <c r="J146">
        <v>3413.58</v>
      </c>
      <c r="K146">
        <v>5</v>
      </c>
      <c r="L146">
        <v>3621.4529483394426</v>
      </c>
      <c r="M146">
        <v>2051.0440000000003</v>
      </c>
      <c r="N146">
        <v>9831.1103999999996</v>
      </c>
      <c r="O146">
        <v>3686.6664000000005</v>
      </c>
      <c r="P146">
        <v>1225.9927999999995</v>
      </c>
      <c r="Q146">
        <v>0.5977408578265504</v>
      </c>
      <c r="R146">
        <v>0.37500000000000006</v>
      </c>
    </row>
    <row r="147" spans="1:18" x14ac:dyDescent="0.2">
      <c r="A147">
        <v>377</v>
      </c>
      <c r="B147">
        <v>125</v>
      </c>
      <c r="C147" s="1">
        <v>45454</v>
      </c>
      <c r="D147">
        <v>31</v>
      </c>
      <c r="E147">
        <v>9</v>
      </c>
      <c r="F147">
        <v>3959.4737</v>
      </c>
      <c r="G147" t="s">
        <v>137</v>
      </c>
      <c r="H147" t="s">
        <v>8</v>
      </c>
      <c r="I147">
        <v>2610.6419999999998</v>
      </c>
      <c r="J147">
        <v>4351.07</v>
      </c>
      <c r="K147">
        <v>5</v>
      </c>
      <c r="L147">
        <v>5400.9601375461598</v>
      </c>
      <c r="M147">
        <v>5094.8040000000001</v>
      </c>
      <c r="N147">
        <v>122743.6847</v>
      </c>
      <c r="O147">
        <v>41813.782700000003</v>
      </c>
      <c r="P147">
        <v>-1135.3303000000001</v>
      </c>
      <c r="Q147">
        <v>-0.22284081978423509</v>
      </c>
      <c r="R147">
        <v>0.34065934065934067</v>
      </c>
    </row>
    <row r="148" spans="1:18" x14ac:dyDescent="0.2">
      <c r="A148">
        <v>147</v>
      </c>
      <c r="B148">
        <v>13</v>
      </c>
      <c r="C148" s="1">
        <v>45320</v>
      </c>
      <c r="D148">
        <v>6</v>
      </c>
      <c r="E148">
        <v>10</v>
      </c>
      <c r="F148">
        <v>1617.354</v>
      </c>
      <c r="G148" t="s">
        <v>24</v>
      </c>
      <c r="H148" t="s">
        <v>12</v>
      </c>
      <c r="I148">
        <v>1078.2359999999999</v>
      </c>
      <c r="J148">
        <v>1797.06</v>
      </c>
      <c r="K148">
        <v>5</v>
      </c>
      <c r="L148">
        <v>1970.2045742813107</v>
      </c>
      <c r="M148">
        <v>1712.5580000000002</v>
      </c>
      <c r="N148">
        <v>9704.1239999999998</v>
      </c>
      <c r="O148">
        <v>3234.708000000001</v>
      </c>
      <c r="P148">
        <v>-95.204000000000178</v>
      </c>
      <c r="Q148">
        <v>-5.5591693828763854E-2</v>
      </c>
      <c r="R148">
        <v>0.33333333333333343</v>
      </c>
    </row>
    <row r="149" spans="1:18" x14ac:dyDescent="0.2">
      <c r="A149">
        <v>148</v>
      </c>
      <c r="B149">
        <v>92</v>
      </c>
      <c r="C149" s="1">
        <v>45486</v>
      </c>
      <c r="D149">
        <v>37</v>
      </c>
      <c r="E149">
        <v>6</v>
      </c>
      <c r="F149">
        <v>3363.3388</v>
      </c>
      <c r="G149" t="s">
        <v>104</v>
      </c>
      <c r="H149" t="s">
        <v>19</v>
      </c>
      <c r="I149">
        <v>2146.8119999999999</v>
      </c>
      <c r="J149">
        <v>3578.02</v>
      </c>
      <c r="K149">
        <v>5</v>
      </c>
      <c r="L149">
        <v>4096.6057218766773</v>
      </c>
      <c r="M149">
        <v>5387.83</v>
      </c>
      <c r="N149">
        <v>124443.5356</v>
      </c>
      <c r="O149">
        <v>45011.491600000001</v>
      </c>
      <c r="P149">
        <v>-2024.4911999999999</v>
      </c>
      <c r="Q149">
        <v>-0.37575261283299582</v>
      </c>
      <c r="R149">
        <v>0.36170212765957449</v>
      </c>
    </row>
    <row r="150" spans="1:18" x14ac:dyDescent="0.2">
      <c r="A150">
        <v>365</v>
      </c>
      <c r="B150">
        <v>6</v>
      </c>
      <c r="C150" s="1">
        <v>45154</v>
      </c>
      <c r="D150">
        <v>22</v>
      </c>
      <c r="E150">
        <v>6</v>
      </c>
      <c r="F150">
        <v>3877.6692000000003</v>
      </c>
      <c r="G150" t="s">
        <v>15</v>
      </c>
      <c r="H150" t="s">
        <v>8</v>
      </c>
      <c r="I150">
        <v>2475.1080000000002</v>
      </c>
      <c r="J150">
        <v>4125.18</v>
      </c>
      <c r="K150">
        <v>5</v>
      </c>
      <c r="L150">
        <v>4380.9896079936325</v>
      </c>
      <c r="M150">
        <v>6862.0275000000001</v>
      </c>
      <c r="N150">
        <v>85308.722399999999</v>
      </c>
      <c r="O150">
        <v>30856.346400000002</v>
      </c>
      <c r="P150">
        <v>-2984.3582999999999</v>
      </c>
      <c r="Q150">
        <v>-0.43490911396085191</v>
      </c>
      <c r="R150">
        <v>0.36170212765957449</v>
      </c>
    </row>
    <row r="151" spans="1:18" x14ac:dyDescent="0.2">
      <c r="A151">
        <v>347</v>
      </c>
      <c r="B151">
        <v>74</v>
      </c>
      <c r="C151" s="1">
        <v>45651</v>
      </c>
      <c r="D151">
        <v>43</v>
      </c>
      <c r="E151">
        <v>2</v>
      </c>
      <c r="F151">
        <v>1867.1058</v>
      </c>
      <c r="G151" t="s">
        <v>86</v>
      </c>
      <c r="H151" t="s">
        <v>17</v>
      </c>
      <c r="I151">
        <v>1143.126</v>
      </c>
      <c r="J151">
        <v>1905.21</v>
      </c>
      <c r="K151">
        <v>5</v>
      </c>
      <c r="L151">
        <v>1941.0265880100014</v>
      </c>
      <c r="M151">
        <v>2585.9039999999995</v>
      </c>
      <c r="N151">
        <v>80285.549400000004</v>
      </c>
      <c r="O151">
        <v>31131.131400000002</v>
      </c>
      <c r="P151">
        <v>-718.7981999999995</v>
      </c>
      <c r="Q151">
        <v>-0.27796785959571568</v>
      </c>
      <c r="R151">
        <v>0.38775510204081631</v>
      </c>
    </row>
    <row r="152" spans="1:18" x14ac:dyDescent="0.2">
      <c r="A152">
        <v>339</v>
      </c>
      <c r="B152">
        <v>5</v>
      </c>
      <c r="C152" s="1">
        <v>45368</v>
      </c>
      <c r="D152">
        <v>24</v>
      </c>
      <c r="E152">
        <v>9</v>
      </c>
      <c r="F152">
        <v>755.52750000000003</v>
      </c>
      <c r="G152" t="s">
        <v>13</v>
      </c>
      <c r="H152" t="s">
        <v>14</v>
      </c>
      <c r="I152">
        <v>498.15</v>
      </c>
      <c r="J152">
        <v>830.25</v>
      </c>
      <c r="K152">
        <v>5</v>
      </c>
      <c r="L152">
        <v>894.27135141423344</v>
      </c>
      <c r="M152">
        <v>7010.5333333333328</v>
      </c>
      <c r="N152">
        <v>18132.66</v>
      </c>
      <c r="O152">
        <v>6177.0600000000013</v>
      </c>
      <c r="P152">
        <v>-6255.0058333333327</v>
      </c>
      <c r="Q152">
        <v>-0.89222966868902032</v>
      </c>
      <c r="R152">
        <v>0.34065934065934073</v>
      </c>
    </row>
    <row r="153" spans="1:18" x14ac:dyDescent="0.2">
      <c r="A153">
        <v>338</v>
      </c>
      <c r="B153">
        <v>80</v>
      </c>
      <c r="C153" s="1">
        <v>45941</v>
      </c>
      <c r="D153">
        <v>43</v>
      </c>
      <c r="E153">
        <v>9</v>
      </c>
      <c r="F153">
        <v>909.15370000000007</v>
      </c>
      <c r="G153" t="s">
        <v>92</v>
      </c>
      <c r="H153" t="s">
        <v>8</v>
      </c>
      <c r="I153">
        <v>599.44200000000001</v>
      </c>
      <c r="J153">
        <v>999.07</v>
      </c>
      <c r="K153">
        <v>5</v>
      </c>
      <c r="L153">
        <v>1076.7234481093133</v>
      </c>
      <c r="M153">
        <v>4319.1966666666667</v>
      </c>
      <c r="N153">
        <v>39093.609100000001</v>
      </c>
      <c r="O153">
        <v>13317.603100000002</v>
      </c>
      <c r="P153">
        <v>-3410.0429666666669</v>
      </c>
      <c r="Q153">
        <v>-0.78950861232682934</v>
      </c>
      <c r="R153">
        <v>0.34065934065934073</v>
      </c>
    </row>
    <row r="154" spans="1:18" x14ac:dyDescent="0.2">
      <c r="A154">
        <v>334</v>
      </c>
      <c r="B154">
        <v>116</v>
      </c>
      <c r="C154" s="1">
        <v>45522</v>
      </c>
      <c r="D154">
        <v>22</v>
      </c>
      <c r="E154">
        <v>7</v>
      </c>
      <c r="F154">
        <v>2197.7294999999999</v>
      </c>
      <c r="G154" t="s">
        <v>128</v>
      </c>
      <c r="H154" t="s">
        <v>19</v>
      </c>
      <c r="I154">
        <v>1417.89</v>
      </c>
      <c r="J154">
        <v>2363.15</v>
      </c>
      <c r="K154">
        <v>5</v>
      </c>
      <c r="L154">
        <v>2496.1949238483821</v>
      </c>
      <c r="M154">
        <v>4469.4999999999991</v>
      </c>
      <c r="N154">
        <v>48350.048999999999</v>
      </c>
      <c r="O154">
        <v>17156.468999999997</v>
      </c>
      <c r="P154">
        <v>-2271.7704999999992</v>
      </c>
      <c r="Q154">
        <v>-0.50828291755229882</v>
      </c>
      <c r="R154">
        <v>0.35483870967741932</v>
      </c>
    </row>
    <row r="155" spans="1:18" x14ac:dyDescent="0.2">
      <c r="A155">
        <v>333</v>
      </c>
      <c r="B155">
        <v>80</v>
      </c>
      <c r="C155" s="1">
        <v>44978</v>
      </c>
      <c r="D155">
        <v>48</v>
      </c>
      <c r="E155">
        <v>2</v>
      </c>
      <c r="F155">
        <v>979.08860000000004</v>
      </c>
      <c r="G155" t="s">
        <v>92</v>
      </c>
      <c r="H155" t="s">
        <v>8</v>
      </c>
      <c r="I155">
        <v>599.44200000000001</v>
      </c>
      <c r="J155">
        <v>999.07</v>
      </c>
      <c r="K155">
        <v>5</v>
      </c>
      <c r="L155">
        <v>1081.9288990621915</v>
      </c>
      <c r="M155">
        <v>4319.1966666666667</v>
      </c>
      <c r="N155">
        <v>46996.252800000002</v>
      </c>
      <c r="O155">
        <v>18223.036800000002</v>
      </c>
      <c r="P155">
        <v>-3340.1080666666667</v>
      </c>
      <c r="Q155">
        <v>-0.77331696712120079</v>
      </c>
      <c r="R155">
        <v>0.38775510204081637</v>
      </c>
    </row>
    <row r="156" spans="1:18" x14ac:dyDescent="0.2">
      <c r="A156">
        <v>332</v>
      </c>
      <c r="B156">
        <v>28</v>
      </c>
      <c r="C156" s="1">
        <v>45693</v>
      </c>
      <c r="D156">
        <v>29</v>
      </c>
      <c r="E156">
        <v>6</v>
      </c>
      <c r="F156">
        <v>5373.6227999999992</v>
      </c>
      <c r="G156" t="s">
        <v>40</v>
      </c>
      <c r="H156" t="s">
        <v>8</v>
      </c>
      <c r="I156">
        <v>3429.9719999999998</v>
      </c>
      <c r="J156">
        <v>5716.62</v>
      </c>
      <c r="K156">
        <v>5</v>
      </c>
      <c r="L156">
        <v>5990.8163625598663</v>
      </c>
      <c r="M156">
        <v>3542.9559999999997</v>
      </c>
      <c r="N156">
        <v>155835.06119999997</v>
      </c>
      <c r="O156">
        <v>56365.873199999987</v>
      </c>
      <c r="P156">
        <v>1830.6667999999995</v>
      </c>
      <c r="Q156">
        <v>0.51670604997634739</v>
      </c>
      <c r="R156">
        <v>0.36170212765957444</v>
      </c>
    </row>
    <row r="157" spans="1:18" x14ac:dyDescent="0.2">
      <c r="A157">
        <v>331</v>
      </c>
      <c r="B157">
        <v>5</v>
      </c>
      <c r="C157" s="1">
        <v>45075</v>
      </c>
      <c r="D157">
        <v>17</v>
      </c>
      <c r="E157">
        <v>3</v>
      </c>
      <c r="F157">
        <v>805.34249999999997</v>
      </c>
      <c r="G157" t="s">
        <v>13</v>
      </c>
      <c r="H157" t="s">
        <v>14</v>
      </c>
      <c r="I157">
        <v>498.15</v>
      </c>
      <c r="J157">
        <v>830.25</v>
      </c>
      <c r="K157">
        <v>5</v>
      </c>
      <c r="L157">
        <v>971.0096375298159</v>
      </c>
      <c r="M157">
        <v>7010.5333333333328</v>
      </c>
      <c r="N157">
        <v>13690.8225</v>
      </c>
      <c r="O157">
        <v>5222.2725</v>
      </c>
      <c r="P157">
        <v>-6205.1908333333331</v>
      </c>
      <c r="Q157">
        <v>-0.88512393255862609</v>
      </c>
      <c r="R157">
        <v>0.38144329896907214</v>
      </c>
    </row>
    <row r="158" spans="1:18" x14ac:dyDescent="0.2">
      <c r="A158">
        <v>330</v>
      </c>
      <c r="B158">
        <v>28</v>
      </c>
      <c r="C158" s="1">
        <v>45155</v>
      </c>
      <c r="D158">
        <v>31</v>
      </c>
      <c r="E158">
        <v>3</v>
      </c>
      <c r="F158">
        <v>5545.1214</v>
      </c>
      <c r="G158" t="s">
        <v>40</v>
      </c>
      <c r="H158" t="s">
        <v>8</v>
      </c>
      <c r="I158">
        <v>3429.9719999999998</v>
      </c>
      <c r="J158">
        <v>5716.62</v>
      </c>
      <c r="K158">
        <v>5</v>
      </c>
      <c r="L158">
        <v>7357.0103579034239</v>
      </c>
      <c r="M158">
        <v>3542.9559999999997</v>
      </c>
      <c r="N158">
        <v>171898.7634</v>
      </c>
      <c r="O158">
        <v>65569.631400000013</v>
      </c>
      <c r="P158">
        <v>2002.1654000000003</v>
      </c>
      <c r="Q158">
        <v>0.56511156220963521</v>
      </c>
      <c r="R158">
        <v>0.38144329896907225</v>
      </c>
    </row>
    <row r="159" spans="1:18" x14ac:dyDescent="0.2">
      <c r="A159">
        <v>324</v>
      </c>
      <c r="B159">
        <v>139</v>
      </c>
      <c r="C159" s="1">
        <v>45478</v>
      </c>
      <c r="D159">
        <v>36</v>
      </c>
      <c r="E159">
        <v>9</v>
      </c>
      <c r="F159">
        <v>2357.8827999999999</v>
      </c>
      <c r="G159" t="s">
        <v>151</v>
      </c>
      <c r="H159" t="s">
        <v>17</v>
      </c>
      <c r="I159">
        <v>1554.6479999999999</v>
      </c>
      <c r="J159">
        <v>2591.08</v>
      </c>
      <c r="K159">
        <v>5</v>
      </c>
      <c r="L159">
        <v>2600.5611569301045</v>
      </c>
      <c r="M159">
        <v>2839.1733333333336</v>
      </c>
      <c r="N159">
        <v>84883.780799999993</v>
      </c>
      <c r="O159">
        <v>28916.452799999999</v>
      </c>
      <c r="P159">
        <v>-481.29053333333377</v>
      </c>
      <c r="Q159">
        <v>-0.16951784087386954</v>
      </c>
      <c r="R159">
        <v>0.34065934065934067</v>
      </c>
    </row>
    <row r="160" spans="1:18" x14ac:dyDescent="0.2">
      <c r="A160">
        <v>316</v>
      </c>
      <c r="B160">
        <v>118</v>
      </c>
      <c r="C160" s="1">
        <v>45679</v>
      </c>
      <c r="D160">
        <v>29</v>
      </c>
      <c r="E160">
        <v>6</v>
      </c>
      <c r="F160">
        <v>2960.2949999999996</v>
      </c>
      <c r="G160" t="s">
        <v>130</v>
      </c>
      <c r="H160" t="s">
        <v>19</v>
      </c>
      <c r="I160">
        <v>1889.55</v>
      </c>
      <c r="J160">
        <v>3149.25</v>
      </c>
      <c r="K160">
        <v>5</v>
      </c>
      <c r="L160">
        <v>3329.8682580649843</v>
      </c>
      <c r="M160">
        <v>224.52399999999997</v>
      </c>
      <c r="N160">
        <v>85848.554999999993</v>
      </c>
      <c r="O160">
        <v>31051.604999999989</v>
      </c>
      <c r="P160">
        <v>2735.7709999999997</v>
      </c>
      <c r="Q160">
        <v>12.184759758422263</v>
      </c>
      <c r="R160">
        <v>0.36170212765957438</v>
      </c>
    </row>
    <row r="161" spans="1:18" x14ac:dyDescent="0.2">
      <c r="A161">
        <v>160</v>
      </c>
      <c r="B161">
        <v>125</v>
      </c>
      <c r="C161" s="1">
        <v>46009</v>
      </c>
      <c r="D161">
        <v>43</v>
      </c>
      <c r="E161">
        <v>7</v>
      </c>
      <c r="F161">
        <v>4046.4950999999996</v>
      </c>
      <c r="G161" t="s">
        <v>137</v>
      </c>
      <c r="H161" t="s">
        <v>8</v>
      </c>
      <c r="I161">
        <v>2610.6419999999998</v>
      </c>
      <c r="J161">
        <v>4351.07</v>
      </c>
      <c r="K161">
        <v>5</v>
      </c>
      <c r="L161">
        <v>5269.4162153582156</v>
      </c>
      <c r="M161">
        <v>5094.8040000000001</v>
      </c>
      <c r="N161">
        <v>173999.28929999997</v>
      </c>
      <c r="O161">
        <v>61741.68329999999</v>
      </c>
      <c r="P161">
        <v>-1048.3089000000004</v>
      </c>
      <c r="Q161">
        <v>-0.20576039824103154</v>
      </c>
      <c r="R161">
        <v>0.35483870967741937</v>
      </c>
    </row>
    <row r="162" spans="1:18" x14ac:dyDescent="0.2">
      <c r="A162">
        <v>312</v>
      </c>
      <c r="B162">
        <v>80</v>
      </c>
      <c r="C162" s="1">
        <v>45314</v>
      </c>
      <c r="D162">
        <v>30</v>
      </c>
      <c r="E162">
        <v>7</v>
      </c>
      <c r="F162">
        <v>929.13509999999997</v>
      </c>
      <c r="G162" t="s">
        <v>92</v>
      </c>
      <c r="H162" t="s">
        <v>8</v>
      </c>
      <c r="I162">
        <v>599.44200000000001</v>
      </c>
      <c r="J162">
        <v>999.07</v>
      </c>
      <c r="K162">
        <v>5</v>
      </c>
      <c r="L162">
        <v>1230.2416440333286</v>
      </c>
      <c r="M162">
        <v>4319.1966666666667</v>
      </c>
      <c r="N162">
        <v>27874.053</v>
      </c>
      <c r="O162">
        <v>9890.7929999999978</v>
      </c>
      <c r="P162">
        <v>-3390.0615666666667</v>
      </c>
      <c r="Q162">
        <v>-0.78488242798236396</v>
      </c>
      <c r="R162">
        <v>0.35483870967741926</v>
      </c>
    </row>
    <row r="163" spans="1:18" x14ac:dyDescent="0.2">
      <c r="A163">
        <v>162</v>
      </c>
      <c r="B163">
        <v>13</v>
      </c>
      <c r="C163" s="1">
        <v>45450</v>
      </c>
      <c r="D163">
        <v>16</v>
      </c>
      <c r="E163">
        <v>2</v>
      </c>
      <c r="F163">
        <v>1761.1188</v>
      </c>
      <c r="G163" t="s">
        <v>24</v>
      </c>
      <c r="H163" t="s">
        <v>12</v>
      </c>
      <c r="I163">
        <v>1078.2359999999999</v>
      </c>
      <c r="J163">
        <v>1797.06</v>
      </c>
      <c r="K163">
        <v>5</v>
      </c>
      <c r="L163">
        <v>1835.3971952289958</v>
      </c>
      <c r="M163">
        <v>1712.5580000000002</v>
      </c>
      <c r="N163">
        <v>28177.900799999999</v>
      </c>
      <c r="O163">
        <v>10926.124800000001</v>
      </c>
      <c r="P163">
        <v>48.560799999999745</v>
      </c>
      <c r="Q163">
        <v>2.8355711164234867E-2</v>
      </c>
      <c r="R163">
        <v>0.38775510204081637</v>
      </c>
    </row>
    <row r="164" spans="1:18" x14ac:dyDescent="0.2">
      <c r="A164">
        <v>293</v>
      </c>
      <c r="B164">
        <v>28</v>
      </c>
      <c r="C164" s="1">
        <v>45045</v>
      </c>
      <c r="D164">
        <v>48</v>
      </c>
      <c r="E164">
        <v>5</v>
      </c>
      <c r="F164">
        <v>5430.7889999999998</v>
      </c>
      <c r="G164" t="s">
        <v>40</v>
      </c>
      <c r="H164" t="s">
        <v>8</v>
      </c>
      <c r="I164">
        <v>3429.9719999999998</v>
      </c>
      <c r="J164">
        <v>5716.62</v>
      </c>
      <c r="K164">
        <v>5</v>
      </c>
      <c r="L164">
        <v>6460.2771178667226</v>
      </c>
      <c r="M164">
        <v>3542.9559999999997</v>
      </c>
      <c r="N164">
        <v>260677.87199999997</v>
      </c>
      <c r="O164">
        <v>96039.216</v>
      </c>
      <c r="P164">
        <v>1887.8330000000001</v>
      </c>
      <c r="Q164">
        <v>0.53284122072077678</v>
      </c>
      <c r="R164">
        <v>0.36842105263157898</v>
      </c>
    </row>
    <row r="165" spans="1:18" x14ac:dyDescent="0.2">
      <c r="A165">
        <v>291</v>
      </c>
      <c r="B165">
        <v>47</v>
      </c>
      <c r="C165" s="1">
        <v>45146</v>
      </c>
      <c r="D165">
        <v>15</v>
      </c>
      <c r="E165">
        <v>2</v>
      </c>
      <c r="F165">
        <v>3345.3083999999999</v>
      </c>
      <c r="G165" t="s">
        <v>59</v>
      </c>
      <c r="H165" t="s">
        <v>10</v>
      </c>
      <c r="I165">
        <v>2048.1479999999997</v>
      </c>
      <c r="J165">
        <v>3413.58</v>
      </c>
      <c r="K165">
        <v>5</v>
      </c>
      <c r="L165">
        <v>4335.6596221930795</v>
      </c>
      <c r="M165">
        <v>2051.0440000000003</v>
      </c>
      <c r="N165">
        <v>50179.625999999997</v>
      </c>
      <c r="O165">
        <v>19457.406000000003</v>
      </c>
      <c r="P165">
        <v>1294.2643999999996</v>
      </c>
      <c r="Q165">
        <v>0.63102712569793695</v>
      </c>
      <c r="R165">
        <v>0.38775510204081642</v>
      </c>
    </row>
    <row r="166" spans="1:18" x14ac:dyDescent="0.2">
      <c r="A166">
        <v>282</v>
      </c>
      <c r="B166">
        <v>125</v>
      </c>
      <c r="C166" s="1">
        <v>44990</v>
      </c>
      <c r="D166">
        <v>31</v>
      </c>
      <c r="E166">
        <v>2</v>
      </c>
      <c r="F166">
        <v>4264.0486000000001</v>
      </c>
      <c r="G166" t="s">
        <v>137</v>
      </c>
      <c r="H166" t="s">
        <v>8</v>
      </c>
      <c r="I166">
        <v>2610.6419999999998</v>
      </c>
      <c r="J166">
        <v>4351.07</v>
      </c>
      <c r="K166">
        <v>5</v>
      </c>
      <c r="L166">
        <v>4695.6688978374923</v>
      </c>
      <c r="M166">
        <v>5094.8040000000001</v>
      </c>
      <c r="N166">
        <v>132185.50659999999</v>
      </c>
      <c r="O166">
        <v>51255.604600000006</v>
      </c>
      <c r="P166">
        <v>-830.75540000000001</v>
      </c>
      <c r="Q166">
        <v>-0.16305934438302239</v>
      </c>
      <c r="R166">
        <v>0.38775510204081637</v>
      </c>
    </row>
    <row r="167" spans="1:18" x14ac:dyDescent="0.2">
      <c r="A167">
        <v>279</v>
      </c>
      <c r="B167">
        <v>38</v>
      </c>
      <c r="C167" s="1">
        <v>45412</v>
      </c>
      <c r="D167">
        <v>41</v>
      </c>
      <c r="E167">
        <v>10</v>
      </c>
      <c r="F167">
        <v>5935.9409999999998</v>
      </c>
      <c r="G167" t="s">
        <v>50</v>
      </c>
      <c r="H167" t="s">
        <v>17</v>
      </c>
      <c r="I167">
        <v>3957.2939999999999</v>
      </c>
      <c r="J167">
        <v>6595.49</v>
      </c>
      <c r="K167">
        <v>5</v>
      </c>
      <c r="L167">
        <v>7621.6397759219808</v>
      </c>
      <c r="M167">
        <v>517.86</v>
      </c>
      <c r="N167">
        <v>243373.58100000001</v>
      </c>
      <c r="O167">
        <v>81124.527000000002</v>
      </c>
      <c r="P167">
        <v>5418.0810000000001</v>
      </c>
      <c r="Q167">
        <v>10.462443517553007</v>
      </c>
      <c r="R167">
        <v>0.33333333333333331</v>
      </c>
    </row>
    <row r="168" spans="1:18" x14ac:dyDescent="0.2">
      <c r="A168">
        <v>274</v>
      </c>
      <c r="B168">
        <v>88</v>
      </c>
      <c r="C168" s="1">
        <v>45750</v>
      </c>
      <c r="D168">
        <v>40</v>
      </c>
      <c r="E168">
        <v>6</v>
      </c>
      <c r="F168">
        <v>5862.1502</v>
      </c>
      <c r="G168" t="s">
        <v>100</v>
      </c>
      <c r="H168" t="s">
        <v>35</v>
      </c>
      <c r="I168">
        <v>3741.7979999999998</v>
      </c>
      <c r="J168">
        <v>6236.33</v>
      </c>
      <c r="K168">
        <v>5</v>
      </c>
      <c r="L168">
        <v>7405.4608601139744</v>
      </c>
      <c r="M168">
        <v>4981.5050000000001</v>
      </c>
      <c r="N168">
        <v>234486.008</v>
      </c>
      <c r="O168">
        <v>84814.088000000018</v>
      </c>
      <c r="P168">
        <v>880.64519999999993</v>
      </c>
      <c r="Q168">
        <v>0.17678296016966757</v>
      </c>
      <c r="R168">
        <v>0.36170212765957455</v>
      </c>
    </row>
    <row r="169" spans="1:18" x14ac:dyDescent="0.2">
      <c r="A169">
        <v>272</v>
      </c>
      <c r="B169">
        <v>74</v>
      </c>
      <c r="C169" s="1">
        <v>45683</v>
      </c>
      <c r="D169">
        <v>42</v>
      </c>
      <c r="E169">
        <v>3</v>
      </c>
      <c r="F169">
        <v>1848.0536999999999</v>
      </c>
      <c r="G169" t="s">
        <v>86</v>
      </c>
      <c r="H169" t="s">
        <v>17</v>
      </c>
      <c r="I169">
        <v>1143.126</v>
      </c>
      <c r="J169">
        <v>1905.21</v>
      </c>
      <c r="K169">
        <v>5</v>
      </c>
      <c r="L169">
        <v>2381.611905541281</v>
      </c>
      <c r="M169">
        <v>2585.9039999999995</v>
      </c>
      <c r="N169">
        <v>77618.255399999995</v>
      </c>
      <c r="O169">
        <v>29606.963399999997</v>
      </c>
      <c r="P169">
        <v>-737.85029999999961</v>
      </c>
      <c r="Q169">
        <v>-0.2853355344978003</v>
      </c>
      <c r="R169">
        <v>0.38144329896907214</v>
      </c>
    </row>
    <row r="170" spans="1:18" x14ac:dyDescent="0.2">
      <c r="A170">
        <v>271</v>
      </c>
      <c r="B170">
        <v>6</v>
      </c>
      <c r="C170" s="1">
        <v>45434</v>
      </c>
      <c r="D170">
        <v>1</v>
      </c>
      <c r="E170">
        <v>7</v>
      </c>
      <c r="F170">
        <v>3836.4173999999998</v>
      </c>
      <c r="G170" t="s">
        <v>15</v>
      </c>
      <c r="H170" t="s">
        <v>8</v>
      </c>
      <c r="I170">
        <v>2475.1080000000002</v>
      </c>
      <c r="J170">
        <v>4125.18</v>
      </c>
      <c r="K170">
        <v>5</v>
      </c>
      <c r="L170">
        <v>4755.3109669504456</v>
      </c>
      <c r="M170">
        <v>6862.0275000000001</v>
      </c>
      <c r="N170">
        <v>3836.4173999999998</v>
      </c>
      <c r="O170">
        <v>1361.3093999999996</v>
      </c>
      <c r="P170">
        <v>-3025.6101000000003</v>
      </c>
      <c r="Q170">
        <v>-0.44092071913148123</v>
      </c>
      <c r="R170">
        <v>0.35483870967741926</v>
      </c>
    </row>
    <row r="171" spans="1:18" x14ac:dyDescent="0.2">
      <c r="A171">
        <v>263</v>
      </c>
      <c r="B171">
        <v>130</v>
      </c>
      <c r="C171" s="1">
        <v>45449</v>
      </c>
      <c r="D171">
        <v>9</v>
      </c>
      <c r="E171">
        <v>10</v>
      </c>
      <c r="F171">
        <v>2866.9409999999998</v>
      </c>
      <c r="G171" t="s">
        <v>142</v>
      </c>
      <c r="H171" t="s">
        <v>12</v>
      </c>
      <c r="I171">
        <v>1911.2939999999999</v>
      </c>
      <c r="J171">
        <v>3185.49</v>
      </c>
      <c r="K171">
        <v>5</v>
      </c>
      <c r="L171">
        <v>3201.3875414095055</v>
      </c>
      <c r="M171">
        <v>3865.1374999999998</v>
      </c>
      <c r="N171">
        <v>25802.468999999997</v>
      </c>
      <c r="O171">
        <v>8600.8230000000003</v>
      </c>
      <c r="P171">
        <v>-998.19650000000001</v>
      </c>
      <c r="Q171">
        <v>-0.25825640096891767</v>
      </c>
      <c r="R171">
        <v>0.33333333333333337</v>
      </c>
    </row>
    <row r="172" spans="1:18" x14ac:dyDescent="0.2">
      <c r="A172">
        <v>258</v>
      </c>
      <c r="B172">
        <v>92</v>
      </c>
      <c r="C172" s="1">
        <v>45255</v>
      </c>
      <c r="D172">
        <v>22</v>
      </c>
      <c r="E172">
        <v>9</v>
      </c>
      <c r="F172">
        <v>3255.9982</v>
      </c>
      <c r="G172" t="s">
        <v>104</v>
      </c>
      <c r="H172" t="s">
        <v>19</v>
      </c>
      <c r="I172">
        <v>2146.8119999999999</v>
      </c>
      <c r="J172">
        <v>3578.02</v>
      </c>
      <c r="K172">
        <v>5</v>
      </c>
      <c r="L172">
        <v>4012.78545881234</v>
      </c>
      <c r="M172">
        <v>5387.83</v>
      </c>
      <c r="N172">
        <v>71631.960399999996</v>
      </c>
      <c r="O172">
        <v>24402.096400000002</v>
      </c>
      <c r="P172">
        <v>-2131.8317999999999</v>
      </c>
      <c r="Q172">
        <v>-0.39567540178513427</v>
      </c>
      <c r="R172">
        <v>0.34065934065934073</v>
      </c>
    </row>
    <row r="173" spans="1:18" x14ac:dyDescent="0.2">
      <c r="A173">
        <v>257</v>
      </c>
      <c r="B173">
        <v>9</v>
      </c>
      <c r="C173" s="1">
        <v>45672</v>
      </c>
      <c r="D173">
        <v>32</v>
      </c>
      <c r="E173">
        <v>3</v>
      </c>
      <c r="F173">
        <v>2777.9344999999998</v>
      </c>
      <c r="G173" t="s">
        <v>20</v>
      </c>
      <c r="H173" t="s">
        <v>8</v>
      </c>
      <c r="I173">
        <v>1718.31</v>
      </c>
      <c r="J173">
        <v>2863.85</v>
      </c>
      <c r="K173">
        <v>5</v>
      </c>
      <c r="L173">
        <v>2882.6121289134348</v>
      </c>
      <c r="M173">
        <v>6325.1699999999992</v>
      </c>
      <c r="N173">
        <v>88893.903999999995</v>
      </c>
      <c r="O173">
        <v>33907.983999999997</v>
      </c>
      <c r="P173">
        <v>-3547.2354999999993</v>
      </c>
      <c r="Q173">
        <v>-0.56081267380955768</v>
      </c>
      <c r="R173">
        <v>0.38144329896907214</v>
      </c>
    </row>
    <row r="174" spans="1:18" x14ac:dyDescent="0.2">
      <c r="A174">
        <v>245</v>
      </c>
      <c r="B174">
        <v>141</v>
      </c>
      <c r="C174" s="1">
        <v>45626</v>
      </c>
      <c r="D174">
        <v>40</v>
      </c>
      <c r="E174">
        <v>3</v>
      </c>
      <c r="F174">
        <v>7629.2342999999992</v>
      </c>
      <c r="G174" t="s">
        <v>153</v>
      </c>
      <c r="H174" t="s">
        <v>19</v>
      </c>
      <c r="I174">
        <v>4719.1139999999996</v>
      </c>
      <c r="J174">
        <v>7865.19</v>
      </c>
      <c r="K174">
        <v>5</v>
      </c>
      <c r="L174">
        <v>8383.0061378157243</v>
      </c>
      <c r="M174">
        <v>7586.8133333333344</v>
      </c>
      <c r="N174">
        <v>305169.37199999997</v>
      </c>
      <c r="O174">
        <v>116404.81199999998</v>
      </c>
      <c r="P174">
        <v>42.420966666664754</v>
      </c>
      <c r="Q174">
        <v>5.5914077232247818E-3</v>
      </c>
      <c r="R174">
        <v>0.38144329896907214</v>
      </c>
    </row>
    <row r="175" spans="1:18" x14ac:dyDescent="0.2">
      <c r="A175">
        <v>238</v>
      </c>
      <c r="B175">
        <v>23</v>
      </c>
      <c r="C175" s="1">
        <v>45027</v>
      </c>
      <c r="D175">
        <v>12</v>
      </c>
      <c r="E175">
        <v>8</v>
      </c>
      <c r="F175">
        <v>3646.3280000000004</v>
      </c>
      <c r="G175" t="s">
        <v>34</v>
      </c>
      <c r="H175" t="s">
        <v>35</v>
      </c>
      <c r="I175">
        <v>2378.04</v>
      </c>
      <c r="J175">
        <v>3963.4</v>
      </c>
      <c r="K175">
        <v>5</v>
      </c>
      <c r="L175">
        <v>4768.4511936551789</v>
      </c>
      <c r="M175">
        <v>5343.3279999999995</v>
      </c>
      <c r="N175">
        <v>43755.936000000002</v>
      </c>
      <c r="O175">
        <v>15219.456000000006</v>
      </c>
      <c r="P175">
        <v>-1696.9999999999991</v>
      </c>
      <c r="Q175">
        <v>-0.31759233196988829</v>
      </c>
      <c r="R175">
        <v>0.34782608695652184</v>
      </c>
    </row>
    <row r="176" spans="1:18" x14ac:dyDescent="0.2">
      <c r="A176">
        <v>236</v>
      </c>
      <c r="B176">
        <v>56</v>
      </c>
      <c r="C176" s="1">
        <v>45944</v>
      </c>
      <c r="D176">
        <v>29</v>
      </c>
      <c r="E176">
        <v>9</v>
      </c>
      <c r="F176">
        <v>7263.4380000000001</v>
      </c>
      <c r="G176" t="s">
        <v>68</v>
      </c>
      <c r="H176" t="s">
        <v>35</v>
      </c>
      <c r="I176">
        <v>4789.08</v>
      </c>
      <c r="J176">
        <v>7981.8</v>
      </c>
      <c r="K176">
        <v>5</v>
      </c>
      <c r="L176">
        <v>10035.02856932234</v>
      </c>
      <c r="M176">
        <v>3458.9274999999998</v>
      </c>
      <c r="N176">
        <v>210639.70199999999</v>
      </c>
      <c r="O176">
        <v>71756.382000000012</v>
      </c>
      <c r="P176">
        <v>3804.5105000000003</v>
      </c>
      <c r="Q176">
        <v>1.0999104491204283</v>
      </c>
      <c r="R176">
        <v>0.34065934065934073</v>
      </c>
    </row>
    <row r="177" spans="1:18" x14ac:dyDescent="0.2">
      <c r="A177">
        <v>231</v>
      </c>
      <c r="B177">
        <v>6</v>
      </c>
      <c r="C177" s="1">
        <v>45569</v>
      </c>
      <c r="D177">
        <v>26</v>
      </c>
      <c r="E177">
        <v>2</v>
      </c>
      <c r="F177">
        <v>4042.6764000000003</v>
      </c>
      <c r="G177" t="s">
        <v>15</v>
      </c>
      <c r="H177" t="s">
        <v>8</v>
      </c>
      <c r="I177">
        <v>2475.1080000000002</v>
      </c>
      <c r="J177">
        <v>4125.18</v>
      </c>
      <c r="K177">
        <v>5</v>
      </c>
      <c r="L177">
        <v>4979.4843375024848</v>
      </c>
      <c r="M177">
        <v>6862.0275000000001</v>
      </c>
      <c r="N177">
        <v>105109.5864</v>
      </c>
      <c r="O177">
        <v>40756.778400000003</v>
      </c>
      <c r="P177">
        <v>-2819.3510999999999</v>
      </c>
      <c r="Q177">
        <v>-0.41086269327833497</v>
      </c>
      <c r="R177">
        <v>0.38775510204081637</v>
      </c>
    </row>
    <row r="178" spans="1:18" x14ac:dyDescent="0.2">
      <c r="A178">
        <v>228</v>
      </c>
      <c r="B178">
        <v>88</v>
      </c>
      <c r="C178" s="1">
        <v>45821</v>
      </c>
      <c r="D178">
        <v>14</v>
      </c>
      <c r="E178">
        <v>4</v>
      </c>
      <c r="F178">
        <v>5986.8768</v>
      </c>
      <c r="G178" t="s">
        <v>100</v>
      </c>
      <c r="H178" t="s">
        <v>35</v>
      </c>
      <c r="I178">
        <v>3741.7979999999998</v>
      </c>
      <c r="J178">
        <v>6236.33</v>
      </c>
      <c r="K178">
        <v>5</v>
      </c>
      <c r="L178">
        <v>6630.6949661655135</v>
      </c>
      <c r="M178">
        <v>4981.5050000000001</v>
      </c>
      <c r="N178">
        <v>83816.275200000004</v>
      </c>
      <c r="O178">
        <v>31431.103200000005</v>
      </c>
      <c r="P178">
        <v>1005.3717999999999</v>
      </c>
      <c r="Q178">
        <v>0.20182089549242646</v>
      </c>
      <c r="R178">
        <v>0.37500000000000006</v>
      </c>
    </row>
    <row r="179" spans="1:18" x14ac:dyDescent="0.2">
      <c r="A179">
        <v>224</v>
      </c>
      <c r="B179">
        <v>88</v>
      </c>
      <c r="C179" s="1">
        <v>45591</v>
      </c>
      <c r="D179">
        <v>16</v>
      </c>
      <c r="E179">
        <v>9</v>
      </c>
      <c r="F179">
        <v>5675.0603000000001</v>
      </c>
      <c r="G179" t="s">
        <v>100</v>
      </c>
      <c r="H179" t="s">
        <v>35</v>
      </c>
      <c r="I179">
        <v>3741.7979999999998</v>
      </c>
      <c r="J179">
        <v>6236.33</v>
      </c>
      <c r="K179">
        <v>5</v>
      </c>
      <c r="L179">
        <v>6657.4033628446296</v>
      </c>
      <c r="M179">
        <v>4981.5050000000001</v>
      </c>
      <c r="N179">
        <v>90800.964800000002</v>
      </c>
      <c r="O179">
        <v>30932.196800000005</v>
      </c>
      <c r="P179">
        <v>693.55529999999999</v>
      </c>
      <c r="Q179">
        <v>0.13922605718552927</v>
      </c>
      <c r="R179">
        <v>0.34065934065934073</v>
      </c>
    </row>
    <row r="180" spans="1:18" x14ac:dyDescent="0.2">
      <c r="A180">
        <v>219</v>
      </c>
      <c r="B180">
        <v>28</v>
      </c>
      <c r="C180" s="1">
        <v>45146</v>
      </c>
      <c r="D180">
        <v>7</v>
      </c>
      <c r="E180">
        <v>5</v>
      </c>
      <c r="F180">
        <v>5430.7889999999998</v>
      </c>
      <c r="G180" t="s">
        <v>40</v>
      </c>
      <c r="H180" t="s">
        <v>8</v>
      </c>
      <c r="I180">
        <v>3429.9719999999998</v>
      </c>
      <c r="J180">
        <v>5716.62</v>
      </c>
      <c r="K180">
        <v>5</v>
      </c>
      <c r="L180">
        <v>6388.3259563028532</v>
      </c>
      <c r="M180">
        <v>3542.9559999999997</v>
      </c>
      <c r="N180">
        <v>38015.523000000001</v>
      </c>
      <c r="O180">
        <v>14005.719000000001</v>
      </c>
      <c r="P180">
        <v>1887.8330000000001</v>
      </c>
      <c r="Q180">
        <v>0.53284122072077678</v>
      </c>
      <c r="R180">
        <v>0.36842105263157898</v>
      </c>
    </row>
    <row r="181" spans="1:18" x14ac:dyDescent="0.2">
      <c r="A181">
        <v>180</v>
      </c>
      <c r="B181">
        <v>126</v>
      </c>
      <c r="C181" s="1">
        <v>45473</v>
      </c>
      <c r="D181">
        <v>25</v>
      </c>
      <c r="E181">
        <v>4</v>
      </c>
      <c r="F181">
        <v>972.70079999999996</v>
      </c>
      <c r="G181" t="s">
        <v>138</v>
      </c>
      <c r="H181" t="s">
        <v>12</v>
      </c>
      <c r="I181">
        <v>607.93799999999999</v>
      </c>
      <c r="J181">
        <v>1013.23</v>
      </c>
      <c r="K181">
        <v>5</v>
      </c>
      <c r="L181">
        <v>1068.7498672575164</v>
      </c>
      <c r="M181">
        <v>7593.0025000000005</v>
      </c>
      <c r="N181">
        <v>24317.52</v>
      </c>
      <c r="O181">
        <v>9119.07</v>
      </c>
      <c r="P181">
        <v>-6620.3017000000009</v>
      </c>
      <c r="Q181">
        <v>-0.87189510341923371</v>
      </c>
      <c r="R181">
        <v>0.375</v>
      </c>
    </row>
    <row r="182" spans="1:18" x14ac:dyDescent="0.2">
      <c r="A182">
        <v>214</v>
      </c>
      <c r="B182">
        <v>5</v>
      </c>
      <c r="C182" s="1">
        <v>45527</v>
      </c>
      <c r="D182">
        <v>46</v>
      </c>
      <c r="E182">
        <v>10</v>
      </c>
      <c r="F182">
        <v>747.22500000000002</v>
      </c>
      <c r="G182" t="s">
        <v>13</v>
      </c>
      <c r="H182" t="s">
        <v>14</v>
      </c>
      <c r="I182">
        <v>498.15</v>
      </c>
      <c r="J182">
        <v>830.25</v>
      </c>
      <c r="K182">
        <v>5</v>
      </c>
      <c r="L182">
        <v>927.46017291489659</v>
      </c>
      <c r="M182">
        <v>7010.5333333333328</v>
      </c>
      <c r="N182">
        <v>34372.35</v>
      </c>
      <c r="O182">
        <v>11457.450000000003</v>
      </c>
      <c r="P182">
        <v>-6263.3083333333325</v>
      </c>
      <c r="Q182">
        <v>-0.89341395804408597</v>
      </c>
      <c r="R182">
        <v>0.33333333333333343</v>
      </c>
    </row>
    <row r="183" spans="1:18" x14ac:dyDescent="0.2">
      <c r="A183">
        <v>213</v>
      </c>
      <c r="B183">
        <v>145</v>
      </c>
      <c r="C183" s="1">
        <v>44933</v>
      </c>
      <c r="D183">
        <v>13</v>
      </c>
      <c r="E183">
        <v>10</v>
      </c>
      <c r="F183">
        <v>5817.1950000000006</v>
      </c>
      <c r="G183" t="s">
        <v>157</v>
      </c>
      <c r="H183" t="s">
        <v>10</v>
      </c>
      <c r="I183">
        <v>3878.13</v>
      </c>
      <c r="J183">
        <v>6463.55</v>
      </c>
      <c r="K183">
        <v>5</v>
      </c>
      <c r="L183">
        <v>6613.3015621297427</v>
      </c>
      <c r="M183">
        <v>699.73666666666668</v>
      </c>
      <c r="N183">
        <v>75623.535000000003</v>
      </c>
      <c r="O183">
        <v>25207.845000000008</v>
      </c>
      <c r="P183">
        <v>5117.4583333333339</v>
      </c>
      <c r="Q183">
        <v>7.3134059955888171</v>
      </c>
      <c r="R183">
        <v>0.33333333333333343</v>
      </c>
    </row>
    <row r="184" spans="1:18" x14ac:dyDescent="0.2">
      <c r="A184">
        <v>211</v>
      </c>
      <c r="B184">
        <v>28</v>
      </c>
      <c r="C184" s="1">
        <v>45130</v>
      </c>
      <c r="D184">
        <v>27</v>
      </c>
      <c r="E184">
        <v>8</v>
      </c>
      <c r="F184">
        <v>5259.2903999999999</v>
      </c>
      <c r="G184" t="s">
        <v>40</v>
      </c>
      <c r="H184" t="s">
        <v>8</v>
      </c>
      <c r="I184">
        <v>3429.9719999999998</v>
      </c>
      <c r="J184">
        <v>5716.62</v>
      </c>
      <c r="K184">
        <v>5</v>
      </c>
      <c r="L184">
        <v>7312.2106326626144</v>
      </c>
      <c r="M184">
        <v>3542.9559999999997</v>
      </c>
      <c r="N184">
        <v>142000.84080000001</v>
      </c>
      <c r="O184">
        <v>49391.596799999999</v>
      </c>
      <c r="P184">
        <v>1716.3344000000002</v>
      </c>
      <c r="Q184">
        <v>0.48443570848748907</v>
      </c>
      <c r="R184">
        <v>0.34782608695652173</v>
      </c>
    </row>
    <row r="185" spans="1:18" x14ac:dyDescent="0.2">
      <c r="A185">
        <v>206</v>
      </c>
      <c r="B185">
        <v>47</v>
      </c>
      <c r="C185" s="1">
        <v>44956</v>
      </c>
      <c r="D185">
        <v>42</v>
      </c>
      <c r="E185">
        <v>4</v>
      </c>
      <c r="F185">
        <v>3277.0367999999999</v>
      </c>
      <c r="G185" t="s">
        <v>59</v>
      </c>
      <c r="H185" t="s">
        <v>10</v>
      </c>
      <c r="I185">
        <v>2048.1479999999997</v>
      </c>
      <c r="J185">
        <v>3413.58</v>
      </c>
      <c r="K185">
        <v>5</v>
      </c>
      <c r="L185">
        <v>4387.3890586410125</v>
      </c>
      <c r="M185">
        <v>2051.0440000000003</v>
      </c>
      <c r="N185">
        <v>137635.54559999998</v>
      </c>
      <c r="O185">
        <v>51613.329600000005</v>
      </c>
      <c r="P185">
        <v>1225.9927999999995</v>
      </c>
      <c r="Q185">
        <v>0.5977408578265504</v>
      </c>
      <c r="R185">
        <v>0.37500000000000006</v>
      </c>
    </row>
    <row r="186" spans="1:18" x14ac:dyDescent="0.2">
      <c r="A186">
        <v>205</v>
      </c>
      <c r="B186">
        <v>130</v>
      </c>
      <c r="C186" s="1">
        <v>45524</v>
      </c>
      <c r="D186">
        <v>43</v>
      </c>
      <c r="E186">
        <v>3</v>
      </c>
      <c r="F186">
        <v>3089.9252999999999</v>
      </c>
      <c r="G186" t="s">
        <v>142</v>
      </c>
      <c r="H186" t="s">
        <v>12</v>
      </c>
      <c r="I186">
        <v>1911.2939999999999</v>
      </c>
      <c r="J186">
        <v>3185.49</v>
      </c>
      <c r="K186">
        <v>5</v>
      </c>
      <c r="L186">
        <v>3502.3826967079076</v>
      </c>
      <c r="M186">
        <v>3865.1374999999998</v>
      </c>
      <c r="N186">
        <v>132866.7879</v>
      </c>
      <c r="O186">
        <v>50681.145900000003</v>
      </c>
      <c r="P186">
        <v>-775.21219999999994</v>
      </c>
      <c r="Q186">
        <v>-0.20056523215538904</v>
      </c>
      <c r="R186">
        <v>0.3814432989690722</v>
      </c>
    </row>
    <row r="187" spans="1:18" x14ac:dyDescent="0.2">
      <c r="A187">
        <v>186</v>
      </c>
      <c r="B187">
        <v>126</v>
      </c>
      <c r="C187" s="1">
        <v>45405</v>
      </c>
      <c r="D187">
        <v>17</v>
      </c>
      <c r="E187">
        <v>4</v>
      </c>
      <c r="F187">
        <v>972.70079999999996</v>
      </c>
      <c r="G187" t="s">
        <v>138</v>
      </c>
      <c r="H187" t="s">
        <v>12</v>
      </c>
      <c r="I187">
        <v>607.93799999999999</v>
      </c>
      <c r="J187">
        <v>1013.23</v>
      </c>
      <c r="K187">
        <v>5</v>
      </c>
      <c r="L187">
        <v>1080.609467675105</v>
      </c>
      <c r="M187">
        <v>7593.0025000000005</v>
      </c>
      <c r="N187">
        <v>16535.9136</v>
      </c>
      <c r="O187">
        <v>6200.9675999999999</v>
      </c>
      <c r="P187">
        <v>-6620.3017000000009</v>
      </c>
      <c r="Q187">
        <v>-0.87189510341923371</v>
      </c>
      <c r="R187">
        <v>0.375</v>
      </c>
    </row>
    <row r="188" spans="1:18" x14ac:dyDescent="0.2">
      <c r="A188">
        <v>190</v>
      </c>
      <c r="B188">
        <v>145</v>
      </c>
      <c r="C188" s="1">
        <v>45859</v>
      </c>
      <c r="D188">
        <v>9</v>
      </c>
      <c r="E188">
        <v>8</v>
      </c>
      <c r="F188">
        <v>5946.4660000000003</v>
      </c>
      <c r="G188" t="s">
        <v>157</v>
      </c>
      <c r="H188" t="s">
        <v>10</v>
      </c>
      <c r="I188">
        <v>3878.13</v>
      </c>
      <c r="J188">
        <v>6463.55</v>
      </c>
      <c r="K188">
        <v>5</v>
      </c>
      <c r="L188">
        <v>7568.3575531057959</v>
      </c>
      <c r="M188">
        <v>699.73666666666668</v>
      </c>
      <c r="N188">
        <v>53518.194000000003</v>
      </c>
      <c r="O188">
        <v>18615.024000000001</v>
      </c>
      <c r="P188">
        <v>5246.7293333333337</v>
      </c>
      <c r="Q188">
        <v>7.4981483510463462</v>
      </c>
      <c r="R188">
        <v>0.34782608695652173</v>
      </c>
    </row>
    <row r="189" spans="1:18" x14ac:dyDescent="0.2">
      <c r="A189">
        <v>189</v>
      </c>
      <c r="B189">
        <v>139</v>
      </c>
      <c r="C189" s="1">
        <v>45619</v>
      </c>
      <c r="D189">
        <v>18</v>
      </c>
      <c r="E189">
        <v>3</v>
      </c>
      <c r="F189">
        <v>2513.3476000000001</v>
      </c>
      <c r="G189" t="s">
        <v>151</v>
      </c>
      <c r="H189" t="s">
        <v>17</v>
      </c>
      <c r="I189">
        <v>1554.6479999999999</v>
      </c>
      <c r="J189">
        <v>2591.08</v>
      </c>
      <c r="K189">
        <v>5</v>
      </c>
      <c r="L189">
        <v>2793.2407967938229</v>
      </c>
      <c r="M189">
        <v>2839.1733333333336</v>
      </c>
      <c r="N189">
        <v>45240.256800000003</v>
      </c>
      <c r="O189">
        <v>17256.592800000002</v>
      </c>
      <c r="P189">
        <v>-325.82573333333357</v>
      </c>
      <c r="Q189">
        <v>-0.11476077543698172</v>
      </c>
      <c r="R189">
        <v>0.3814432989690722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9"/>
  <sheetViews>
    <sheetView workbookViewId="0">
      <selection sqref="A1:R89"/>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 min="7" max="7" width="16.140625" customWidth="1"/>
    <col min="8" max="8" width="11" customWidth="1"/>
    <col min="9" max="9" width="12.28515625" customWidth="1"/>
    <col min="10" max="10" width="13" customWidth="1"/>
    <col min="11" max="11" width="9.5703125" customWidth="1"/>
    <col min="12" max="12" width="18.42578125" customWidth="1"/>
    <col min="13" max="13" width="18" customWidth="1"/>
    <col min="14" max="14" width="11.140625" customWidth="1"/>
    <col min="16" max="16" width="17.7109375" customWidth="1"/>
    <col min="17" max="17" width="19.7109375" customWidth="1"/>
    <col min="18" max="18" width="15.42578125" customWidth="1"/>
  </cols>
  <sheetData>
    <row r="1" spans="1:18" x14ac:dyDescent="0.2">
      <c r="A1" t="s">
        <v>163</v>
      </c>
      <c r="B1" t="s">
        <v>164</v>
      </c>
      <c r="C1" t="s">
        <v>165</v>
      </c>
      <c r="D1" t="s">
        <v>166</v>
      </c>
      <c r="E1" t="s">
        <v>167</v>
      </c>
      <c r="F1" t="s">
        <v>168</v>
      </c>
      <c r="G1" t="s">
        <v>1</v>
      </c>
      <c r="H1" t="s">
        <v>2</v>
      </c>
      <c r="I1" t="s">
        <v>3</v>
      </c>
      <c r="J1" t="s">
        <v>4</v>
      </c>
      <c r="K1" t="s">
        <v>170</v>
      </c>
      <c r="L1" t="s">
        <v>173</v>
      </c>
      <c r="M1" t="s">
        <v>185</v>
      </c>
      <c r="N1" t="s">
        <v>186</v>
      </c>
      <c r="O1" t="s">
        <v>187</v>
      </c>
      <c r="P1" t="s">
        <v>188</v>
      </c>
      <c r="Q1" t="s">
        <v>189</v>
      </c>
      <c r="R1" t="s">
        <v>215</v>
      </c>
    </row>
    <row r="2" spans="1:18" x14ac:dyDescent="0.2">
      <c r="A2">
        <v>990</v>
      </c>
      <c r="B2">
        <v>57</v>
      </c>
      <c r="C2" s="1">
        <v>45971</v>
      </c>
      <c r="D2">
        <v>9</v>
      </c>
      <c r="E2">
        <v>2</v>
      </c>
      <c r="F2">
        <v>6675.5150000000003</v>
      </c>
      <c r="G2" t="s">
        <v>69</v>
      </c>
      <c r="H2" t="s">
        <v>14</v>
      </c>
      <c r="I2">
        <v>4087.0499999999997</v>
      </c>
      <c r="J2">
        <v>6811.75</v>
      </c>
      <c r="K2">
        <v>2</v>
      </c>
      <c r="L2">
        <v>7107.6146777835456</v>
      </c>
      <c r="M2">
        <v>1836.9825000000001</v>
      </c>
      <c r="N2">
        <v>60079.635000000002</v>
      </c>
      <c r="O2">
        <v>23296.185000000005</v>
      </c>
      <c r="P2">
        <v>4838.5325000000003</v>
      </c>
      <c r="Q2">
        <v>2.633956774220767</v>
      </c>
      <c r="R2">
        <v>0.38775510204081637</v>
      </c>
    </row>
    <row r="3" spans="1:18" x14ac:dyDescent="0.2">
      <c r="A3">
        <v>964</v>
      </c>
      <c r="B3">
        <v>55</v>
      </c>
      <c r="C3" s="1">
        <v>45611</v>
      </c>
      <c r="D3">
        <v>27</v>
      </c>
      <c r="E3">
        <v>4</v>
      </c>
      <c r="F3">
        <v>925.71839999999997</v>
      </c>
      <c r="G3" t="s">
        <v>67</v>
      </c>
      <c r="H3" t="s">
        <v>14</v>
      </c>
      <c r="I3">
        <v>578.57399999999996</v>
      </c>
      <c r="J3">
        <v>964.29</v>
      </c>
      <c r="K3">
        <v>2</v>
      </c>
      <c r="L3">
        <v>1239.4156947529848</v>
      </c>
      <c r="M3">
        <v>1508.7675000000002</v>
      </c>
      <c r="N3">
        <v>24994.396799999999</v>
      </c>
      <c r="O3">
        <v>9372.8988000000008</v>
      </c>
      <c r="P3">
        <v>-583.04910000000018</v>
      </c>
      <c r="Q3">
        <v>-0.38644065437517716</v>
      </c>
      <c r="R3">
        <v>0.37500000000000006</v>
      </c>
    </row>
    <row r="4" spans="1:18" x14ac:dyDescent="0.2">
      <c r="A4">
        <v>957</v>
      </c>
      <c r="B4">
        <v>108</v>
      </c>
      <c r="C4" s="1">
        <v>45305</v>
      </c>
      <c r="D4">
        <v>27</v>
      </c>
      <c r="E4">
        <v>4</v>
      </c>
      <c r="F4">
        <v>806.91839999999991</v>
      </c>
      <c r="G4" t="s">
        <v>120</v>
      </c>
      <c r="H4" t="s">
        <v>14</v>
      </c>
      <c r="I4">
        <v>504.32399999999996</v>
      </c>
      <c r="J4">
        <v>840.54</v>
      </c>
      <c r="K4">
        <v>3</v>
      </c>
      <c r="L4">
        <v>1037.9022530192103</v>
      </c>
      <c r="M4">
        <v>5163.7120000000004</v>
      </c>
      <c r="N4">
        <v>21786.796799999996</v>
      </c>
      <c r="O4">
        <v>8170.0487999999987</v>
      </c>
      <c r="P4">
        <v>-4356.7936000000009</v>
      </c>
      <c r="Q4">
        <v>-0.84373288053245432</v>
      </c>
      <c r="R4">
        <v>0.375</v>
      </c>
    </row>
    <row r="5" spans="1:18" x14ac:dyDescent="0.2">
      <c r="A5">
        <v>944</v>
      </c>
      <c r="B5">
        <v>108</v>
      </c>
      <c r="C5" s="1">
        <v>44947</v>
      </c>
      <c r="D5">
        <v>41</v>
      </c>
      <c r="E5">
        <v>4</v>
      </c>
      <c r="F5">
        <v>806.91839999999991</v>
      </c>
      <c r="G5" t="s">
        <v>120</v>
      </c>
      <c r="H5" t="s">
        <v>14</v>
      </c>
      <c r="I5">
        <v>504.32399999999996</v>
      </c>
      <c r="J5">
        <v>840.54</v>
      </c>
      <c r="K5">
        <v>3</v>
      </c>
      <c r="L5">
        <v>989.30839679178825</v>
      </c>
      <c r="M5">
        <v>5163.7120000000004</v>
      </c>
      <c r="N5">
        <v>33083.654399999999</v>
      </c>
      <c r="O5">
        <v>12406.370399999998</v>
      </c>
      <c r="P5">
        <v>-4356.7936000000009</v>
      </c>
      <c r="Q5">
        <v>-0.84373288053245432</v>
      </c>
      <c r="R5">
        <v>0.37499999999999994</v>
      </c>
    </row>
    <row r="6" spans="1:18" x14ac:dyDescent="0.2">
      <c r="A6">
        <v>939</v>
      </c>
      <c r="B6">
        <v>39</v>
      </c>
      <c r="C6" s="1">
        <v>44942</v>
      </c>
      <c r="D6">
        <v>22</v>
      </c>
      <c r="E6">
        <v>8</v>
      </c>
      <c r="F6">
        <v>2950.9736000000003</v>
      </c>
      <c r="G6" t="s">
        <v>51</v>
      </c>
      <c r="H6" t="s">
        <v>14</v>
      </c>
      <c r="I6">
        <v>1924.5479999999998</v>
      </c>
      <c r="J6">
        <v>3207.58</v>
      </c>
      <c r="K6">
        <v>1</v>
      </c>
      <c r="L6">
        <v>3636.3627070037419</v>
      </c>
      <c r="M6">
        <v>9555.6079999999984</v>
      </c>
      <c r="N6">
        <v>64921.419200000004</v>
      </c>
      <c r="O6">
        <v>22581.363200000011</v>
      </c>
      <c r="P6">
        <v>-6604.6343999999981</v>
      </c>
      <c r="Q6">
        <v>-0.69117887632058572</v>
      </c>
      <c r="R6">
        <v>0.3478260869565219</v>
      </c>
    </row>
    <row r="7" spans="1:18" x14ac:dyDescent="0.2">
      <c r="A7">
        <v>937</v>
      </c>
      <c r="B7">
        <v>107</v>
      </c>
      <c r="C7" s="1">
        <v>45289</v>
      </c>
      <c r="D7">
        <v>1</v>
      </c>
      <c r="E7">
        <v>7</v>
      </c>
      <c r="F7">
        <v>1458.1469999999999</v>
      </c>
      <c r="G7" t="s">
        <v>119</v>
      </c>
      <c r="H7" t="s">
        <v>14</v>
      </c>
      <c r="I7">
        <v>940.74</v>
      </c>
      <c r="J7">
        <v>1567.9</v>
      </c>
      <c r="K7">
        <v>2</v>
      </c>
      <c r="L7">
        <v>1750.7861101886363</v>
      </c>
      <c r="M7">
        <v>979.96</v>
      </c>
      <c r="N7">
        <v>1458.1469999999999</v>
      </c>
      <c r="O7">
        <v>517.40699999999993</v>
      </c>
      <c r="P7">
        <v>478.1869999999999</v>
      </c>
      <c r="Q7">
        <v>0.48796583534021787</v>
      </c>
      <c r="R7">
        <v>0.35483870967741932</v>
      </c>
    </row>
    <row r="8" spans="1:18" x14ac:dyDescent="0.2">
      <c r="A8">
        <v>924</v>
      </c>
      <c r="B8">
        <v>122</v>
      </c>
      <c r="C8" s="1">
        <v>45775</v>
      </c>
      <c r="D8">
        <v>21</v>
      </c>
      <c r="E8">
        <v>8</v>
      </c>
      <c r="F8">
        <v>4735.9207999999999</v>
      </c>
      <c r="G8" t="s">
        <v>134</v>
      </c>
      <c r="H8" t="s">
        <v>14</v>
      </c>
      <c r="I8">
        <v>3088.6439999999998</v>
      </c>
      <c r="J8">
        <v>5147.74</v>
      </c>
      <c r="K8">
        <v>3</v>
      </c>
      <c r="L8">
        <v>5996.0350820558915</v>
      </c>
      <c r="M8">
        <v>4724.1475</v>
      </c>
      <c r="N8">
        <v>99454.33679999999</v>
      </c>
      <c r="O8">
        <v>34592.8128</v>
      </c>
      <c r="P8">
        <v>11.773299999999836</v>
      </c>
      <c r="Q8">
        <v>2.4921533461857055E-3</v>
      </c>
      <c r="R8">
        <v>0.34782608695652178</v>
      </c>
    </row>
    <row r="9" spans="1:18" x14ac:dyDescent="0.2">
      <c r="A9">
        <v>919</v>
      </c>
      <c r="B9">
        <v>111</v>
      </c>
      <c r="C9" s="1">
        <v>45089</v>
      </c>
      <c r="D9">
        <v>11</v>
      </c>
      <c r="E9">
        <v>10</v>
      </c>
      <c r="F9">
        <v>678.798</v>
      </c>
      <c r="G9" t="s">
        <v>123</v>
      </c>
      <c r="H9" t="s">
        <v>14</v>
      </c>
      <c r="I9">
        <v>452.53199999999998</v>
      </c>
      <c r="J9">
        <v>754.22</v>
      </c>
      <c r="K9">
        <v>3</v>
      </c>
      <c r="L9">
        <v>756.41902297280558</v>
      </c>
      <c r="M9">
        <v>3824.0450000000001</v>
      </c>
      <c r="N9">
        <v>7466.7780000000002</v>
      </c>
      <c r="O9">
        <v>2488.9260000000004</v>
      </c>
      <c r="P9">
        <v>-3145.2470000000003</v>
      </c>
      <c r="Q9">
        <v>-0.82249215163524492</v>
      </c>
      <c r="R9">
        <v>0.33333333333333337</v>
      </c>
    </row>
    <row r="10" spans="1:18" x14ac:dyDescent="0.2">
      <c r="A10">
        <v>914</v>
      </c>
      <c r="B10">
        <v>84</v>
      </c>
      <c r="C10" s="1">
        <v>45589</v>
      </c>
      <c r="D10">
        <v>28</v>
      </c>
      <c r="E10">
        <v>6</v>
      </c>
      <c r="F10">
        <v>7294.5503999999992</v>
      </c>
      <c r="G10" t="s">
        <v>96</v>
      </c>
      <c r="H10" t="s">
        <v>14</v>
      </c>
      <c r="I10">
        <v>4656.0959999999995</v>
      </c>
      <c r="J10">
        <v>7760.16</v>
      </c>
      <c r="K10">
        <v>1</v>
      </c>
      <c r="L10">
        <v>10061.558126975942</v>
      </c>
      <c r="M10">
        <v>2588.9250000000002</v>
      </c>
      <c r="N10">
        <v>204247.41119999997</v>
      </c>
      <c r="O10">
        <v>73876.723199999993</v>
      </c>
      <c r="P10">
        <v>4705.625399999999</v>
      </c>
      <c r="Q10">
        <v>1.8175981922998923</v>
      </c>
      <c r="R10">
        <v>0.36170212765957449</v>
      </c>
    </row>
    <row r="11" spans="1:18" x14ac:dyDescent="0.2">
      <c r="A11">
        <v>911</v>
      </c>
      <c r="B11">
        <v>55</v>
      </c>
      <c r="C11" s="1">
        <v>45738</v>
      </c>
      <c r="D11">
        <v>14</v>
      </c>
      <c r="E11">
        <v>3</v>
      </c>
      <c r="F11">
        <v>935.36129999999991</v>
      </c>
      <c r="G11" t="s">
        <v>67</v>
      </c>
      <c r="H11" t="s">
        <v>14</v>
      </c>
      <c r="I11">
        <v>578.57399999999996</v>
      </c>
      <c r="J11">
        <v>964.29</v>
      </c>
      <c r="K11">
        <v>2</v>
      </c>
      <c r="L11">
        <v>1041.8460117435106</v>
      </c>
      <c r="M11">
        <v>1508.7675000000002</v>
      </c>
      <c r="N11">
        <v>13095.058199999999</v>
      </c>
      <c r="O11">
        <v>4995.0221999999994</v>
      </c>
      <c r="P11">
        <v>-573.40620000000024</v>
      </c>
      <c r="Q11">
        <v>-0.38004941119158531</v>
      </c>
      <c r="R11">
        <v>0.38144329896907214</v>
      </c>
    </row>
    <row r="12" spans="1:18" x14ac:dyDescent="0.2">
      <c r="A12">
        <v>896</v>
      </c>
      <c r="B12">
        <v>107</v>
      </c>
      <c r="C12" s="1">
        <v>45363</v>
      </c>
      <c r="D12">
        <v>33</v>
      </c>
      <c r="E12">
        <v>3</v>
      </c>
      <c r="F12">
        <v>1520.8630000000001</v>
      </c>
      <c r="G12" t="s">
        <v>119</v>
      </c>
      <c r="H12" t="s">
        <v>14</v>
      </c>
      <c r="I12">
        <v>940.74</v>
      </c>
      <c r="J12">
        <v>1567.9</v>
      </c>
      <c r="K12">
        <v>2</v>
      </c>
      <c r="L12">
        <v>1856.8230122422267</v>
      </c>
      <c r="M12">
        <v>979.96</v>
      </c>
      <c r="N12">
        <v>50188.478999999999</v>
      </c>
      <c r="O12">
        <v>19144.059000000001</v>
      </c>
      <c r="P12">
        <v>540.90300000000002</v>
      </c>
      <c r="Q12">
        <v>0.55196436589248543</v>
      </c>
      <c r="R12">
        <v>0.3814432989690722</v>
      </c>
    </row>
    <row r="13" spans="1:18" x14ac:dyDescent="0.2">
      <c r="A13">
        <v>893</v>
      </c>
      <c r="B13">
        <v>107</v>
      </c>
      <c r="C13" s="1">
        <v>45257</v>
      </c>
      <c r="D13">
        <v>13</v>
      </c>
      <c r="E13">
        <v>2</v>
      </c>
      <c r="F13">
        <v>1536.5420000000001</v>
      </c>
      <c r="G13" t="s">
        <v>119</v>
      </c>
      <c r="H13" t="s">
        <v>14</v>
      </c>
      <c r="I13">
        <v>940.74</v>
      </c>
      <c r="J13">
        <v>1567.9</v>
      </c>
      <c r="K13">
        <v>2</v>
      </c>
      <c r="L13">
        <v>1751.6595852910334</v>
      </c>
      <c r="M13">
        <v>979.96</v>
      </c>
      <c r="N13">
        <v>19975.046000000002</v>
      </c>
      <c r="O13">
        <v>7745.4260000000013</v>
      </c>
      <c r="P13">
        <v>556.58200000000011</v>
      </c>
      <c r="Q13">
        <v>0.56796399853055235</v>
      </c>
      <c r="R13">
        <v>0.38775510204081637</v>
      </c>
    </row>
    <row r="14" spans="1:18" x14ac:dyDescent="0.2">
      <c r="A14">
        <v>888</v>
      </c>
      <c r="B14">
        <v>49</v>
      </c>
      <c r="C14" s="1">
        <v>45274</v>
      </c>
      <c r="D14">
        <v>42</v>
      </c>
      <c r="E14">
        <v>6</v>
      </c>
      <c r="F14">
        <v>3164.3595999999998</v>
      </c>
      <c r="G14" t="s">
        <v>61</v>
      </c>
      <c r="H14" t="s">
        <v>14</v>
      </c>
      <c r="I14">
        <v>2019.8040000000001</v>
      </c>
      <c r="J14">
        <v>3366.34</v>
      </c>
      <c r="K14">
        <v>4</v>
      </c>
      <c r="L14">
        <v>3546.4795520392563</v>
      </c>
      <c r="M14">
        <v>1635.5425</v>
      </c>
      <c r="N14">
        <v>132903.10319999998</v>
      </c>
      <c r="O14">
        <v>48071.335199999987</v>
      </c>
      <c r="P14">
        <v>1528.8170999999998</v>
      </c>
      <c r="Q14">
        <v>0.93474617749156608</v>
      </c>
      <c r="R14">
        <v>0.36170212765957444</v>
      </c>
    </row>
    <row r="15" spans="1:18" x14ac:dyDescent="0.2">
      <c r="A15">
        <v>872</v>
      </c>
      <c r="B15">
        <v>67</v>
      </c>
      <c r="C15" s="1">
        <v>45001</v>
      </c>
      <c r="D15">
        <v>40</v>
      </c>
      <c r="E15">
        <v>8</v>
      </c>
      <c r="F15">
        <v>1058.6532</v>
      </c>
      <c r="G15" t="s">
        <v>79</v>
      </c>
      <c r="H15" t="s">
        <v>14</v>
      </c>
      <c r="I15">
        <v>690.42600000000004</v>
      </c>
      <c r="J15">
        <v>1150.71</v>
      </c>
      <c r="K15">
        <v>4</v>
      </c>
      <c r="L15">
        <v>1193.9025980470519</v>
      </c>
      <c r="M15">
        <v>7069.7</v>
      </c>
      <c r="N15">
        <v>42346.127999999997</v>
      </c>
      <c r="O15">
        <v>14729.087999999996</v>
      </c>
      <c r="P15">
        <v>-6011.0468000000001</v>
      </c>
      <c r="Q15">
        <v>-0.85025486229967329</v>
      </c>
      <c r="R15">
        <v>0.34782608695652167</v>
      </c>
    </row>
    <row r="16" spans="1:18" x14ac:dyDescent="0.2">
      <c r="A16">
        <v>869</v>
      </c>
      <c r="B16">
        <v>137</v>
      </c>
      <c r="C16" s="1">
        <v>45473</v>
      </c>
      <c r="D16">
        <v>41</v>
      </c>
      <c r="E16">
        <v>7</v>
      </c>
      <c r="F16">
        <v>333.56310000000002</v>
      </c>
      <c r="G16" t="s">
        <v>149</v>
      </c>
      <c r="H16" t="s">
        <v>14</v>
      </c>
      <c r="I16">
        <v>215.202</v>
      </c>
      <c r="J16">
        <v>358.67</v>
      </c>
      <c r="K16">
        <v>3</v>
      </c>
      <c r="L16">
        <v>395.30436529297731</v>
      </c>
      <c r="M16">
        <v>4109.2999999999993</v>
      </c>
      <c r="N16">
        <v>13676.087100000001</v>
      </c>
      <c r="O16">
        <v>4852.8051000000005</v>
      </c>
      <c r="P16">
        <v>-3775.7368999999994</v>
      </c>
      <c r="Q16">
        <v>-0.91882726985131291</v>
      </c>
      <c r="R16">
        <v>0.35483870967741937</v>
      </c>
    </row>
    <row r="17" spans="1:18" x14ac:dyDescent="0.2">
      <c r="A17">
        <v>854</v>
      </c>
      <c r="B17">
        <v>57</v>
      </c>
      <c r="C17" s="1">
        <v>45599</v>
      </c>
      <c r="D17">
        <v>7</v>
      </c>
      <c r="E17">
        <v>2</v>
      </c>
      <c r="F17">
        <v>6675.5150000000003</v>
      </c>
      <c r="G17" t="s">
        <v>69</v>
      </c>
      <c r="H17" t="s">
        <v>14</v>
      </c>
      <c r="I17">
        <v>4087.0499999999997</v>
      </c>
      <c r="J17">
        <v>6811.75</v>
      </c>
      <c r="K17">
        <v>2</v>
      </c>
      <c r="L17">
        <v>8227.6069461476436</v>
      </c>
      <c r="M17">
        <v>1836.9825000000001</v>
      </c>
      <c r="N17">
        <v>46728.605000000003</v>
      </c>
      <c r="O17">
        <v>18119.255000000005</v>
      </c>
      <c r="P17">
        <v>4838.5325000000003</v>
      </c>
      <c r="Q17">
        <v>2.633956774220767</v>
      </c>
      <c r="R17">
        <v>0.38775510204081642</v>
      </c>
    </row>
    <row r="18" spans="1:18" x14ac:dyDescent="0.2">
      <c r="A18">
        <v>824</v>
      </c>
      <c r="B18">
        <v>55</v>
      </c>
      <c r="C18" s="1">
        <v>45141</v>
      </c>
      <c r="D18">
        <v>14</v>
      </c>
      <c r="E18">
        <v>7</v>
      </c>
      <c r="F18">
        <v>896.78969999999993</v>
      </c>
      <c r="G18" t="s">
        <v>67</v>
      </c>
      <c r="H18" t="s">
        <v>14</v>
      </c>
      <c r="I18">
        <v>578.57399999999996</v>
      </c>
      <c r="J18">
        <v>964.29</v>
      </c>
      <c r="K18">
        <v>2</v>
      </c>
      <c r="L18">
        <v>1017.5798552486999</v>
      </c>
      <c r="M18">
        <v>1508.7675000000002</v>
      </c>
      <c r="N18">
        <v>12555.055799999998</v>
      </c>
      <c r="O18">
        <v>4455.0198</v>
      </c>
      <c r="P18">
        <v>-611.97780000000023</v>
      </c>
      <c r="Q18">
        <v>-0.40561438392595289</v>
      </c>
      <c r="R18">
        <v>0.35483870967741943</v>
      </c>
    </row>
    <row r="19" spans="1:18" x14ac:dyDescent="0.2">
      <c r="A19">
        <v>822</v>
      </c>
      <c r="B19">
        <v>57</v>
      </c>
      <c r="C19" s="1">
        <v>45387</v>
      </c>
      <c r="D19">
        <v>29</v>
      </c>
      <c r="E19">
        <v>6</v>
      </c>
      <c r="F19">
        <v>6403.0450000000001</v>
      </c>
      <c r="G19" t="s">
        <v>69</v>
      </c>
      <c r="H19" t="s">
        <v>14</v>
      </c>
      <c r="I19">
        <v>4087.0499999999997</v>
      </c>
      <c r="J19">
        <v>6811.75</v>
      </c>
      <c r="K19">
        <v>2</v>
      </c>
      <c r="L19">
        <v>7787.7887814465503</v>
      </c>
      <c r="M19">
        <v>1836.9825000000001</v>
      </c>
      <c r="N19">
        <v>185688.30499999999</v>
      </c>
      <c r="O19">
        <v>67163.85500000001</v>
      </c>
      <c r="P19">
        <v>4566.0625</v>
      </c>
      <c r="Q19">
        <v>2.4856320079260414</v>
      </c>
      <c r="R19">
        <v>0.36170212765957455</v>
      </c>
    </row>
    <row r="20" spans="1:18" x14ac:dyDescent="0.2">
      <c r="A20">
        <v>819</v>
      </c>
      <c r="B20">
        <v>68</v>
      </c>
      <c r="C20" s="1">
        <v>45513</v>
      </c>
      <c r="D20">
        <v>41</v>
      </c>
      <c r="E20">
        <v>10</v>
      </c>
      <c r="F20">
        <v>5439.1409999999996</v>
      </c>
      <c r="G20" t="s">
        <v>80</v>
      </c>
      <c r="H20" t="s">
        <v>14</v>
      </c>
      <c r="I20">
        <v>3626.0939999999996</v>
      </c>
      <c r="J20">
        <v>6043.49</v>
      </c>
      <c r="K20">
        <v>2</v>
      </c>
      <c r="L20">
        <v>7768.8030779390774</v>
      </c>
      <c r="M20">
        <v>796.21333333333325</v>
      </c>
      <c r="N20">
        <v>223004.78099999999</v>
      </c>
      <c r="O20">
        <v>74334.926999999996</v>
      </c>
      <c r="P20">
        <v>4642.9276666666665</v>
      </c>
      <c r="Q20">
        <v>5.8312608848549807</v>
      </c>
      <c r="R20">
        <v>0.33333333333333331</v>
      </c>
    </row>
    <row r="21" spans="1:18" x14ac:dyDescent="0.2">
      <c r="A21">
        <v>817</v>
      </c>
      <c r="B21">
        <v>39</v>
      </c>
      <c r="C21" s="1">
        <v>45101</v>
      </c>
      <c r="D21">
        <v>20</v>
      </c>
      <c r="E21">
        <v>10</v>
      </c>
      <c r="F21">
        <v>2886.8220000000001</v>
      </c>
      <c r="G21" t="s">
        <v>51</v>
      </c>
      <c r="H21" t="s">
        <v>14</v>
      </c>
      <c r="I21">
        <v>1924.5479999999998</v>
      </c>
      <c r="J21">
        <v>3207.58</v>
      </c>
      <c r="K21">
        <v>1</v>
      </c>
      <c r="L21">
        <v>4155.4635000149192</v>
      </c>
      <c r="M21">
        <v>9555.6079999999984</v>
      </c>
      <c r="N21">
        <v>57736.44</v>
      </c>
      <c r="O21">
        <v>19245.480000000007</v>
      </c>
      <c r="P21">
        <v>-6668.7859999999982</v>
      </c>
      <c r="Q21">
        <v>-0.69789237900926859</v>
      </c>
      <c r="R21">
        <v>0.33333333333333343</v>
      </c>
    </row>
    <row r="22" spans="1:18" x14ac:dyDescent="0.2">
      <c r="A22">
        <v>813</v>
      </c>
      <c r="B22">
        <v>108</v>
      </c>
      <c r="C22" s="1">
        <v>45953</v>
      </c>
      <c r="D22">
        <v>18</v>
      </c>
      <c r="E22">
        <v>6</v>
      </c>
      <c r="F22">
        <v>790.10759999999993</v>
      </c>
      <c r="G22" t="s">
        <v>120</v>
      </c>
      <c r="H22" t="s">
        <v>14</v>
      </c>
      <c r="I22">
        <v>504.32399999999996</v>
      </c>
      <c r="J22">
        <v>840.54</v>
      </c>
      <c r="K22">
        <v>3</v>
      </c>
      <c r="L22">
        <v>947.55126101967664</v>
      </c>
      <c r="M22">
        <v>5163.7120000000004</v>
      </c>
      <c r="N22">
        <v>14221.936799999999</v>
      </c>
      <c r="O22">
        <v>5144.1047999999992</v>
      </c>
      <c r="P22">
        <v>-4373.6044000000002</v>
      </c>
      <c r="Q22">
        <v>-0.84698844552136132</v>
      </c>
      <c r="R22">
        <v>0.36170212765957444</v>
      </c>
    </row>
    <row r="23" spans="1:18" x14ac:dyDescent="0.2">
      <c r="A23">
        <v>22</v>
      </c>
      <c r="B23">
        <v>112</v>
      </c>
      <c r="C23" s="1">
        <v>45318</v>
      </c>
      <c r="D23">
        <v>15</v>
      </c>
      <c r="E23">
        <v>2</v>
      </c>
      <c r="F23">
        <v>2679.7217999999998</v>
      </c>
      <c r="G23" t="s">
        <v>124</v>
      </c>
      <c r="H23" t="s">
        <v>14</v>
      </c>
      <c r="I23">
        <v>1640.646</v>
      </c>
      <c r="J23">
        <v>2734.41</v>
      </c>
      <c r="K23">
        <v>1</v>
      </c>
      <c r="L23">
        <v>3529.7057069167877</v>
      </c>
      <c r="M23">
        <v>7409.5025000000005</v>
      </c>
      <c r="N23">
        <v>40195.826999999997</v>
      </c>
      <c r="O23">
        <v>15586.136999999997</v>
      </c>
      <c r="P23">
        <v>-4729.7807000000012</v>
      </c>
      <c r="Q23">
        <v>-0.63833984805322641</v>
      </c>
      <c r="R23">
        <v>0.38775510204081626</v>
      </c>
    </row>
    <row r="24" spans="1:18" x14ac:dyDescent="0.2">
      <c r="A24">
        <v>756</v>
      </c>
      <c r="B24">
        <v>112</v>
      </c>
      <c r="C24" s="1">
        <v>45200</v>
      </c>
      <c r="D24">
        <v>6</v>
      </c>
      <c r="E24">
        <v>7</v>
      </c>
      <c r="F24">
        <v>2543.0012999999999</v>
      </c>
      <c r="G24" t="s">
        <v>124</v>
      </c>
      <c r="H24" t="s">
        <v>14</v>
      </c>
      <c r="I24">
        <v>1640.646</v>
      </c>
      <c r="J24">
        <v>2734.41</v>
      </c>
      <c r="K24">
        <v>1</v>
      </c>
      <c r="L24">
        <v>3074.8147798440086</v>
      </c>
      <c r="M24">
        <v>7409.5025000000005</v>
      </c>
      <c r="N24">
        <v>15258.007799999999</v>
      </c>
      <c r="O24">
        <v>5414.1317999999992</v>
      </c>
      <c r="P24">
        <v>-4866.5012000000006</v>
      </c>
      <c r="Q24">
        <v>-0.65679189662193926</v>
      </c>
      <c r="R24">
        <v>0.35483870967741932</v>
      </c>
    </row>
    <row r="25" spans="1:18" x14ac:dyDescent="0.2">
      <c r="A25">
        <v>753</v>
      </c>
      <c r="B25">
        <v>84</v>
      </c>
      <c r="C25" s="1">
        <v>45003</v>
      </c>
      <c r="D25">
        <v>5</v>
      </c>
      <c r="E25">
        <v>4</v>
      </c>
      <c r="F25">
        <v>7449.7536</v>
      </c>
      <c r="G25" t="s">
        <v>96</v>
      </c>
      <c r="H25" t="s">
        <v>14</v>
      </c>
      <c r="I25">
        <v>4656.0959999999995</v>
      </c>
      <c r="J25">
        <v>7760.16</v>
      </c>
      <c r="K25">
        <v>1</v>
      </c>
      <c r="L25">
        <v>10018.231184798364</v>
      </c>
      <c r="M25">
        <v>2588.9250000000002</v>
      </c>
      <c r="N25">
        <v>37248.767999999996</v>
      </c>
      <c r="O25">
        <v>13968.288000000002</v>
      </c>
      <c r="P25">
        <v>4860.8285999999998</v>
      </c>
      <c r="Q25">
        <v>1.877547090008401</v>
      </c>
      <c r="R25">
        <v>0.37500000000000011</v>
      </c>
    </row>
    <row r="26" spans="1:18" x14ac:dyDescent="0.2">
      <c r="A26">
        <v>752</v>
      </c>
      <c r="B26">
        <v>49</v>
      </c>
      <c r="C26" s="1">
        <v>44992</v>
      </c>
      <c r="D26">
        <v>23</v>
      </c>
      <c r="E26">
        <v>7</v>
      </c>
      <c r="F26">
        <v>3130.6961999999999</v>
      </c>
      <c r="G26" t="s">
        <v>61</v>
      </c>
      <c r="H26" t="s">
        <v>14</v>
      </c>
      <c r="I26">
        <v>2019.8040000000001</v>
      </c>
      <c r="J26">
        <v>3366.34</v>
      </c>
      <c r="K26">
        <v>4</v>
      </c>
      <c r="L26">
        <v>4203.7159204609034</v>
      </c>
      <c r="M26">
        <v>1635.5425</v>
      </c>
      <c r="N26">
        <v>72006.012600000002</v>
      </c>
      <c r="O26">
        <v>25550.520599999996</v>
      </c>
      <c r="P26">
        <v>1495.1536999999998</v>
      </c>
      <c r="Q26">
        <v>0.91416377134803883</v>
      </c>
      <c r="R26">
        <v>0.35483870967741932</v>
      </c>
    </row>
    <row r="27" spans="1:18" x14ac:dyDescent="0.2">
      <c r="A27">
        <v>726</v>
      </c>
      <c r="B27">
        <v>49</v>
      </c>
      <c r="C27" s="1">
        <v>45031</v>
      </c>
      <c r="D27">
        <v>15</v>
      </c>
      <c r="E27">
        <v>5</v>
      </c>
      <c r="F27">
        <v>3198.0230000000001</v>
      </c>
      <c r="G27" t="s">
        <v>61</v>
      </c>
      <c r="H27" t="s">
        <v>14</v>
      </c>
      <c r="I27">
        <v>2019.8040000000001</v>
      </c>
      <c r="J27">
        <v>3366.34</v>
      </c>
      <c r="K27">
        <v>4</v>
      </c>
      <c r="L27">
        <v>4254.4395411070736</v>
      </c>
      <c r="M27">
        <v>1635.5425</v>
      </c>
      <c r="N27">
        <v>47970.345000000001</v>
      </c>
      <c r="O27">
        <v>17673.285</v>
      </c>
      <c r="P27">
        <v>1562.4805000000001</v>
      </c>
      <c r="Q27">
        <v>0.95532858363509365</v>
      </c>
      <c r="R27">
        <v>0.36842105263157893</v>
      </c>
    </row>
    <row r="28" spans="1:18" x14ac:dyDescent="0.2">
      <c r="A28">
        <v>723</v>
      </c>
      <c r="B28">
        <v>49</v>
      </c>
      <c r="C28" s="1">
        <v>46015</v>
      </c>
      <c r="D28">
        <v>19</v>
      </c>
      <c r="E28">
        <v>9</v>
      </c>
      <c r="F28">
        <v>3063.3694</v>
      </c>
      <c r="G28" t="s">
        <v>61</v>
      </c>
      <c r="H28" t="s">
        <v>14</v>
      </c>
      <c r="I28">
        <v>2019.8040000000001</v>
      </c>
      <c r="J28">
        <v>3366.34</v>
      </c>
      <c r="K28">
        <v>4</v>
      </c>
      <c r="L28">
        <v>4072.6816534949844</v>
      </c>
      <c r="M28">
        <v>1635.5425</v>
      </c>
      <c r="N28">
        <v>58204.018600000003</v>
      </c>
      <c r="O28">
        <v>19827.742599999998</v>
      </c>
      <c r="P28">
        <v>1427.8269</v>
      </c>
      <c r="Q28">
        <v>0.87299895906098435</v>
      </c>
      <c r="R28">
        <v>0.34065934065934061</v>
      </c>
    </row>
    <row r="29" spans="1:18" x14ac:dyDescent="0.2">
      <c r="A29">
        <v>717</v>
      </c>
      <c r="B29">
        <v>112</v>
      </c>
      <c r="C29" s="1">
        <v>45647</v>
      </c>
      <c r="D29">
        <v>20</v>
      </c>
      <c r="E29">
        <v>4</v>
      </c>
      <c r="F29">
        <v>2625.0335999999998</v>
      </c>
      <c r="G29" t="s">
        <v>124</v>
      </c>
      <c r="H29" t="s">
        <v>14</v>
      </c>
      <c r="I29">
        <v>1640.646</v>
      </c>
      <c r="J29">
        <v>2734.41</v>
      </c>
      <c r="K29">
        <v>1</v>
      </c>
      <c r="L29">
        <v>3158.9754451682425</v>
      </c>
      <c r="M29">
        <v>7409.5025000000005</v>
      </c>
      <c r="N29">
        <v>52500.671999999991</v>
      </c>
      <c r="O29">
        <v>19687.751999999997</v>
      </c>
      <c r="P29">
        <v>-4784.4689000000008</v>
      </c>
      <c r="Q29">
        <v>-0.64572066748071144</v>
      </c>
      <c r="R29">
        <v>0.375</v>
      </c>
    </row>
    <row r="30" spans="1:18" x14ac:dyDescent="0.2">
      <c r="A30">
        <v>694</v>
      </c>
      <c r="B30">
        <v>68</v>
      </c>
      <c r="C30" s="1">
        <v>45863</v>
      </c>
      <c r="D30">
        <v>35</v>
      </c>
      <c r="E30">
        <v>9</v>
      </c>
      <c r="F30">
        <v>5499.5758999999998</v>
      </c>
      <c r="G30" t="s">
        <v>80</v>
      </c>
      <c r="H30" t="s">
        <v>14</v>
      </c>
      <c r="I30">
        <v>3626.0939999999996</v>
      </c>
      <c r="J30">
        <v>6043.49</v>
      </c>
      <c r="K30">
        <v>2</v>
      </c>
      <c r="L30">
        <v>6898.8315276734647</v>
      </c>
      <c r="M30">
        <v>796.21333333333325</v>
      </c>
      <c r="N30">
        <v>192485.15649999998</v>
      </c>
      <c r="O30">
        <v>65571.866500000004</v>
      </c>
      <c r="P30">
        <v>4703.3625666666667</v>
      </c>
      <c r="Q30">
        <v>5.9071637835755917</v>
      </c>
      <c r="R30">
        <v>0.34065934065934073</v>
      </c>
    </row>
    <row r="31" spans="1:18" x14ac:dyDescent="0.2">
      <c r="A31">
        <v>683</v>
      </c>
      <c r="B31">
        <v>57</v>
      </c>
      <c r="C31" s="1">
        <v>45259</v>
      </c>
      <c r="D31">
        <v>21</v>
      </c>
      <c r="E31">
        <v>2</v>
      </c>
      <c r="F31">
        <v>6675.5150000000003</v>
      </c>
      <c r="G31" t="s">
        <v>69</v>
      </c>
      <c r="H31" t="s">
        <v>14</v>
      </c>
      <c r="I31">
        <v>4087.0499999999997</v>
      </c>
      <c r="J31">
        <v>6811.75</v>
      </c>
      <c r="K31">
        <v>2</v>
      </c>
      <c r="L31">
        <v>6824.8302075175325</v>
      </c>
      <c r="M31">
        <v>1836.9825000000001</v>
      </c>
      <c r="N31">
        <v>140185.815</v>
      </c>
      <c r="O31">
        <v>54357.765000000014</v>
      </c>
      <c r="P31">
        <v>4838.5325000000003</v>
      </c>
      <c r="Q31">
        <v>2.633956774220767</v>
      </c>
      <c r="R31">
        <v>0.38775510204081642</v>
      </c>
    </row>
    <row r="32" spans="1:18" x14ac:dyDescent="0.2">
      <c r="A32">
        <v>644</v>
      </c>
      <c r="B32">
        <v>107</v>
      </c>
      <c r="C32" s="1">
        <v>45280</v>
      </c>
      <c r="D32">
        <v>15</v>
      </c>
      <c r="E32">
        <v>4</v>
      </c>
      <c r="F32">
        <v>1505.184</v>
      </c>
      <c r="G32" t="s">
        <v>119</v>
      </c>
      <c r="H32" t="s">
        <v>14</v>
      </c>
      <c r="I32">
        <v>940.74</v>
      </c>
      <c r="J32">
        <v>1567.9</v>
      </c>
      <c r="K32">
        <v>2</v>
      </c>
      <c r="L32">
        <v>1740.6449386823438</v>
      </c>
      <c r="M32">
        <v>979.96</v>
      </c>
      <c r="N32">
        <v>22577.759999999998</v>
      </c>
      <c r="O32">
        <v>8466.66</v>
      </c>
      <c r="P32">
        <v>525.22399999999993</v>
      </c>
      <c r="Q32">
        <v>0.53596473325441851</v>
      </c>
      <c r="R32">
        <v>0.375</v>
      </c>
    </row>
    <row r="33" spans="1:18" x14ac:dyDescent="0.2">
      <c r="A33">
        <v>643</v>
      </c>
      <c r="B33">
        <v>112</v>
      </c>
      <c r="C33" s="1">
        <v>45897</v>
      </c>
      <c r="D33">
        <v>28</v>
      </c>
      <c r="E33">
        <v>10</v>
      </c>
      <c r="F33">
        <v>2460.9690000000001</v>
      </c>
      <c r="G33" t="s">
        <v>124</v>
      </c>
      <c r="H33" t="s">
        <v>14</v>
      </c>
      <c r="I33">
        <v>1640.646</v>
      </c>
      <c r="J33">
        <v>2734.41</v>
      </c>
      <c r="K33">
        <v>1</v>
      </c>
      <c r="L33">
        <v>2818.6214494777755</v>
      </c>
      <c r="M33">
        <v>7409.5025000000005</v>
      </c>
      <c r="N33">
        <v>68907.131999999998</v>
      </c>
      <c r="O33">
        <v>22969.044000000002</v>
      </c>
      <c r="P33">
        <v>-4948.5335000000005</v>
      </c>
      <c r="Q33">
        <v>-0.66786312576316698</v>
      </c>
      <c r="R33">
        <v>0.33333333333333337</v>
      </c>
    </row>
    <row r="34" spans="1:18" x14ac:dyDescent="0.2">
      <c r="A34">
        <v>632</v>
      </c>
      <c r="B34">
        <v>112</v>
      </c>
      <c r="C34" s="1">
        <v>45886</v>
      </c>
      <c r="D34">
        <v>7</v>
      </c>
      <c r="E34">
        <v>5</v>
      </c>
      <c r="F34">
        <v>2597.6895</v>
      </c>
      <c r="G34" t="s">
        <v>124</v>
      </c>
      <c r="H34" t="s">
        <v>14</v>
      </c>
      <c r="I34">
        <v>1640.646</v>
      </c>
      <c r="J34">
        <v>2734.41</v>
      </c>
      <c r="K34">
        <v>1</v>
      </c>
      <c r="L34">
        <v>3003.3483135275615</v>
      </c>
      <c r="M34">
        <v>7409.5025000000005</v>
      </c>
      <c r="N34">
        <v>18183.826499999999</v>
      </c>
      <c r="O34">
        <v>6699.3045000000002</v>
      </c>
      <c r="P34">
        <v>-4811.8130000000001</v>
      </c>
      <c r="Q34">
        <v>-0.64941107719445401</v>
      </c>
      <c r="R34">
        <v>0.36842105263157898</v>
      </c>
    </row>
    <row r="35" spans="1:18" x14ac:dyDescent="0.2">
      <c r="A35">
        <v>34</v>
      </c>
      <c r="B35">
        <v>83</v>
      </c>
      <c r="C35" s="1">
        <v>46011</v>
      </c>
      <c r="D35">
        <v>33</v>
      </c>
      <c r="E35">
        <v>4</v>
      </c>
      <c r="F35">
        <v>3663.7727999999997</v>
      </c>
      <c r="G35" t="s">
        <v>95</v>
      </c>
      <c r="H35" t="s">
        <v>14</v>
      </c>
      <c r="I35">
        <v>2289.8579999999997</v>
      </c>
      <c r="J35">
        <v>3816.43</v>
      </c>
      <c r="K35">
        <v>2</v>
      </c>
      <c r="L35">
        <v>4399.3974956996908</v>
      </c>
      <c r="M35">
        <v>2990.2349999999997</v>
      </c>
      <c r="N35">
        <v>120904.5024</v>
      </c>
      <c r="O35">
        <v>45339.188399999999</v>
      </c>
      <c r="P35">
        <v>673.53780000000006</v>
      </c>
      <c r="Q35">
        <v>0.22524577499761728</v>
      </c>
      <c r="R35">
        <v>0.375</v>
      </c>
    </row>
    <row r="36" spans="1:18" x14ac:dyDescent="0.2">
      <c r="A36">
        <v>603</v>
      </c>
      <c r="B36">
        <v>131</v>
      </c>
      <c r="C36" s="1">
        <v>45003</v>
      </c>
      <c r="D36">
        <v>7</v>
      </c>
      <c r="E36">
        <v>2</v>
      </c>
      <c r="F36">
        <v>6068.7284</v>
      </c>
      <c r="G36" t="s">
        <v>143</v>
      </c>
      <c r="H36" t="s">
        <v>14</v>
      </c>
      <c r="I36">
        <v>3715.5479999999998</v>
      </c>
      <c r="J36">
        <v>6192.58</v>
      </c>
      <c r="K36">
        <v>3</v>
      </c>
      <c r="L36">
        <v>7254.1668420536444</v>
      </c>
      <c r="M36">
        <v>1795.3133333333335</v>
      </c>
      <c r="N36">
        <v>42481.0988</v>
      </c>
      <c r="O36">
        <v>16472.2628</v>
      </c>
      <c r="P36">
        <v>4273.4150666666665</v>
      </c>
      <c r="Q36">
        <v>2.3803171219879906</v>
      </c>
      <c r="R36">
        <v>0.38775510204081631</v>
      </c>
    </row>
    <row r="37" spans="1:18" x14ac:dyDescent="0.2">
      <c r="A37">
        <v>602</v>
      </c>
      <c r="B37">
        <v>49</v>
      </c>
      <c r="C37" s="1">
        <v>45523</v>
      </c>
      <c r="D37">
        <v>33</v>
      </c>
      <c r="E37">
        <v>7</v>
      </c>
      <c r="F37">
        <v>3130.6961999999999</v>
      </c>
      <c r="G37" t="s">
        <v>61</v>
      </c>
      <c r="H37" t="s">
        <v>14</v>
      </c>
      <c r="I37">
        <v>2019.8040000000001</v>
      </c>
      <c r="J37">
        <v>3366.34</v>
      </c>
      <c r="K37">
        <v>4</v>
      </c>
      <c r="L37">
        <v>4270.994360212002</v>
      </c>
      <c r="M37">
        <v>1635.5425</v>
      </c>
      <c r="N37">
        <v>103312.9746</v>
      </c>
      <c r="O37">
        <v>36659.442599999995</v>
      </c>
      <c r="P37">
        <v>1495.1536999999998</v>
      </c>
      <c r="Q37">
        <v>0.91416377134803883</v>
      </c>
      <c r="R37">
        <v>0.35483870967741932</v>
      </c>
    </row>
    <row r="38" spans="1:18" x14ac:dyDescent="0.2">
      <c r="A38">
        <v>589</v>
      </c>
      <c r="B38">
        <v>68</v>
      </c>
      <c r="C38" s="1">
        <v>45978</v>
      </c>
      <c r="D38">
        <v>40</v>
      </c>
      <c r="E38">
        <v>5</v>
      </c>
      <c r="F38">
        <v>5741.3154999999997</v>
      </c>
      <c r="G38" t="s">
        <v>80</v>
      </c>
      <c r="H38" t="s">
        <v>14</v>
      </c>
      <c r="I38">
        <v>3626.0939999999996</v>
      </c>
      <c r="J38">
        <v>6043.49</v>
      </c>
      <c r="K38">
        <v>2</v>
      </c>
      <c r="L38">
        <v>6257.4907697410754</v>
      </c>
      <c r="M38">
        <v>796.21333333333325</v>
      </c>
      <c r="N38">
        <v>229652.62</v>
      </c>
      <c r="O38">
        <v>84608.86</v>
      </c>
      <c r="P38">
        <v>4945.1021666666666</v>
      </c>
      <c r="Q38">
        <v>6.2107753784580355</v>
      </c>
      <c r="R38">
        <v>0.36842105263157898</v>
      </c>
    </row>
    <row r="39" spans="1:18" x14ac:dyDescent="0.2">
      <c r="A39">
        <v>584</v>
      </c>
      <c r="B39">
        <v>84</v>
      </c>
      <c r="C39" s="1">
        <v>45571</v>
      </c>
      <c r="D39">
        <v>3</v>
      </c>
      <c r="E39">
        <v>2</v>
      </c>
      <c r="F39">
        <v>7604.9567999999999</v>
      </c>
      <c r="G39" t="s">
        <v>96</v>
      </c>
      <c r="H39" t="s">
        <v>14</v>
      </c>
      <c r="I39">
        <v>4656.0959999999995</v>
      </c>
      <c r="J39">
        <v>7760.16</v>
      </c>
      <c r="K39">
        <v>1</v>
      </c>
      <c r="L39">
        <v>7954.6773740981571</v>
      </c>
      <c r="M39">
        <v>2588.9250000000002</v>
      </c>
      <c r="N39">
        <v>22814.8704</v>
      </c>
      <c r="O39">
        <v>8846.5824000000011</v>
      </c>
      <c r="P39">
        <v>5016.0317999999997</v>
      </c>
      <c r="Q39">
        <v>1.9374959877169093</v>
      </c>
      <c r="R39">
        <v>0.38775510204081637</v>
      </c>
    </row>
    <row r="40" spans="1:18" x14ac:dyDescent="0.2">
      <c r="A40">
        <v>575</v>
      </c>
      <c r="B40">
        <v>67</v>
      </c>
      <c r="C40" s="1">
        <v>45668</v>
      </c>
      <c r="D40">
        <v>9</v>
      </c>
      <c r="E40">
        <v>4</v>
      </c>
      <c r="F40">
        <v>1104.6815999999999</v>
      </c>
      <c r="G40" t="s">
        <v>79</v>
      </c>
      <c r="H40" t="s">
        <v>14</v>
      </c>
      <c r="I40">
        <v>690.42600000000004</v>
      </c>
      <c r="J40">
        <v>1150.71</v>
      </c>
      <c r="K40">
        <v>4</v>
      </c>
      <c r="L40">
        <v>1485.0784000003778</v>
      </c>
      <c r="M40">
        <v>7069.7</v>
      </c>
      <c r="N40">
        <v>9942.134399999999</v>
      </c>
      <c r="O40">
        <v>3728.3003999999987</v>
      </c>
      <c r="P40">
        <v>-5965.0183999999999</v>
      </c>
      <c r="Q40">
        <v>-0.84374420413878948</v>
      </c>
      <c r="R40">
        <v>0.37499999999999989</v>
      </c>
    </row>
    <row r="41" spans="1:18" x14ac:dyDescent="0.2">
      <c r="A41">
        <v>530</v>
      </c>
      <c r="B41">
        <v>39</v>
      </c>
      <c r="C41" s="1">
        <v>45424</v>
      </c>
      <c r="D41">
        <v>37</v>
      </c>
      <c r="E41">
        <v>2</v>
      </c>
      <c r="F41">
        <v>3143.4283999999998</v>
      </c>
      <c r="G41" t="s">
        <v>51</v>
      </c>
      <c r="H41" t="s">
        <v>14</v>
      </c>
      <c r="I41">
        <v>1924.5479999999998</v>
      </c>
      <c r="J41">
        <v>3207.58</v>
      </c>
      <c r="K41">
        <v>1</v>
      </c>
      <c r="L41">
        <v>3373.6782399538465</v>
      </c>
      <c r="M41">
        <v>9555.6079999999984</v>
      </c>
      <c r="N41">
        <v>116306.85079999999</v>
      </c>
      <c r="O41">
        <v>45098.574800000002</v>
      </c>
      <c r="P41">
        <v>-6412.1795999999986</v>
      </c>
      <c r="Q41">
        <v>-0.671038368254537</v>
      </c>
      <c r="R41">
        <v>0.38775510204081637</v>
      </c>
    </row>
    <row r="42" spans="1:18" x14ac:dyDescent="0.2">
      <c r="A42">
        <v>519</v>
      </c>
      <c r="B42">
        <v>5</v>
      </c>
      <c r="C42" s="1">
        <v>45517</v>
      </c>
      <c r="D42">
        <v>26</v>
      </c>
      <c r="E42">
        <v>4</v>
      </c>
      <c r="F42">
        <v>797.04</v>
      </c>
      <c r="G42" t="s">
        <v>13</v>
      </c>
      <c r="H42" t="s">
        <v>14</v>
      </c>
      <c r="I42">
        <v>498.15</v>
      </c>
      <c r="J42">
        <v>830.25</v>
      </c>
      <c r="K42">
        <v>5</v>
      </c>
      <c r="L42">
        <v>845.09098355473998</v>
      </c>
      <c r="M42">
        <v>7010.5333333333328</v>
      </c>
      <c r="N42">
        <v>20723.04</v>
      </c>
      <c r="O42">
        <v>7771.1399999999994</v>
      </c>
      <c r="P42">
        <v>-6213.4933333333329</v>
      </c>
      <c r="Q42">
        <v>-0.88630822191369174</v>
      </c>
      <c r="R42">
        <v>0.37499999999999994</v>
      </c>
    </row>
    <row r="43" spans="1:18" x14ac:dyDescent="0.2">
      <c r="A43">
        <v>42</v>
      </c>
      <c r="B43">
        <v>112</v>
      </c>
      <c r="C43" s="1">
        <v>45716</v>
      </c>
      <c r="D43">
        <v>27</v>
      </c>
      <c r="E43">
        <v>10</v>
      </c>
      <c r="F43">
        <v>2460.9690000000001</v>
      </c>
      <c r="G43" t="s">
        <v>124</v>
      </c>
      <c r="H43" t="s">
        <v>14</v>
      </c>
      <c r="I43">
        <v>1640.646</v>
      </c>
      <c r="J43">
        <v>2734.41</v>
      </c>
      <c r="K43">
        <v>1</v>
      </c>
      <c r="L43">
        <v>3353.8592969232068</v>
      </c>
      <c r="M43">
        <v>7409.5025000000005</v>
      </c>
      <c r="N43">
        <v>66446.163</v>
      </c>
      <c r="O43">
        <v>22148.721000000001</v>
      </c>
      <c r="P43">
        <v>-4948.5335000000005</v>
      </c>
      <c r="Q43">
        <v>-0.66786312576316698</v>
      </c>
      <c r="R43">
        <v>0.33333333333333337</v>
      </c>
    </row>
    <row r="44" spans="1:18" x14ac:dyDescent="0.2">
      <c r="A44">
        <v>517</v>
      </c>
      <c r="B44">
        <v>131</v>
      </c>
      <c r="C44" s="1">
        <v>45137</v>
      </c>
      <c r="D44">
        <v>15</v>
      </c>
      <c r="E44">
        <v>6</v>
      </c>
      <c r="F44">
        <v>5821.0252</v>
      </c>
      <c r="G44" t="s">
        <v>143</v>
      </c>
      <c r="H44" t="s">
        <v>14</v>
      </c>
      <c r="I44">
        <v>3715.5479999999998</v>
      </c>
      <c r="J44">
        <v>6192.58</v>
      </c>
      <c r="K44">
        <v>3</v>
      </c>
      <c r="L44">
        <v>6329.2353895057431</v>
      </c>
      <c r="M44">
        <v>1795.3133333333335</v>
      </c>
      <c r="N44">
        <v>87315.377999999997</v>
      </c>
      <c r="O44">
        <v>31582.158000000003</v>
      </c>
      <c r="P44">
        <v>4025.7118666666665</v>
      </c>
      <c r="Q44">
        <v>2.2423449945599092</v>
      </c>
      <c r="R44">
        <v>0.36170212765957449</v>
      </c>
    </row>
    <row r="45" spans="1:18" x14ac:dyDescent="0.2">
      <c r="A45">
        <v>503</v>
      </c>
      <c r="B45">
        <v>83</v>
      </c>
      <c r="C45" s="1">
        <v>44968</v>
      </c>
      <c r="D45">
        <v>19</v>
      </c>
      <c r="E45">
        <v>4</v>
      </c>
      <c r="F45">
        <v>3663.7727999999997</v>
      </c>
      <c r="G45" t="s">
        <v>95</v>
      </c>
      <c r="H45" t="s">
        <v>14</v>
      </c>
      <c r="I45">
        <v>2289.8579999999997</v>
      </c>
      <c r="J45">
        <v>3816.43</v>
      </c>
      <c r="K45">
        <v>2</v>
      </c>
      <c r="L45">
        <v>4803.6932736395684</v>
      </c>
      <c r="M45">
        <v>2990.2349999999997</v>
      </c>
      <c r="N45">
        <v>69611.683199999999</v>
      </c>
      <c r="O45">
        <v>26104.3812</v>
      </c>
      <c r="P45">
        <v>673.53780000000006</v>
      </c>
      <c r="Q45">
        <v>0.22524577499761728</v>
      </c>
      <c r="R45">
        <v>0.375</v>
      </c>
    </row>
    <row r="46" spans="1:18" x14ac:dyDescent="0.2">
      <c r="A46">
        <v>490</v>
      </c>
      <c r="B46">
        <v>84</v>
      </c>
      <c r="C46" s="1">
        <v>45368</v>
      </c>
      <c r="D46">
        <v>5</v>
      </c>
      <c r="E46">
        <v>9</v>
      </c>
      <c r="F46">
        <v>7061.7456000000002</v>
      </c>
      <c r="G46" t="s">
        <v>96</v>
      </c>
      <c r="H46" t="s">
        <v>14</v>
      </c>
      <c r="I46">
        <v>4656.0959999999995</v>
      </c>
      <c r="J46">
        <v>7760.16</v>
      </c>
      <c r="K46">
        <v>1</v>
      </c>
      <c r="L46">
        <v>8923.6813466639433</v>
      </c>
      <c r="M46">
        <v>2588.9250000000002</v>
      </c>
      <c r="N46">
        <v>35308.728000000003</v>
      </c>
      <c r="O46">
        <v>12028.248000000003</v>
      </c>
      <c r="P46">
        <v>4472.8206</v>
      </c>
      <c r="Q46">
        <v>1.7276748457371303</v>
      </c>
      <c r="R46">
        <v>0.34065934065934073</v>
      </c>
    </row>
    <row r="47" spans="1:18" x14ac:dyDescent="0.2">
      <c r="A47">
        <v>472</v>
      </c>
      <c r="B47">
        <v>68</v>
      </c>
      <c r="C47" s="1">
        <v>45568</v>
      </c>
      <c r="D47">
        <v>7</v>
      </c>
      <c r="E47">
        <v>6</v>
      </c>
      <c r="F47">
        <v>5680.8805999999995</v>
      </c>
      <c r="G47" t="s">
        <v>80</v>
      </c>
      <c r="H47" t="s">
        <v>14</v>
      </c>
      <c r="I47">
        <v>3626.0939999999996</v>
      </c>
      <c r="J47">
        <v>6043.49</v>
      </c>
      <c r="K47">
        <v>2</v>
      </c>
      <c r="L47">
        <v>6586.4088971854817</v>
      </c>
      <c r="M47">
        <v>796.21333333333325</v>
      </c>
      <c r="N47">
        <v>39766.164199999999</v>
      </c>
      <c r="O47">
        <v>14383.5062</v>
      </c>
      <c r="P47">
        <v>4884.6672666666664</v>
      </c>
      <c r="Q47">
        <v>6.1348724797374237</v>
      </c>
      <c r="R47">
        <v>0.36170212765957449</v>
      </c>
    </row>
    <row r="48" spans="1:18" x14ac:dyDescent="0.2">
      <c r="A48">
        <v>451</v>
      </c>
      <c r="B48">
        <v>122</v>
      </c>
      <c r="C48" s="1">
        <v>45834</v>
      </c>
      <c r="D48">
        <v>29</v>
      </c>
      <c r="E48">
        <v>6</v>
      </c>
      <c r="F48">
        <v>4838.8755999999994</v>
      </c>
      <c r="G48" t="s">
        <v>134</v>
      </c>
      <c r="H48" t="s">
        <v>14</v>
      </c>
      <c r="I48">
        <v>3088.6439999999998</v>
      </c>
      <c r="J48">
        <v>5147.74</v>
      </c>
      <c r="K48">
        <v>3</v>
      </c>
      <c r="L48">
        <v>6314.341663228427</v>
      </c>
      <c r="M48">
        <v>4724.1475</v>
      </c>
      <c r="N48">
        <v>140327.39239999998</v>
      </c>
      <c r="O48">
        <v>50756.71639999999</v>
      </c>
      <c r="P48">
        <v>114.72809999999936</v>
      </c>
      <c r="Q48">
        <v>2.4285461027624425E-2</v>
      </c>
      <c r="R48">
        <v>0.36170212765957444</v>
      </c>
    </row>
    <row r="49" spans="1:18" x14ac:dyDescent="0.2">
      <c r="A49">
        <v>437</v>
      </c>
      <c r="B49">
        <v>67</v>
      </c>
      <c r="C49" s="1">
        <v>45418</v>
      </c>
      <c r="D49">
        <v>47</v>
      </c>
      <c r="E49">
        <v>8</v>
      </c>
      <c r="F49">
        <v>1058.6532</v>
      </c>
      <c r="G49" t="s">
        <v>79</v>
      </c>
      <c r="H49" t="s">
        <v>14</v>
      </c>
      <c r="I49">
        <v>690.42600000000004</v>
      </c>
      <c r="J49">
        <v>1150.71</v>
      </c>
      <c r="K49">
        <v>4</v>
      </c>
      <c r="L49">
        <v>1326.3074256122745</v>
      </c>
      <c r="M49">
        <v>7069.7</v>
      </c>
      <c r="N49">
        <v>49756.700400000002</v>
      </c>
      <c r="O49">
        <v>17306.678399999997</v>
      </c>
      <c r="P49">
        <v>-6011.0468000000001</v>
      </c>
      <c r="Q49">
        <v>-0.85025486229967329</v>
      </c>
      <c r="R49">
        <v>0.34782608695652167</v>
      </c>
    </row>
    <row r="50" spans="1:18" x14ac:dyDescent="0.2">
      <c r="A50">
        <v>421</v>
      </c>
      <c r="B50">
        <v>57</v>
      </c>
      <c r="C50" s="1">
        <v>45361</v>
      </c>
      <c r="D50">
        <v>30</v>
      </c>
      <c r="E50">
        <v>7</v>
      </c>
      <c r="F50">
        <v>6334.9274999999998</v>
      </c>
      <c r="G50" t="s">
        <v>69</v>
      </c>
      <c r="H50" t="s">
        <v>14</v>
      </c>
      <c r="I50">
        <v>4087.0499999999997</v>
      </c>
      <c r="J50">
        <v>6811.75</v>
      </c>
      <c r="K50">
        <v>2</v>
      </c>
      <c r="L50">
        <v>7548.8195634868844</v>
      </c>
      <c r="M50">
        <v>1836.9825000000001</v>
      </c>
      <c r="N50">
        <v>190047.82499999998</v>
      </c>
      <c r="O50">
        <v>67436.324999999997</v>
      </c>
      <c r="P50">
        <v>4497.9449999999997</v>
      </c>
      <c r="Q50">
        <v>2.4485508163523604</v>
      </c>
      <c r="R50">
        <v>0.35483870967741937</v>
      </c>
    </row>
    <row r="51" spans="1:18" x14ac:dyDescent="0.2">
      <c r="A51">
        <v>393</v>
      </c>
      <c r="B51">
        <v>84</v>
      </c>
      <c r="C51" s="1">
        <v>46006</v>
      </c>
      <c r="D51">
        <v>33</v>
      </c>
      <c r="E51">
        <v>7</v>
      </c>
      <c r="F51">
        <v>7216.9487999999992</v>
      </c>
      <c r="G51" t="s">
        <v>96</v>
      </c>
      <c r="H51" t="s">
        <v>14</v>
      </c>
      <c r="I51">
        <v>4656.0959999999995</v>
      </c>
      <c r="J51">
        <v>7760.16</v>
      </c>
      <c r="K51">
        <v>1</v>
      </c>
      <c r="L51">
        <v>9838.3769341807874</v>
      </c>
      <c r="M51">
        <v>2588.9250000000002</v>
      </c>
      <c r="N51">
        <v>238159.31039999999</v>
      </c>
      <c r="O51">
        <v>84508.142399999982</v>
      </c>
      <c r="P51">
        <v>4628.023799999999</v>
      </c>
      <c r="Q51">
        <v>1.7876237434456381</v>
      </c>
      <c r="R51">
        <v>0.35483870967741932</v>
      </c>
    </row>
    <row r="52" spans="1:18" x14ac:dyDescent="0.2">
      <c r="A52">
        <v>385</v>
      </c>
      <c r="B52">
        <v>107</v>
      </c>
      <c r="C52" s="1">
        <v>44973</v>
      </c>
      <c r="D52">
        <v>4</v>
      </c>
      <c r="E52">
        <v>3</v>
      </c>
      <c r="F52">
        <v>1520.8630000000001</v>
      </c>
      <c r="G52" t="s">
        <v>119</v>
      </c>
      <c r="H52" t="s">
        <v>14</v>
      </c>
      <c r="I52">
        <v>940.74</v>
      </c>
      <c r="J52">
        <v>1567.9</v>
      </c>
      <c r="K52">
        <v>2</v>
      </c>
      <c r="L52">
        <v>1765.688786297241</v>
      </c>
      <c r="M52">
        <v>979.96</v>
      </c>
      <c r="N52">
        <v>6083.4520000000002</v>
      </c>
      <c r="O52">
        <v>2320.4920000000002</v>
      </c>
      <c r="P52">
        <v>540.90300000000002</v>
      </c>
      <c r="Q52">
        <v>0.55196436589248543</v>
      </c>
      <c r="R52">
        <v>0.3814432989690722</v>
      </c>
    </row>
    <row r="53" spans="1:18" x14ac:dyDescent="0.2">
      <c r="A53">
        <v>382</v>
      </c>
      <c r="B53">
        <v>68</v>
      </c>
      <c r="C53" s="1">
        <v>45733</v>
      </c>
      <c r="D53">
        <v>39</v>
      </c>
      <c r="E53">
        <v>10</v>
      </c>
      <c r="F53">
        <v>5439.1409999999996</v>
      </c>
      <c r="G53" t="s">
        <v>80</v>
      </c>
      <c r="H53" t="s">
        <v>14</v>
      </c>
      <c r="I53">
        <v>3626.0939999999996</v>
      </c>
      <c r="J53">
        <v>6043.49</v>
      </c>
      <c r="K53">
        <v>2</v>
      </c>
      <c r="L53">
        <v>6575.9906928018254</v>
      </c>
      <c r="M53">
        <v>796.21333333333325</v>
      </c>
      <c r="N53">
        <v>212126.49899999998</v>
      </c>
      <c r="O53">
        <v>70708.832999999999</v>
      </c>
      <c r="P53">
        <v>4642.9276666666665</v>
      </c>
      <c r="Q53">
        <v>5.8312608848549807</v>
      </c>
      <c r="R53">
        <v>0.33333333333333337</v>
      </c>
    </row>
    <row r="54" spans="1:18" x14ac:dyDescent="0.2">
      <c r="A54">
        <v>375</v>
      </c>
      <c r="B54">
        <v>107</v>
      </c>
      <c r="C54" s="1">
        <v>45501</v>
      </c>
      <c r="D54">
        <v>4</v>
      </c>
      <c r="E54">
        <v>3</v>
      </c>
      <c r="F54">
        <v>1520.8630000000001</v>
      </c>
      <c r="G54" t="s">
        <v>119</v>
      </c>
      <c r="H54" t="s">
        <v>14</v>
      </c>
      <c r="I54">
        <v>940.74</v>
      </c>
      <c r="J54">
        <v>1567.9</v>
      </c>
      <c r="K54">
        <v>2</v>
      </c>
      <c r="L54">
        <v>2002.6041040428408</v>
      </c>
      <c r="M54">
        <v>979.96</v>
      </c>
      <c r="N54">
        <v>6083.4520000000002</v>
      </c>
      <c r="O54">
        <v>2320.4920000000002</v>
      </c>
      <c r="P54">
        <v>540.90300000000002</v>
      </c>
      <c r="Q54">
        <v>0.55196436589248543</v>
      </c>
      <c r="R54">
        <v>0.3814432989690722</v>
      </c>
    </row>
    <row r="55" spans="1:18" x14ac:dyDescent="0.2">
      <c r="A55">
        <v>371</v>
      </c>
      <c r="B55">
        <v>108</v>
      </c>
      <c r="C55" s="1">
        <v>45110</v>
      </c>
      <c r="D55">
        <v>38</v>
      </c>
      <c r="E55">
        <v>7</v>
      </c>
      <c r="F55">
        <v>781.70219999999995</v>
      </c>
      <c r="G55" t="s">
        <v>120</v>
      </c>
      <c r="H55" t="s">
        <v>14</v>
      </c>
      <c r="I55">
        <v>504.32399999999996</v>
      </c>
      <c r="J55">
        <v>840.54</v>
      </c>
      <c r="K55">
        <v>3</v>
      </c>
      <c r="L55">
        <v>912.83247978662246</v>
      </c>
      <c r="M55">
        <v>5163.7120000000004</v>
      </c>
      <c r="N55">
        <v>29704.683599999997</v>
      </c>
      <c r="O55">
        <v>10540.3716</v>
      </c>
      <c r="P55">
        <v>-4382.0098000000007</v>
      </c>
      <c r="Q55">
        <v>-0.84861622801581504</v>
      </c>
      <c r="R55">
        <v>0.35483870967741943</v>
      </c>
    </row>
    <row r="56" spans="1:18" x14ac:dyDescent="0.2">
      <c r="A56">
        <v>366</v>
      </c>
      <c r="B56">
        <v>49</v>
      </c>
      <c r="C56" s="1">
        <v>45434</v>
      </c>
      <c r="D56">
        <v>49</v>
      </c>
      <c r="E56">
        <v>2</v>
      </c>
      <c r="F56">
        <v>3299.0131999999999</v>
      </c>
      <c r="G56" t="s">
        <v>61</v>
      </c>
      <c r="H56" t="s">
        <v>14</v>
      </c>
      <c r="I56">
        <v>2019.8040000000001</v>
      </c>
      <c r="J56">
        <v>3366.34</v>
      </c>
      <c r="K56">
        <v>4</v>
      </c>
      <c r="L56">
        <v>3395.1307138386087</v>
      </c>
      <c r="M56">
        <v>1635.5425</v>
      </c>
      <c r="N56">
        <v>161651.64679999999</v>
      </c>
      <c r="O56">
        <v>62681.250799999987</v>
      </c>
      <c r="P56">
        <v>1663.4706999999999</v>
      </c>
      <c r="Q56">
        <v>1.0170758020656754</v>
      </c>
      <c r="R56">
        <v>0.38775510204081626</v>
      </c>
    </row>
    <row r="57" spans="1:18" x14ac:dyDescent="0.2">
      <c r="A57">
        <v>345</v>
      </c>
      <c r="B57">
        <v>137</v>
      </c>
      <c r="C57" s="1">
        <v>45356</v>
      </c>
      <c r="D57">
        <v>36</v>
      </c>
      <c r="E57">
        <v>10</v>
      </c>
      <c r="F57">
        <v>322.803</v>
      </c>
      <c r="G57" t="s">
        <v>149</v>
      </c>
      <c r="H57" t="s">
        <v>14</v>
      </c>
      <c r="I57">
        <v>215.202</v>
      </c>
      <c r="J57">
        <v>358.67</v>
      </c>
      <c r="K57">
        <v>3</v>
      </c>
      <c r="L57">
        <v>429.29849400856051</v>
      </c>
      <c r="M57">
        <v>4109.2999999999993</v>
      </c>
      <c r="N57">
        <v>11620.907999999999</v>
      </c>
      <c r="O57">
        <v>3873.636</v>
      </c>
      <c r="P57">
        <v>-3786.4969999999994</v>
      </c>
      <c r="Q57">
        <v>-0.92144574501739962</v>
      </c>
      <c r="R57">
        <v>0.33333333333333337</v>
      </c>
    </row>
    <row r="58" spans="1:18" x14ac:dyDescent="0.2">
      <c r="A58">
        <v>340</v>
      </c>
      <c r="B58">
        <v>137</v>
      </c>
      <c r="C58" s="1">
        <v>45935</v>
      </c>
      <c r="D58">
        <v>41</v>
      </c>
      <c r="E58">
        <v>7</v>
      </c>
      <c r="F58">
        <v>333.56310000000002</v>
      </c>
      <c r="G58" t="s">
        <v>149</v>
      </c>
      <c r="H58" t="s">
        <v>14</v>
      </c>
      <c r="I58">
        <v>215.202</v>
      </c>
      <c r="J58">
        <v>358.67</v>
      </c>
      <c r="K58">
        <v>3</v>
      </c>
      <c r="L58">
        <v>428.6321273463347</v>
      </c>
      <c r="M58">
        <v>4109.2999999999993</v>
      </c>
      <c r="N58">
        <v>13676.087100000001</v>
      </c>
      <c r="O58">
        <v>4852.8051000000005</v>
      </c>
      <c r="P58">
        <v>-3775.7368999999994</v>
      </c>
      <c r="Q58">
        <v>-0.91882726985131291</v>
      </c>
      <c r="R58">
        <v>0.35483870967741937</v>
      </c>
    </row>
    <row r="59" spans="1:18" x14ac:dyDescent="0.2">
      <c r="A59">
        <v>339</v>
      </c>
      <c r="B59">
        <v>5</v>
      </c>
      <c r="C59" s="1">
        <v>45368</v>
      </c>
      <c r="D59">
        <v>24</v>
      </c>
      <c r="E59">
        <v>9</v>
      </c>
      <c r="F59">
        <v>755.52750000000003</v>
      </c>
      <c r="G59" t="s">
        <v>13</v>
      </c>
      <c r="H59" t="s">
        <v>14</v>
      </c>
      <c r="I59">
        <v>498.15</v>
      </c>
      <c r="J59">
        <v>830.25</v>
      </c>
      <c r="K59">
        <v>5</v>
      </c>
      <c r="L59">
        <v>894.27135141423344</v>
      </c>
      <c r="M59">
        <v>7010.5333333333328</v>
      </c>
      <c r="N59">
        <v>18132.66</v>
      </c>
      <c r="O59">
        <v>6177.0600000000013</v>
      </c>
      <c r="P59">
        <v>-6255.0058333333327</v>
      </c>
      <c r="Q59">
        <v>-0.89222966868902032</v>
      </c>
      <c r="R59">
        <v>0.34065934065934073</v>
      </c>
    </row>
    <row r="60" spans="1:18" x14ac:dyDescent="0.2">
      <c r="A60">
        <v>331</v>
      </c>
      <c r="B60">
        <v>5</v>
      </c>
      <c r="C60" s="1">
        <v>45075</v>
      </c>
      <c r="D60">
        <v>17</v>
      </c>
      <c r="E60">
        <v>3</v>
      </c>
      <c r="F60">
        <v>805.34249999999997</v>
      </c>
      <c r="G60" t="s">
        <v>13</v>
      </c>
      <c r="H60" t="s">
        <v>14</v>
      </c>
      <c r="I60">
        <v>498.15</v>
      </c>
      <c r="J60">
        <v>830.25</v>
      </c>
      <c r="K60">
        <v>5</v>
      </c>
      <c r="L60">
        <v>971.0096375298159</v>
      </c>
      <c r="M60">
        <v>7010.5333333333328</v>
      </c>
      <c r="N60">
        <v>13690.8225</v>
      </c>
      <c r="O60">
        <v>5222.2725</v>
      </c>
      <c r="P60">
        <v>-6205.1908333333331</v>
      </c>
      <c r="Q60">
        <v>-0.88512393255862609</v>
      </c>
      <c r="R60">
        <v>0.38144329896907214</v>
      </c>
    </row>
    <row r="61" spans="1:18" x14ac:dyDescent="0.2">
      <c r="A61">
        <v>60</v>
      </c>
      <c r="B61">
        <v>55</v>
      </c>
      <c r="C61" s="1">
        <v>45549</v>
      </c>
      <c r="D61">
        <v>19</v>
      </c>
      <c r="E61">
        <v>4</v>
      </c>
      <c r="F61">
        <v>925.71839999999997</v>
      </c>
      <c r="G61" t="s">
        <v>67</v>
      </c>
      <c r="H61" t="s">
        <v>14</v>
      </c>
      <c r="I61">
        <v>578.57399999999996</v>
      </c>
      <c r="J61">
        <v>964.29</v>
      </c>
      <c r="K61">
        <v>2</v>
      </c>
      <c r="L61">
        <v>1001.1952774425527</v>
      </c>
      <c r="M61">
        <v>1508.7675000000002</v>
      </c>
      <c r="N61">
        <v>17588.649600000001</v>
      </c>
      <c r="O61">
        <v>6595.7436000000007</v>
      </c>
      <c r="P61">
        <v>-583.04910000000018</v>
      </c>
      <c r="Q61">
        <v>-0.38644065437517716</v>
      </c>
      <c r="R61">
        <v>0.375</v>
      </c>
    </row>
    <row r="62" spans="1:18" x14ac:dyDescent="0.2">
      <c r="A62">
        <v>328</v>
      </c>
      <c r="B62">
        <v>57</v>
      </c>
      <c r="C62" s="1">
        <v>45942</v>
      </c>
      <c r="D62">
        <v>7</v>
      </c>
      <c r="E62">
        <v>2</v>
      </c>
      <c r="F62">
        <v>6675.5150000000003</v>
      </c>
      <c r="G62" t="s">
        <v>69</v>
      </c>
      <c r="H62" t="s">
        <v>14</v>
      </c>
      <c r="I62">
        <v>4087.0499999999997</v>
      </c>
      <c r="J62">
        <v>6811.75</v>
      </c>
      <c r="K62">
        <v>2</v>
      </c>
      <c r="L62">
        <v>6839.607875738584</v>
      </c>
      <c r="M62">
        <v>1836.9825000000001</v>
      </c>
      <c r="N62">
        <v>46728.605000000003</v>
      </c>
      <c r="O62">
        <v>18119.255000000005</v>
      </c>
      <c r="P62">
        <v>4838.5325000000003</v>
      </c>
      <c r="Q62">
        <v>2.633956774220767</v>
      </c>
      <c r="R62">
        <v>0.38775510204081642</v>
      </c>
    </row>
    <row r="63" spans="1:18" x14ac:dyDescent="0.2">
      <c r="A63">
        <v>62</v>
      </c>
      <c r="B63">
        <v>39</v>
      </c>
      <c r="C63" s="1">
        <v>45320</v>
      </c>
      <c r="D63">
        <v>43</v>
      </c>
      <c r="E63">
        <v>2</v>
      </c>
      <c r="F63">
        <v>3143.4283999999998</v>
      </c>
      <c r="G63" t="s">
        <v>51</v>
      </c>
      <c r="H63" t="s">
        <v>14</v>
      </c>
      <c r="I63">
        <v>1924.5479999999998</v>
      </c>
      <c r="J63">
        <v>3207.58</v>
      </c>
      <c r="K63">
        <v>1</v>
      </c>
      <c r="L63">
        <v>4134.8487595159449</v>
      </c>
      <c r="M63">
        <v>9555.6079999999984</v>
      </c>
      <c r="N63">
        <v>135167.42119999998</v>
      </c>
      <c r="O63">
        <v>52411.857199999999</v>
      </c>
      <c r="P63">
        <v>-6412.1795999999986</v>
      </c>
      <c r="Q63">
        <v>-0.671038368254537</v>
      </c>
      <c r="R63">
        <v>0.38775510204081637</v>
      </c>
    </row>
    <row r="64" spans="1:18" x14ac:dyDescent="0.2">
      <c r="A64">
        <v>325</v>
      </c>
      <c r="B64">
        <v>131</v>
      </c>
      <c r="C64" s="1">
        <v>45955</v>
      </c>
      <c r="D64">
        <v>50</v>
      </c>
      <c r="E64">
        <v>7</v>
      </c>
      <c r="F64">
        <v>5759.0993999999992</v>
      </c>
      <c r="G64" t="s">
        <v>143</v>
      </c>
      <c r="H64" t="s">
        <v>14</v>
      </c>
      <c r="I64">
        <v>3715.5479999999998</v>
      </c>
      <c r="J64">
        <v>6192.58</v>
      </c>
      <c r="K64">
        <v>3</v>
      </c>
      <c r="L64">
        <v>7553.6105055364524</v>
      </c>
      <c r="M64">
        <v>1795.3133333333335</v>
      </c>
      <c r="N64">
        <v>287954.96999999997</v>
      </c>
      <c r="O64">
        <v>102177.56999999996</v>
      </c>
      <c r="P64">
        <v>3963.7860666666656</v>
      </c>
      <c r="Q64">
        <v>2.2078519627028887</v>
      </c>
      <c r="R64">
        <v>0.35483870967741926</v>
      </c>
    </row>
    <row r="65" spans="1:18" x14ac:dyDescent="0.2">
      <c r="A65">
        <v>313</v>
      </c>
      <c r="B65">
        <v>131</v>
      </c>
      <c r="C65" s="1">
        <v>45721</v>
      </c>
      <c r="D65">
        <v>12</v>
      </c>
      <c r="E65">
        <v>10</v>
      </c>
      <c r="F65">
        <v>5573.3220000000001</v>
      </c>
      <c r="G65" t="s">
        <v>143</v>
      </c>
      <c r="H65" t="s">
        <v>14</v>
      </c>
      <c r="I65">
        <v>3715.5479999999998</v>
      </c>
      <c r="J65">
        <v>6192.58</v>
      </c>
      <c r="K65">
        <v>3</v>
      </c>
      <c r="L65">
        <v>8009.4557484971638</v>
      </c>
      <c r="M65">
        <v>1795.3133333333335</v>
      </c>
      <c r="N65">
        <v>66879.864000000001</v>
      </c>
      <c r="O65">
        <v>22293.288000000004</v>
      </c>
      <c r="P65">
        <v>3778.0086666666666</v>
      </c>
      <c r="Q65">
        <v>2.1043728671318283</v>
      </c>
      <c r="R65">
        <v>0.33333333333333337</v>
      </c>
    </row>
    <row r="66" spans="1:18" x14ac:dyDescent="0.2">
      <c r="A66">
        <v>297</v>
      </c>
      <c r="B66">
        <v>111</v>
      </c>
      <c r="C66" s="1">
        <v>44941</v>
      </c>
      <c r="D66">
        <v>50</v>
      </c>
      <c r="E66">
        <v>4</v>
      </c>
      <c r="F66">
        <v>724.05119999999999</v>
      </c>
      <c r="G66" t="s">
        <v>123</v>
      </c>
      <c r="H66" t="s">
        <v>14</v>
      </c>
      <c r="I66">
        <v>452.53199999999998</v>
      </c>
      <c r="J66">
        <v>754.22</v>
      </c>
      <c r="K66">
        <v>3</v>
      </c>
      <c r="L66">
        <v>766.02104910337482</v>
      </c>
      <c r="M66">
        <v>3824.0450000000001</v>
      </c>
      <c r="N66">
        <v>36202.559999999998</v>
      </c>
      <c r="O66">
        <v>13575.960000000001</v>
      </c>
      <c r="P66">
        <v>-3099.9938000000002</v>
      </c>
      <c r="Q66">
        <v>-0.81065829507759457</v>
      </c>
      <c r="R66">
        <v>0.37500000000000006</v>
      </c>
    </row>
    <row r="67" spans="1:18" x14ac:dyDescent="0.2">
      <c r="A67">
        <v>294</v>
      </c>
      <c r="B67">
        <v>68</v>
      </c>
      <c r="C67" s="1">
        <v>44939</v>
      </c>
      <c r="D67">
        <v>22</v>
      </c>
      <c r="E67">
        <v>6</v>
      </c>
      <c r="F67">
        <v>5680.8805999999995</v>
      </c>
      <c r="G67" t="s">
        <v>80</v>
      </c>
      <c r="H67" t="s">
        <v>14</v>
      </c>
      <c r="I67">
        <v>3626.0939999999996</v>
      </c>
      <c r="J67">
        <v>6043.49</v>
      </c>
      <c r="K67">
        <v>2</v>
      </c>
      <c r="L67">
        <v>7734.3864020628143</v>
      </c>
      <c r="M67">
        <v>796.21333333333325</v>
      </c>
      <c r="N67">
        <v>124979.37319999999</v>
      </c>
      <c r="O67">
        <v>45205.305199999995</v>
      </c>
      <c r="P67">
        <v>4884.6672666666664</v>
      </c>
      <c r="Q67">
        <v>6.1348724797374237</v>
      </c>
      <c r="R67">
        <v>0.36170212765957449</v>
      </c>
    </row>
    <row r="68" spans="1:18" x14ac:dyDescent="0.2">
      <c r="A68">
        <v>285</v>
      </c>
      <c r="B68">
        <v>57</v>
      </c>
      <c r="C68" s="1">
        <v>45390</v>
      </c>
      <c r="D68">
        <v>8</v>
      </c>
      <c r="E68">
        <v>9</v>
      </c>
      <c r="F68">
        <v>6198.6925000000001</v>
      </c>
      <c r="G68" t="s">
        <v>69</v>
      </c>
      <c r="H68" t="s">
        <v>14</v>
      </c>
      <c r="I68">
        <v>4087.0499999999997</v>
      </c>
      <c r="J68">
        <v>6811.75</v>
      </c>
      <c r="K68">
        <v>2</v>
      </c>
      <c r="L68">
        <v>8731.2817868813654</v>
      </c>
      <c r="M68">
        <v>1836.9825000000001</v>
      </c>
      <c r="N68">
        <v>49589.54</v>
      </c>
      <c r="O68">
        <v>16893.140000000003</v>
      </c>
      <c r="P68">
        <v>4361.71</v>
      </c>
      <c r="Q68">
        <v>2.3743884332049978</v>
      </c>
      <c r="R68">
        <v>0.34065934065934073</v>
      </c>
    </row>
    <row r="69" spans="1:18" x14ac:dyDescent="0.2">
      <c r="A69">
        <v>68</v>
      </c>
      <c r="B69">
        <v>68</v>
      </c>
      <c r="C69" s="1">
        <v>45397</v>
      </c>
      <c r="D69">
        <v>13</v>
      </c>
      <c r="E69">
        <v>2</v>
      </c>
      <c r="F69">
        <v>5922.6201999999994</v>
      </c>
      <c r="G69" t="s">
        <v>80</v>
      </c>
      <c r="H69" t="s">
        <v>14</v>
      </c>
      <c r="I69">
        <v>3626.0939999999996</v>
      </c>
      <c r="J69">
        <v>6043.49</v>
      </c>
      <c r="K69">
        <v>2</v>
      </c>
      <c r="L69">
        <v>6146.6667638192603</v>
      </c>
      <c r="M69">
        <v>796.21333333333325</v>
      </c>
      <c r="N69">
        <v>76994.06259999999</v>
      </c>
      <c r="O69">
        <v>29854.840599999996</v>
      </c>
      <c r="P69">
        <v>5126.4068666666662</v>
      </c>
      <c r="Q69">
        <v>6.4384840746198675</v>
      </c>
      <c r="R69">
        <v>0.38775510204081631</v>
      </c>
    </row>
    <row r="70" spans="1:18" x14ac:dyDescent="0.2">
      <c r="A70">
        <v>269</v>
      </c>
      <c r="B70">
        <v>39</v>
      </c>
      <c r="C70" s="1">
        <v>45383</v>
      </c>
      <c r="D70">
        <v>10</v>
      </c>
      <c r="E70">
        <v>2</v>
      </c>
      <c r="F70">
        <v>3143.4283999999998</v>
      </c>
      <c r="G70" t="s">
        <v>51</v>
      </c>
      <c r="H70" t="s">
        <v>14</v>
      </c>
      <c r="I70">
        <v>1924.5479999999998</v>
      </c>
      <c r="J70">
        <v>3207.58</v>
      </c>
      <c r="K70">
        <v>1</v>
      </c>
      <c r="L70">
        <v>3615.7745661535519</v>
      </c>
      <c r="M70">
        <v>9555.6079999999984</v>
      </c>
      <c r="N70">
        <v>31434.284</v>
      </c>
      <c r="O70">
        <v>12188.804</v>
      </c>
      <c r="P70">
        <v>-6412.1795999999986</v>
      </c>
      <c r="Q70">
        <v>-0.671038368254537</v>
      </c>
      <c r="R70">
        <v>0.38775510204081631</v>
      </c>
    </row>
    <row r="71" spans="1:18" x14ac:dyDescent="0.2">
      <c r="A71">
        <v>70</v>
      </c>
      <c r="B71">
        <v>57</v>
      </c>
      <c r="C71" s="1">
        <v>45938</v>
      </c>
      <c r="D71">
        <v>19</v>
      </c>
      <c r="E71">
        <v>5</v>
      </c>
      <c r="F71">
        <v>6471.1624999999995</v>
      </c>
      <c r="G71" t="s">
        <v>69</v>
      </c>
      <c r="H71" t="s">
        <v>14</v>
      </c>
      <c r="I71">
        <v>4087.0499999999997</v>
      </c>
      <c r="J71">
        <v>6811.75</v>
      </c>
      <c r="K71">
        <v>2</v>
      </c>
      <c r="L71">
        <v>7447.361504546474</v>
      </c>
      <c r="M71">
        <v>1836.9825000000001</v>
      </c>
      <c r="N71">
        <v>122952.08749999999</v>
      </c>
      <c r="O71">
        <v>45298.137499999997</v>
      </c>
      <c r="P71">
        <v>4634.1799999999994</v>
      </c>
      <c r="Q71">
        <v>2.5227131994997225</v>
      </c>
      <c r="R71">
        <v>0.36842105263157893</v>
      </c>
    </row>
    <row r="72" spans="1:18" x14ac:dyDescent="0.2">
      <c r="A72">
        <v>248</v>
      </c>
      <c r="B72">
        <v>67</v>
      </c>
      <c r="C72" s="1">
        <v>45246</v>
      </c>
      <c r="D72">
        <v>14</v>
      </c>
      <c r="E72">
        <v>7</v>
      </c>
      <c r="F72">
        <v>1070.1603</v>
      </c>
      <c r="G72" t="s">
        <v>79</v>
      </c>
      <c r="H72" t="s">
        <v>14</v>
      </c>
      <c r="I72">
        <v>690.42600000000004</v>
      </c>
      <c r="J72">
        <v>1150.71</v>
      </c>
      <c r="K72">
        <v>4</v>
      </c>
      <c r="L72">
        <v>1164.365499149787</v>
      </c>
      <c r="M72">
        <v>7069.7</v>
      </c>
      <c r="N72">
        <v>14982.244200000001</v>
      </c>
      <c r="O72">
        <v>5316.2801999999992</v>
      </c>
      <c r="P72">
        <v>-5999.5396999999994</v>
      </c>
      <c r="Q72">
        <v>-0.84862719775945228</v>
      </c>
      <c r="R72">
        <v>0.35483870967741926</v>
      </c>
    </row>
    <row r="73" spans="1:18" x14ac:dyDescent="0.2">
      <c r="A73">
        <v>241</v>
      </c>
      <c r="B73">
        <v>131</v>
      </c>
      <c r="C73" s="1">
        <v>45341</v>
      </c>
      <c r="D73">
        <v>12</v>
      </c>
      <c r="E73">
        <v>10</v>
      </c>
      <c r="F73">
        <v>5573.3220000000001</v>
      </c>
      <c r="G73" t="s">
        <v>143</v>
      </c>
      <c r="H73" t="s">
        <v>14</v>
      </c>
      <c r="I73">
        <v>3715.5479999999998</v>
      </c>
      <c r="J73">
        <v>6192.58</v>
      </c>
      <c r="K73">
        <v>3</v>
      </c>
      <c r="L73">
        <v>7532.2297424405788</v>
      </c>
      <c r="M73">
        <v>1795.3133333333335</v>
      </c>
      <c r="N73">
        <v>66879.864000000001</v>
      </c>
      <c r="O73">
        <v>22293.288000000004</v>
      </c>
      <c r="P73">
        <v>3778.0086666666666</v>
      </c>
      <c r="Q73">
        <v>2.1043728671318283</v>
      </c>
      <c r="R73">
        <v>0.33333333333333337</v>
      </c>
    </row>
    <row r="74" spans="1:18" x14ac:dyDescent="0.2">
      <c r="A74">
        <v>239</v>
      </c>
      <c r="B74">
        <v>131</v>
      </c>
      <c r="C74" s="1">
        <v>45820</v>
      </c>
      <c r="D74">
        <v>19</v>
      </c>
      <c r="E74">
        <v>2</v>
      </c>
      <c r="F74">
        <v>6068.7284</v>
      </c>
      <c r="G74" t="s">
        <v>143</v>
      </c>
      <c r="H74" t="s">
        <v>14</v>
      </c>
      <c r="I74">
        <v>3715.5479999999998</v>
      </c>
      <c r="J74">
        <v>6192.58</v>
      </c>
      <c r="K74">
        <v>3</v>
      </c>
      <c r="L74">
        <v>7616.0834039747133</v>
      </c>
      <c r="M74">
        <v>1795.3133333333335</v>
      </c>
      <c r="N74">
        <v>115305.83960000001</v>
      </c>
      <c r="O74">
        <v>44710.427600000003</v>
      </c>
      <c r="P74">
        <v>4273.4150666666665</v>
      </c>
      <c r="Q74">
        <v>2.3803171219879906</v>
      </c>
      <c r="R74">
        <v>0.38775510204081631</v>
      </c>
    </row>
    <row r="75" spans="1:18" x14ac:dyDescent="0.2">
      <c r="A75">
        <v>235</v>
      </c>
      <c r="B75">
        <v>68</v>
      </c>
      <c r="C75" s="1">
        <v>45980</v>
      </c>
      <c r="D75">
        <v>17</v>
      </c>
      <c r="E75">
        <v>3</v>
      </c>
      <c r="F75">
        <v>5862.1852999999992</v>
      </c>
      <c r="G75" t="s">
        <v>80</v>
      </c>
      <c r="H75" t="s">
        <v>14</v>
      </c>
      <c r="I75">
        <v>3626.0939999999996</v>
      </c>
      <c r="J75">
        <v>6043.49</v>
      </c>
      <c r="K75">
        <v>2</v>
      </c>
      <c r="L75">
        <v>6445.1162490784254</v>
      </c>
      <c r="M75">
        <v>796.21333333333325</v>
      </c>
      <c r="N75">
        <v>99657.150099999984</v>
      </c>
      <c r="O75">
        <v>38013.552099999994</v>
      </c>
      <c r="P75">
        <v>5065.971966666666</v>
      </c>
      <c r="Q75">
        <v>6.3625811758992565</v>
      </c>
      <c r="R75">
        <v>0.38144329896907214</v>
      </c>
    </row>
    <row r="76" spans="1:18" x14ac:dyDescent="0.2">
      <c r="A76">
        <v>214</v>
      </c>
      <c r="B76">
        <v>5</v>
      </c>
      <c r="C76" s="1">
        <v>45527</v>
      </c>
      <c r="D76">
        <v>46</v>
      </c>
      <c r="E76">
        <v>10</v>
      </c>
      <c r="F76">
        <v>747.22500000000002</v>
      </c>
      <c r="G76" t="s">
        <v>13</v>
      </c>
      <c r="H76" t="s">
        <v>14</v>
      </c>
      <c r="I76">
        <v>498.15</v>
      </c>
      <c r="J76">
        <v>830.25</v>
      </c>
      <c r="K76">
        <v>5</v>
      </c>
      <c r="L76">
        <v>927.46017291489659</v>
      </c>
      <c r="M76">
        <v>7010.5333333333328</v>
      </c>
      <c r="N76">
        <v>34372.35</v>
      </c>
      <c r="O76">
        <v>11457.450000000003</v>
      </c>
      <c r="P76">
        <v>-6263.3083333333325</v>
      </c>
      <c r="Q76">
        <v>-0.89341395804408597</v>
      </c>
      <c r="R76">
        <v>0.33333333333333343</v>
      </c>
    </row>
    <row r="77" spans="1:18" x14ac:dyDescent="0.2">
      <c r="A77">
        <v>208</v>
      </c>
      <c r="B77">
        <v>111</v>
      </c>
      <c r="C77" s="1">
        <v>45842</v>
      </c>
      <c r="D77">
        <v>35</v>
      </c>
      <c r="E77">
        <v>2</v>
      </c>
      <c r="F77">
        <v>739.13560000000007</v>
      </c>
      <c r="G77" t="s">
        <v>123</v>
      </c>
      <c r="H77" t="s">
        <v>14</v>
      </c>
      <c r="I77">
        <v>452.53199999999998</v>
      </c>
      <c r="J77">
        <v>754.22</v>
      </c>
      <c r="K77">
        <v>3</v>
      </c>
      <c r="L77">
        <v>949.41623832347807</v>
      </c>
      <c r="M77">
        <v>3824.0450000000001</v>
      </c>
      <c r="N77">
        <v>25869.746000000003</v>
      </c>
      <c r="O77">
        <v>10031.126000000004</v>
      </c>
      <c r="P77">
        <v>-3084.9094</v>
      </c>
      <c r="Q77">
        <v>-0.80671367622504442</v>
      </c>
      <c r="R77">
        <v>0.38775510204081642</v>
      </c>
    </row>
    <row r="78" spans="1:18" x14ac:dyDescent="0.2">
      <c r="A78">
        <v>203</v>
      </c>
      <c r="B78">
        <v>111</v>
      </c>
      <c r="C78" s="1">
        <v>45752</v>
      </c>
      <c r="D78">
        <v>48</v>
      </c>
      <c r="E78">
        <v>10</v>
      </c>
      <c r="F78">
        <v>678.798</v>
      </c>
      <c r="G78" t="s">
        <v>123</v>
      </c>
      <c r="H78" t="s">
        <v>14</v>
      </c>
      <c r="I78">
        <v>452.53199999999998</v>
      </c>
      <c r="J78">
        <v>754.22</v>
      </c>
      <c r="K78">
        <v>3</v>
      </c>
      <c r="L78">
        <v>817.03055261921043</v>
      </c>
      <c r="M78">
        <v>3824.0450000000001</v>
      </c>
      <c r="N78">
        <v>32582.304</v>
      </c>
      <c r="O78">
        <v>10860.768</v>
      </c>
      <c r="P78">
        <v>-3145.2470000000003</v>
      </c>
      <c r="Q78">
        <v>-0.82249215163524492</v>
      </c>
      <c r="R78">
        <v>0.33333333333333331</v>
      </c>
    </row>
    <row r="79" spans="1:18" x14ac:dyDescent="0.2">
      <c r="A79">
        <v>202</v>
      </c>
      <c r="B79">
        <v>131</v>
      </c>
      <c r="C79" s="1">
        <v>45928</v>
      </c>
      <c r="D79">
        <v>40</v>
      </c>
      <c r="E79">
        <v>4</v>
      </c>
      <c r="F79">
        <v>5944.8768</v>
      </c>
      <c r="G79" t="s">
        <v>143</v>
      </c>
      <c r="H79" t="s">
        <v>14</v>
      </c>
      <c r="I79">
        <v>3715.5479999999998</v>
      </c>
      <c r="J79">
        <v>6192.58</v>
      </c>
      <c r="K79">
        <v>3</v>
      </c>
      <c r="L79">
        <v>6727.5166410412485</v>
      </c>
      <c r="M79">
        <v>1795.3133333333335</v>
      </c>
      <c r="N79">
        <v>237795.07199999999</v>
      </c>
      <c r="O79">
        <v>89173.152000000002</v>
      </c>
      <c r="P79">
        <v>4149.5634666666665</v>
      </c>
      <c r="Q79">
        <v>2.3113310582739501</v>
      </c>
      <c r="R79">
        <v>0.37500000000000006</v>
      </c>
    </row>
    <row r="80" spans="1:18" x14ac:dyDescent="0.2">
      <c r="A80">
        <v>201</v>
      </c>
      <c r="B80">
        <v>84</v>
      </c>
      <c r="C80" s="1">
        <v>45730</v>
      </c>
      <c r="D80">
        <v>39</v>
      </c>
      <c r="E80">
        <v>8</v>
      </c>
      <c r="F80">
        <v>7139.3472000000002</v>
      </c>
      <c r="G80" t="s">
        <v>96</v>
      </c>
      <c r="H80" t="s">
        <v>14</v>
      </c>
      <c r="I80">
        <v>4656.0959999999995</v>
      </c>
      <c r="J80">
        <v>7760.16</v>
      </c>
      <c r="K80">
        <v>1</v>
      </c>
      <c r="L80">
        <v>8156.58974094312</v>
      </c>
      <c r="M80">
        <v>2588.9250000000002</v>
      </c>
      <c r="N80">
        <v>278434.54080000002</v>
      </c>
      <c r="O80">
        <v>96846.796800000026</v>
      </c>
      <c r="P80">
        <v>4550.4222</v>
      </c>
      <c r="Q80">
        <v>1.7576492945913844</v>
      </c>
      <c r="R80">
        <v>0.34782608695652178</v>
      </c>
    </row>
    <row r="81" spans="1:18" x14ac:dyDescent="0.2">
      <c r="A81">
        <v>184</v>
      </c>
      <c r="B81">
        <v>55</v>
      </c>
      <c r="C81" s="1">
        <v>45721</v>
      </c>
      <c r="D81">
        <v>23</v>
      </c>
      <c r="E81">
        <v>2</v>
      </c>
      <c r="F81">
        <v>945.00419999999997</v>
      </c>
      <c r="G81" t="s">
        <v>67</v>
      </c>
      <c r="H81" t="s">
        <v>14</v>
      </c>
      <c r="I81">
        <v>578.57399999999996</v>
      </c>
      <c r="J81">
        <v>964.29</v>
      </c>
      <c r="K81">
        <v>2</v>
      </c>
      <c r="L81">
        <v>1172.8198607116815</v>
      </c>
      <c r="M81">
        <v>1508.7675000000002</v>
      </c>
      <c r="N81">
        <v>21735.096600000001</v>
      </c>
      <c r="O81">
        <v>8427.8945999999996</v>
      </c>
      <c r="P81">
        <v>-563.76330000000019</v>
      </c>
      <c r="Q81">
        <v>-0.37365816800799334</v>
      </c>
      <c r="R81">
        <v>0.38775510204081631</v>
      </c>
    </row>
    <row r="82" spans="1:18" x14ac:dyDescent="0.2">
      <c r="A82">
        <v>183</v>
      </c>
      <c r="B82">
        <v>39</v>
      </c>
      <c r="C82" s="1">
        <v>45959</v>
      </c>
      <c r="D82">
        <v>15</v>
      </c>
      <c r="E82">
        <v>10</v>
      </c>
      <c r="F82">
        <v>2886.8220000000001</v>
      </c>
      <c r="G82" t="s">
        <v>51</v>
      </c>
      <c r="H82" t="s">
        <v>14</v>
      </c>
      <c r="I82">
        <v>1924.5479999999998</v>
      </c>
      <c r="J82">
        <v>3207.58</v>
      </c>
      <c r="K82">
        <v>1</v>
      </c>
      <c r="L82">
        <v>4137.5376417509888</v>
      </c>
      <c r="M82">
        <v>9555.6079999999984</v>
      </c>
      <c r="N82">
        <v>43302.33</v>
      </c>
      <c r="O82">
        <v>14434.110000000004</v>
      </c>
      <c r="P82">
        <v>-6668.7859999999982</v>
      </c>
      <c r="Q82">
        <v>-0.69789237900926859</v>
      </c>
      <c r="R82">
        <v>0.33333333333333343</v>
      </c>
    </row>
    <row r="83" spans="1:18" x14ac:dyDescent="0.2">
      <c r="A83">
        <v>178</v>
      </c>
      <c r="B83">
        <v>57</v>
      </c>
      <c r="C83" s="1">
        <v>45880</v>
      </c>
      <c r="D83">
        <v>25</v>
      </c>
      <c r="E83">
        <v>10</v>
      </c>
      <c r="F83">
        <v>6130.5749999999998</v>
      </c>
      <c r="G83" t="s">
        <v>69</v>
      </c>
      <c r="H83" t="s">
        <v>14</v>
      </c>
      <c r="I83">
        <v>4087.0499999999997</v>
      </c>
      <c r="J83">
        <v>6811.75</v>
      </c>
      <c r="K83">
        <v>2</v>
      </c>
      <c r="L83">
        <v>8475.124810229825</v>
      </c>
      <c r="M83">
        <v>1836.9825000000001</v>
      </c>
      <c r="N83">
        <v>153264.375</v>
      </c>
      <c r="O83">
        <v>51088.125</v>
      </c>
      <c r="P83">
        <v>4293.5924999999997</v>
      </c>
      <c r="Q83">
        <v>2.3373072416313163</v>
      </c>
      <c r="R83">
        <v>0.33333333333333331</v>
      </c>
    </row>
    <row r="84" spans="1:18" x14ac:dyDescent="0.2">
      <c r="A84">
        <v>170</v>
      </c>
      <c r="B84">
        <v>84</v>
      </c>
      <c r="C84" s="1">
        <v>45219</v>
      </c>
      <c r="D84">
        <v>45</v>
      </c>
      <c r="E84">
        <v>7</v>
      </c>
      <c r="F84">
        <v>7216.9487999999992</v>
      </c>
      <c r="G84" t="s">
        <v>96</v>
      </c>
      <c r="H84" t="s">
        <v>14</v>
      </c>
      <c r="I84">
        <v>4656.0959999999995</v>
      </c>
      <c r="J84">
        <v>7760.16</v>
      </c>
      <c r="K84">
        <v>1</v>
      </c>
      <c r="L84">
        <v>8977.5784913468488</v>
      </c>
      <c r="M84">
        <v>2588.9250000000002</v>
      </c>
      <c r="N84">
        <v>324762.69599999994</v>
      </c>
      <c r="O84">
        <v>115238.37599999999</v>
      </c>
      <c r="P84">
        <v>4628.023799999999</v>
      </c>
      <c r="Q84">
        <v>1.7876237434456381</v>
      </c>
      <c r="R84">
        <v>0.35483870967741937</v>
      </c>
    </row>
    <row r="85" spans="1:18" x14ac:dyDescent="0.2">
      <c r="A85">
        <v>140</v>
      </c>
      <c r="B85">
        <v>122</v>
      </c>
      <c r="C85" s="1">
        <v>45205</v>
      </c>
      <c r="D85">
        <v>10</v>
      </c>
      <c r="E85">
        <v>10</v>
      </c>
      <c r="F85">
        <v>4632.9660000000003</v>
      </c>
      <c r="G85" t="s">
        <v>134</v>
      </c>
      <c r="H85" t="s">
        <v>14</v>
      </c>
      <c r="I85">
        <v>3088.6439999999998</v>
      </c>
      <c r="J85">
        <v>5147.74</v>
      </c>
      <c r="K85">
        <v>3</v>
      </c>
      <c r="L85">
        <v>5498.8020022108885</v>
      </c>
      <c r="M85">
        <v>4724.1475</v>
      </c>
      <c r="N85">
        <v>46329.66</v>
      </c>
      <c r="O85">
        <v>15443.220000000005</v>
      </c>
      <c r="P85">
        <v>-91.181499999999687</v>
      </c>
      <c r="Q85">
        <v>-1.9301154335253014E-2</v>
      </c>
      <c r="R85">
        <v>0.33333333333333343</v>
      </c>
    </row>
    <row r="86" spans="1:18" x14ac:dyDescent="0.2">
      <c r="A86">
        <v>123</v>
      </c>
      <c r="B86">
        <v>108</v>
      </c>
      <c r="C86" s="1">
        <v>45641</v>
      </c>
      <c r="D86">
        <v>26</v>
      </c>
      <c r="E86">
        <v>8</v>
      </c>
      <c r="F86">
        <v>773.29679999999996</v>
      </c>
      <c r="G86" t="s">
        <v>120</v>
      </c>
      <c r="H86" t="s">
        <v>14</v>
      </c>
      <c r="I86">
        <v>504.32399999999996</v>
      </c>
      <c r="J86">
        <v>840.54</v>
      </c>
      <c r="K86">
        <v>3</v>
      </c>
      <c r="L86">
        <v>993.29763226588477</v>
      </c>
      <c r="M86">
        <v>5163.7120000000004</v>
      </c>
      <c r="N86">
        <v>20105.716799999998</v>
      </c>
      <c r="O86">
        <v>6993.2928000000002</v>
      </c>
      <c r="P86">
        <v>-4390.4152000000004</v>
      </c>
      <c r="Q86">
        <v>-0.85024401051026854</v>
      </c>
      <c r="R86">
        <v>0.34782608695652178</v>
      </c>
    </row>
    <row r="87" spans="1:18" x14ac:dyDescent="0.2">
      <c r="A87">
        <v>119</v>
      </c>
      <c r="B87">
        <v>84</v>
      </c>
      <c r="C87" s="1">
        <v>45068</v>
      </c>
      <c r="D87">
        <v>2</v>
      </c>
      <c r="E87">
        <v>3</v>
      </c>
      <c r="F87">
        <v>7527.3552</v>
      </c>
      <c r="G87" t="s">
        <v>96</v>
      </c>
      <c r="H87" t="s">
        <v>14</v>
      </c>
      <c r="I87">
        <v>4656.0959999999995</v>
      </c>
      <c r="J87">
        <v>7760.16</v>
      </c>
      <c r="K87">
        <v>1</v>
      </c>
      <c r="L87">
        <v>9175.2473866050696</v>
      </c>
      <c r="M87">
        <v>2588.9250000000002</v>
      </c>
      <c r="N87">
        <v>15054.7104</v>
      </c>
      <c r="O87">
        <v>5742.5184000000008</v>
      </c>
      <c r="P87">
        <v>4938.4301999999998</v>
      </c>
      <c r="Q87">
        <v>1.9075215388626552</v>
      </c>
      <c r="R87">
        <v>0.3814432989690722</v>
      </c>
    </row>
    <row r="88" spans="1:18" x14ac:dyDescent="0.2">
      <c r="A88">
        <v>110</v>
      </c>
      <c r="B88">
        <v>67</v>
      </c>
      <c r="C88" s="1">
        <v>44958</v>
      </c>
      <c r="D88">
        <v>27</v>
      </c>
      <c r="E88">
        <v>2</v>
      </c>
      <c r="F88">
        <v>1127.6958</v>
      </c>
      <c r="G88" t="s">
        <v>79</v>
      </c>
      <c r="H88" t="s">
        <v>14</v>
      </c>
      <c r="I88">
        <v>690.42600000000004</v>
      </c>
      <c r="J88">
        <v>1150.71</v>
      </c>
      <c r="K88">
        <v>4</v>
      </c>
      <c r="L88">
        <v>1341.6605694967284</v>
      </c>
      <c r="M88">
        <v>7069.7</v>
      </c>
      <c r="N88">
        <v>30447.786599999999</v>
      </c>
      <c r="O88">
        <v>11806.284599999997</v>
      </c>
      <c r="P88">
        <v>-5942.0041999999994</v>
      </c>
      <c r="Q88">
        <v>-0.84048887505834757</v>
      </c>
      <c r="R88">
        <v>0.38775510204081626</v>
      </c>
    </row>
    <row r="89" spans="1:18" x14ac:dyDescent="0.2">
      <c r="A89">
        <v>109</v>
      </c>
      <c r="B89">
        <v>83</v>
      </c>
      <c r="C89" s="1">
        <v>45801</v>
      </c>
      <c r="D89">
        <v>32</v>
      </c>
      <c r="E89">
        <v>4</v>
      </c>
      <c r="F89">
        <v>3663.7727999999997</v>
      </c>
      <c r="G89" t="s">
        <v>95</v>
      </c>
      <c r="H89" t="s">
        <v>14</v>
      </c>
      <c r="I89">
        <v>2289.8579999999997</v>
      </c>
      <c r="J89">
        <v>3816.43</v>
      </c>
      <c r="K89">
        <v>2</v>
      </c>
      <c r="L89">
        <v>4469.2280838586084</v>
      </c>
      <c r="M89">
        <v>2990.2349999999997</v>
      </c>
      <c r="N89">
        <v>117240.72959999999</v>
      </c>
      <c r="O89">
        <v>43965.2736</v>
      </c>
      <c r="P89">
        <v>673.53780000000006</v>
      </c>
      <c r="Q89">
        <v>0.22524577499761728</v>
      </c>
      <c r="R89">
        <v>0.37500000000000006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1"/>
  <sheetViews>
    <sheetView workbookViewId="0">
      <selection activeCell="C21" sqref="C21"/>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 min="7" max="7" width="16.140625" customWidth="1"/>
    <col min="8" max="8" width="11" customWidth="1"/>
    <col min="9" max="9" width="12.28515625" customWidth="1"/>
    <col min="10" max="10" width="13" customWidth="1"/>
    <col min="11" max="11" width="9.5703125" customWidth="1"/>
    <col min="12" max="12" width="18.42578125" customWidth="1"/>
    <col min="13" max="13" width="18" customWidth="1"/>
    <col min="14" max="14" width="11.140625" customWidth="1"/>
    <col min="16" max="16" width="17.7109375" customWidth="1"/>
    <col min="17" max="17" width="19.7109375" customWidth="1"/>
    <col min="18" max="18" width="15.42578125" customWidth="1"/>
  </cols>
  <sheetData>
    <row r="1" spans="1:18" x14ac:dyDescent="0.2">
      <c r="A1" t="s">
        <v>163</v>
      </c>
      <c r="B1" t="s">
        <v>164</v>
      </c>
      <c r="C1" t="s">
        <v>165</v>
      </c>
      <c r="D1" t="s">
        <v>166</v>
      </c>
      <c r="E1" t="s">
        <v>167</v>
      </c>
      <c r="F1" t="s">
        <v>168</v>
      </c>
      <c r="G1" t="s">
        <v>1</v>
      </c>
      <c r="H1" t="s">
        <v>2</v>
      </c>
      <c r="I1" t="s">
        <v>3</v>
      </c>
      <c r="J1" t="s">
        <v>4</v>
      </c>
      <c r="K1" t="s">
        <v>170</v>
      </c>
      <c r="L1" t="s">
        <v>173</v>
      </c>
      <c r="M1" t="s">
        <v>185</v>
      </c>
      <c r="N1" t="s">
        <v>186</v>
      </c>
      <c r="O1" t="s">
        <v>187</v>
      </c>
      <c r="P1" t="s">
        <v>188</v>
      </c>
      <c r="Q1" t="s">
        <v>189</v>
      </c>
      <c r="R1" t="s">
        <v>215</v>
      </c>
    </row>
    <row r="2" spans="1:18" x14ac:dyDescent="0.2">
      <c r="A2">
        <v>998</v>
      </c>
      <c r="B2">
        <v>34</v>
      </c>
      <c r="C2" s="1">
        <v>45615</v>
      </c>
      <c r="D2">
        <v>35</v>
      </c>
      <c r="E2">
        <v>7</v>
      </c>
      <c r="F2">
        <v>1212.1527000000001</v>
      </c>
      <c r="G2" t="s">
        <v>46</v>
      </c>
      <c r="H2" t="s">
        <v>19</v>
      </c>
      <c r="I2">
        <v>782.03399999999999</v>
      </c>
      <c r="J2">
        <v>1303.3900000000001</v>
      </c>
      <c r="K2">
        <v>2</v>
      </c>
      <c r="L2">
        <v>1355.9980655175636</v>
      </c>
      <c r="M2">
        <v>4145.4440000000004</v>
      </c>
      <c r="N2">
        <v>42425.344500000007</v>
      </c>
      <c r="O2">
        <v>15054.154500000004</v>
      </c>
      <c r="P2">
        <v>-2933.2913000000003</v>
      </c>
      <c r="Q2">
        <v>-0.70759399958122704</v>
      </c>
      <c r="R2">
        <v>0.35483870967741937</v>
      </c>
    </row>
    <row r="3" spans="1:18" x14ac:dyDescent="0.2">
      <c r="A3">
        <v>995</v>
      </c>
      <c r="B3">
        <v>91</v>
      </c>
      <c r="C3" s="1">
        <v>45975</v>
      </c>
      <c r="D3">
        <v>1</v>
      </c>
      <c r="E3">
        <v>3</v>
      </c>
      <c r="F3">
        <v>3068.11</v>
      </c>
      <c r="G3" t="s">
        <v>103</v>
      </c>
      <c r="H3" t="s">
        <v>17</v>
      </c>
      <c r="I3">
        <v>1897.8</v>
      </c>
      <c r="J3">
        <v>3163</v>
      </c>
      <c r="K3">
        <v>2</v>
      </c>
      <c r="L3">
        <v>3609.1711394618846</v>
      </c>
      <c r="M3">
        <v>4782.2433333333329</v>
      </c>
      <c r="N3">
        <v>3068.11</v>
      </c>
      <c r="O3">
        <v>1170.3100000000002</v>
      </c>
      <c r="P3">
        <v>-1714.1333333333328</v>
      </c>
      <c r="Q3">
        <v>-0.35843707939021635</v>
      </c>
      <c r="R3">
        <v>0.3814432989690722</v>
      </c>
    </row>
    <row r="4" spans="1:18" x14ac:dyDescent="0.2">
      <c r="A4">
        <v>990</v>
      </c>
      <c r="B4">
        <v>57</v>
      </c>
      <c r="C4" s="1">
        <v>45971</v>
      </c>
      <c r="D4">
        <v>9</v>
      </c>
      <c r="E4">
        <v>2</v>
      </c>
      <c r="F4">
        <v>6675.5150000000003</v>
      </c>
      <c r="G4" t="s">
        <v>69</v>
      </c>
      <c r="H4" t="s">
        <v>14</v>
      </c>
      <c r="I4">
        <v>4087.0499999999997</v>
      </c>
      <c r="J4">
        <v>6811.75</v>
      </c>
      <c r="K4">
        <v>2</v>
      </c>
      <c r="L4">
        <v>7107.6146777835456</v>
      </c>
      <c r="M4">
        <v>1836.9825000000001</v>
      </c>
      <c r="N4">
        <v>60079.635000000002</v>
      </c>
      <c r="O4">
        <v>23296.185000000005</v>
      </c>
      <c r="P4">
        <v>4838.5325000000003</v>
      </c>
      <c r="Q4">
        <v>2.633956774220767</v>
      </c>
      <c r="R4">
        <v>0.38775510204081637</v>
      </c>
    </row>
    <row r="5" spans="1:18" x14ac:dyDescent="0.2">
      <c r="A5">
        <v>989</v>
      </c>
      <c r="B5">
        <v>91</v>
      </c>
      <c r="C5" s="1">
        <v>45915</v>
      </c>
      <c r="D5">
        <v>33</v>
      </c>
      <c r="E5">
        <v>7</v>
      </c>
      <c r="F5">
        <v>2941.5899999999997</v>
      </c>
      <c r="G5" t="s">
        <v>103</v>
      </c>
      <c r="H5" t="s">
        <v>17</v>
      </c>
      <c r="I5">
        <v>1897.8</v>
      </c>
      <c r="J5">
        <v>3163</v>
      </c>
      <c r="K5">
        <v>2</v>
      </c>
      <c r="L5">
        <v>3462.4464524255236</v>
      </c>
      <c r="M5">
        <v>4782.2433333333329</v>
      </c>
      <c r="N5">
        <v>97072.469999999987</v>
      </c>
      <c r="O5">
        <v>34445.069999999992</v>
      </c>
      <c r="P5">
        <v>-1840.6533333333332</v>
      </c>
      <c r="Q5">
        <v>-0.38489328230196013</v>
      </c>
      <c r="R5">
        <v>0.35483870967741932</v>
      </c>
    </row>
    <row r="6" spans="1:18" x14ac:dyDescent="0.2">
      <c r="A6">
        <v>5</v>
      </c>
      <c r="B6">
        <v>121</v>
      </c>
      <c r="C6" s="1">
        <v>45115</v>
      </c>
      <c r="D6">
        <v>49</v>
      </c>
      <c r="E6">
        <v>6</v>
      </c>
      <c r="F6">
        <v>1422.3892000000001</v>
      </c>
      <c r="G6" t="s">
        <v>133</v>
      </c>
      <c r="H6" t="s">
        <v>10</v>
      </c>
      <c r="I6">
        <v>907.90800000000002</v>
      </c>
      <c r="J6">
        <v>1513.18</v>
      </c>
      <c r="K6">
        <v>2</v>
      </c>
      <c r="L6">
        <v>1861.0268517288393</v>
      </c>
      <c r="M6">
        <v>2967.0200000000004</v>
      </c>
      <c r="N6">
        <v>69697.070800000001</v>
      </c>
      <c r="O6">
        <v>25209.578800000003</v>
      </c>
      <c r="P6">
        <v>-1544.6308000000004</v>
      </c>
      <c r="Q6">
        <v>-0.52060006336323994</v>
      </c>
      <c r="R6">
        <v>0.36170212765957449</v>
      </c>
    </row>
    <row r="7" spans="1:18" x14ac:dyDescent="0.2">
      <c r="A7">
        <v>6</v>
      </c>
      <c r="B7">
        <v>101</v>
      </c>
      <c r="C7" s="1">
        <v>45097</v>
      </c>
      <c r="D7">
        <v>48</v>
      </c>
      <c r="E7">
        <v>5</v>
      </c>
      <c r="F7">
        <v>4484.2754999999997</v>
      </c>
      <c r="G7" t="s">
        <v>113</v>
      </c>
      <c r="H7" t="s">
        <v>17</v>
      </c>
      <c r="I7">
        <v>2832.174</v>
      </c>
      <c r="J7">
        <v>4720.29</v>
      </c>
      <c r="K7">
        <v>2</v>
      </c>
      <c r="L7">
        <v>5898.9922553366441</v>
      </c>
      <c r="M7">
        <v>6068.0179999999991</v>
      </c>
      <c r="N7">
        <v>215245.22399999999</v>
      </c>
      <c r="O7">
        <v>79300.871999999988</v>
      </c>
      <c r="P7">
        <v>-1583.7424999999994</v>
      </c>
      <c r="Q7">
        <v>-0.26099831938534124</v>
      </c>
      <c r="R7">
        <v>0.36842105263157893</v>
      </c>
    </row>
    <row r="8" spans="1:18" x14ac:dyDescent="0.2">
      <c r="A8">
        <v>988</v>
      </c>
      <c r="B8">
        <v>114</v>
      </c>
      <c r="C8" s="1">
        <v>45296</v>
      </c>
      <c r="D8">
        <v>19</v>
      </c>
      <c r="E8">
        <v>4</v>
      </c>
      <c r="F8">
        <v>7338.6335999999992</v>
      </c>
      <c r="G8" t="s">
        <v>126</v>
      </c>
      <c r="H8" t="s">
        <v>35</v>
      </c>
      <c r="I8">
        <v>4586.6459999999997</v>
      </c>
      <c r="J8">
        <v>7644.41</v>
      </c>
      <c r="K8">
        <v>2</v>
      </c>
      <c r="L8">
        <v>8377.3819462360971</v>
      </c>
      <c r="M8">
        <v>6494.3074999999999</v>
      </c>
      <c r="N8">
        <v>139434.03839999999</v>
      </c>
      <c r="O8">
        <v>52287.764399999993</v>
      </c>
      <c r="P8">
        <v>844.32609999999931</v>
      </c>
      <c r="Q8">
        <v>0.13001018199400002</v>
      </c>
      <c r="R8">
        <v>0.375</v>
      </c>
    </row>
    <row r="9" spans="1:18" x14ac:dyDescent="0.2">
      <c r="A9">
        <v>976</v>
      </c>
      <c r="B9">
        <v>34</v>
      </c>
      <c r="C9" s="1">
        <v>45708</v>
      </c>
      <c r="D9">
        <v>41</v>
      </c>
      <c r="E9">
        <v>7</v>
      </c>
      <c r="F9">
        <v>1212.1527000000001</v>
      </c>
      <c r="G9" t="s">
        <v>46</v>
      </c>
      <c r="H9" t="s">
        <v>19</v>
      </c>
      <c r="I9">
        <v>782.03399999999999</v>
      </c>
      <c r="J9">
        <v>1303.3900000000001</v>
      </c>
      <c r="K9">
        <v>2</v>
      </c>
      <c r="L9">
        <v>1465.5121247654565</v>
      </c>
      <c r="M9">
        <v>4145.4440000000004</v>
      </c>
      <c r="N9">
        <v>49698.260700000006</v>
      </c>
      <c r="O9">
        <v>17634.866700000006</v>
      </c>
      <c r="P9">
        <v>-2933.2913000000003</v>
      </c>
      <c r="Q9">
        <v>-0.70759399958122704</v>
      </c>
      <c r="R9">
        <v>0.35483870967741943</v>
      </c>
    </row>
    <row r="10" spans="1:18" x14ac:dyDescent="0.2">
      <c r="A10">
        <v>9</v>
      </c>
      <c r="B10">
        <v>82</v>
      </c>
      <c r="C10" s="1">
        <v>45795</v>
      </c>
      <c r="D10">
        <v>50</v>
      </c>
      <c r="E10">
        <v>4</v>
      </c>
      <c r="F10">
        <v>1220.3712</v>
      </c>
      <c r="G10" t="s">
        <v>94</v>
      </c>
      <c r="H10" t="s">
        <v>12</v>
      </c>
      <c r="I10">
        <v>762.73199999999997</v>
      </c>
      <c r="J10">
        <v>1271.22</v>
      </c>
      <c r="K10">
        <v>2</v>
      </c>
      <c r="L10">
        <v>1619.9943907723007</v>
      </c>
      <c r="M10">
        <v>2617.7080000000001</v>
      </c>
      <c r="N10">
        <v>61018.560000000005</v>
      </c>
      <c r="O10">
        <v>22881.960000000003</v>
      </c>
      <c r="P10">
        <v>-1397.3368</v>
      </c>
      <c r="Q10">
        <v>-0.53380163104517386</v>
      </c>
      <c r="R10">
        <v>0.375</v>
      </c>
    </row>
    <row r="11" spans="1:18" x14ac:dyDescent="0.2">
      <c r="A11">
        <v>970</v>
      </c>
      <c r="B11">
        <v>120</v>
      </c>
      <c r="C11" s="1">
        <v>45565</v>
      </c>
      <c r="D11">
        <v>22</v>
      </c>
      <c r="E11">
        <v>6</v>
      </c>
      <c r="F11">
        <v>1858.0039999999999</v>
      </c>
      <c r="G11" t="s">
        <v>132</v>
      </c>
      <c r="H11" t="s">
        <v>8</v>
      </c>
      <c r="I11">
        <v>1185.9599999999998</v>
      </c>
      <c r="J11">
        <v>1976.6</v>
      </c>
      <c r="K11">
        <v>2</v>
      </c>
      <c r="L11">
        <v>2485.5666987809377</v>
      </c>
      <c r="M11">
        <v>1688.8574999999998</v>
      </c>
      <c r="N11">
        <v>40876.087999999996</v>
      </c>
      <c r="O11">
        <v>14784.968000000003</v>
      </c>
      <c r="P11">
        <v>169.14650000000006</v>
      </c>
      <c r="Q11">
        <v>0.10015439431686811</v>
      </c>
      <c r="R11">
        <v>0.36170212765957455</v>
      </c>
    </row>
    <row r="12" spans="1:18" x14ac:dyDescent="0.2">
      <c r="A12">
        <v>964</v>
      </c>
      <c r="B12">
        <v>55</v>
      </c>
      <c r="C12" s="1">
        <v>45611</v>
      </c>
      <c r="D12">
        <v>27</v>
      </c>
      <c r="E12">
        <v>4</v>
      </c>
      <c r="F12">
        <v>925.71839999999997</v>
      </c>
      <c r="G12" t="s">
        <v>67</v>
      </c>
      <c r="H12" t="s">
        <v>14</v>
      </c>
      <c r="I12">
        <v>578.57399999999996</v>
      </c>
      <c r="J12">
        <v>964.29</v>
      </c>
      <c r="K12">
        <v>2</v>
      </c>
      <c r="L12">
        <v>1239.4156947529848</v>
      </c>
      <c r="M12">
        <v>1508.7675000000002</v>
      </c>
      <c r="N12">
        <v>24994.396799999999</v>
      </c>
      <c r="O12">
        <v>9372.8988000000008</v>
      </c>
      <c r="P12">
        <v>-583.04910000000018</v>
      </c>
      <c r="Q12">
        <v>-0.38644065437517716</v>
      </c>
      <c r="R12">
        <v>0.37500000000000006</v>
      </c>
    </row>
    <row r="13" spans="1:18" x14ac:dyDescent="0.2">
      <c r="A13">
        <v>963</v>
      </c>
      <c r="B13">
        <v>106</v>
      </c>
      <c r="C13" s="1">
        <v>45197</v>
      </c>
      <c r="D13">
        <v>22</v>
      </c>
      <c r="E13">
        <v>10</v>
      </c>
      <c r="F13">
        <v>1290.627</v>
      </c>
      <c r="G13" t="s">
        <v>118</v>
      </c>
      <c r="H13" t="s">
        <v>19</v>
      </c>
      <c r="I13">
        <v>860.41800000000001</v>
      </c>
      <c r="J13">
        <v>1434.03</v>
      </c>
      <c r="K13">
        <v>2</v>
      </c>
      <c r="L13">
        <v>1438.5138343833162</v>
      </c>
      <c r="M13">
        <v>695.38400000000001</v>
      </c>
      <c r="N13">
        <v>28393.793999999998</v>
      </c>
      <c r="O13">
        <v>9464.5979999999981</v>
      </c>
      <c r="P13">
        <v>595.24299999999994</v>
      </c>
      <c r="Q13">
        <v>0.85599179733787367</v>
      </c>
      <c r="R13">
        <v>0.33333333333333331</v>
      </c>
    </row>
    <row r="14" spans="1:18" x14ac:dyDescent="0.2">
      <c r="A14">
        <v>961</v>
      </c>
      <c r="B14">
        <v>43</v>
      </c>
      <c r="C14" s="1">
        <v>45663</v>
      </c>
      <c r="D14">
        <v>9</v>
      </c>
      <c r="E14">
        <v>9</v>
      </c>
      <c r="F14">
        <v>2934.7318</v>
      </c>
      <c r="G14" t="s">
        <v>55</v>
      </c>
      <c r="H14" t="s">
        <v>17</v>
      </c>
      <c r="I14">
        <v>1934.9879999999998</v>
      </c>
      <c r="J14">
        <v>3224.98</v>
      </c>
      <c r="K14">
        <v>2</v>
      </c>
      <c r="L14">
        <v>3503.7802418105607</v>
      </c>
      <c r="M14">
        <v>445.53000000000003</v>
      </c>
      <c r="N14">
        <v>26412.586200000002</v>
      </c>
      <c r="O14">
        <v>8997.6942000000017</v>
      </c>
      <c r="P14">
        <v>2489.2017999999998</v>
      </c>
      <c r="Q14">
        <v>5.5870576616613912</v>
      </c>
      <c r="R14">
        <v>0.34065934065934073</v>
      </c>
    </row>
    <row r="15" spans="1:18" x14ac:dyDescent="0.2">
      <c r="A15">
        <v>959</v>
      </c>
      <c r="B15">
        <v>123</v>
      </c>
      <c r="C15" s="1">
        <v>45253</v>
      </c>
      <c r="D15">
        <v>35</v>
      </c>
      <c r="E15">
        <v>2</v>
      </c>
      <c r="F15">
        <v>4535.0675999999994</v>
      </c>
      <c r="G15" t="s">
        <v>135</v>
      </c>
      <c r="H15" t="s">
        <v>17</v>
      </c>
      <c r="I15">
        <v>2776.5719999999997</v>
      </c>
      <c r="J15">
        <v>4627.62</v>
      </c>
      <c r="K15">
        <v>2</v>
      </c>
      <c r="L15">
        <v>5449.6417679206888</v>
      </c>
      <c r="M15">
        <v>809.94800000000009</v>
      </c>
      <c r="N15">
        <v>158727.36599999998</v>
      </c>
      <c r="O15">
        <v>61547.34599999999</v>
      </c>
      <c r="P15">
        <v>3725.1195999999991</v>
      </c>
      <c r="Q15">
        <v>4.5992083442393819</v>
      </c>
      <c r="R15">
        <v>0.38775510204081631</v>
      </c>
    </row>
    <row r="16" spans="1:18" x14ac:dyDescent="0.2">
      <c r="A16">
        <v>956</v>
      </c>
      <c r="B16">
        <v>101</v>
      </c>
      <c r="C16" s="1">
        <v>45390</v>
      </c>
      <c r="D16">
        <v>50</v>
      </c>
      <c r="E16">
        <v>9</v>
      </c>
      <c r="F16">
        <v>4295.4638999999997</v>
      </c>
      <c r="G16" t="s">
        <v>113</v>
      </c>
      <c r="H16" t="s">
        <v>17</v>
      </c>
      <c r="I16">
        <v>2832.174</v>
      </c>
      <c r="J16">
        <v>4720.29</v>
      </c>
      <c r="K16">
        <v>2</v>
      </c>
      <c r="L16">
        <v>5012.3067981796166</v>
      </c>
      <c r="M16">
        <v>6068.0179999999991</v>
      </c>
      <c r="N16">
        <v>214773.19499999998</v>
      </c>
      <c r="O16">
        <v>73164.494999999995</v>
      </c>
      <c r="P16">
        <v>-1772.5540999999994</v>
      </c>
      <c r="Q16">
        <v>-0.2921141796217479</v>
      </c>
      <c r="R16">
        <v>0.34065934065934067</v>
      </c>
    </row>
    <row r="17" spans="1:18" x14ac:dyDescent="0.2">
      <c r="A17">
        <v>949</v>
      </c>
      <c r="B17">
        <v>17</v>
      </c>
      <c r="C17" s="1">
        <v>45176</v>
      </c>
      <c r="D17">
        <v>5</v>
      </c>
      <c r="E17">
        <v>2</v>
      </c>
      <c r="F17">
        <v>2919.5866000000001</v>
      </c>
      <c r="G17" t="s">
        <v>28</v>
      </c>
      <c r="H17" t="s">
        <v>12</v>
      </c>
      <c r="I17">
        <v>1787.502</v>
      </c>
      <c r="J17">
        <v>2979.17</v>
      </c>
      <c r="K17">
        <v>2</v>
      </c>
      <c r="L17">
        <v>3075.7702791799425</v>
      </c>
      <c r="M17">
        <v>1105.6675</v>
      </c>
      <c r="N17">
        <v>14597.933000000001</v>
      </c>
      <c r="O17">
        <v>5660.4230000000007</v>
      </c>
      <c r="P17">
        <v>1813.9191000000001</v>
      </c>
      <c r="Q17">
        <v>1.6405647267374686</v>
      </c>
      <c r="R17">
        <v>0.38775510204081637</v>
      </c>
    </row>
    <row r="18" spans="1:18" x14ac:dyDescent="0.2">
      <c r="A18">
        <v>947</v>
      </c>
      <c r="B18">
        <v>99</v>
      </c>
      <c r="C18" s="1">
        <v>45599</v>
      </c>
      <c r="D18">
        <v>7</v>
      </c>
      <c r="E18">
        <v>9</v>
      </c>
      <c r="F18">
        <v>1860.0218</v>
      </c>
      <c r="G18" t="s">
        <v>111</v>
      </c>
      <c r="H18" t="s">
        <v>17</v>
      </c>
      <c r="I18">
        <v>1226.3879999999999</v>
      </c>
      <c r="J18">
        <v>2043.98</v>
      </c>
      <c r="K18">
        <v>2</v>
      </c>
      <c r="L18">
        <v>2360.8124353489889</v>
      </c>
      <c r="M18">
        <v>958.76666666666654</v>
      </c>
      <c r="N18">
        <v>13020.152599999999</v>
      </c>
      <c r="O18">
        <v>4435.4366000000009</v>
      </c>
      <c r="P18">
        <v>901.25513333333345</v>
      </c>
      <c r="Q18">
        <v>0.9400150888293991</v>
      </c>
      <c r="R18">
        <v>0.34065934065934073</v>
      </c>
    </row>
    <row r="19" spans="1:18" x14ac:dyDescent="0.2">
      <c r="A19">
        <v>18</v>
      </c>
      <c r="B19">
        <v>87</v>
      </c>
      <c r="C19" s="1">
        <v>45387</v>
      </c>
      <c r="D19">
        <v>29</v>
      </c>
      <c r="E19">
        <v>2</v>
      </c>
      <c r="F19">
        <v>4012.2375999999999</v>
      </c>
      <c r="G19" t="s">
        <v>99</v>
      </c>
      <c r="H19" t="s">
        <v>35</v>
      </c>
      <c r="I19">
        <v>2456.4719999999998</v>
      </c>
      <c r="J19">
        <v>4094.12</v>
      </c>
      <c r="K19">
        <v>2</v>
      </c>
      <c r="L19">
        <v>5273.0848006779634</v>
      </c>
      <c r="M19">
        <v>493.79250000000002</v>
      </c>
      <c r="N19">
        <v>116354.8904</v>
      </c>
      <c r="O19">
        <v>45117.202400000002</v>
      </c>
      <c r="P19">
        <v>3518.4450999999999</v>
      </c>
      <c r="Q19">
        <v>7.1253514381040617</v>
      </c>
      <c r="R19">
        <v>0.38775510204081631</v>
      </c>
    </row>
    <row r="20" spans="1:18" x14ac:dyDescent="0.2">
      <c r="A20">
        <v>942</v>
      </c>
      <c r="B20">
        <v>34</v>
      </c>
      <c r="C20" s="1">
        <v>45517</v>
      </c>
      <c r="D20">
        <v>45</v>
      </c>
      <c r="E20">
        <v>2</v>
      </c>
      <c r="F20">
        <v>1277.3222000000001</v>
      </c>
      <c r="G20" t="s">
        <v>46</v>
      </c>
      <c r="H20" t="s">
        <v>19</v>
      </c>
      <c r="I20">
        <v>782.03399999999999</v>
      </c>
      <c r="J20">
        <v>1303.3900000000001</v>
      </c>
      <c r="K20">
        <v>2</v>
      </c>
      <c r="L20">
        <v>1391.8281046227335</v>
      </c>
      <c r="M20">
        <v>4145.4440000000004</v>
      </c>
      <c r="N20">
        <v>57479.499000000003</v>
      </c>
      <c r="O20">
        <v>22287.969000000005</v>
      </c>
      <c r="P20">
        <v>-2868.1218000000003</v>
      </c>
      <c r="Q20">
        <v>-0.6918732468705403</v>
      </c>
      <c r="R20">
        <v>0.38775510204081637</v>
      </c>
    </row>
    <row r="21" spans="1:18" x14ac:dyDescent="0.2">
      <c r="A21">
        <v>938</v>
      </c>
      <c r="B21">
        <v>29</v>
      </c>
      <c r="C21" s="1">
        <v>44984</v>
      </c>
      <c r="D21">
        <v>1</v>
      </c>
      <c r="E21">
        <v>6</v>
      </c>
      <c r="F21">
        <v>7024.62</v>
      </c>
      <c r="G21" t="s">
        <v>41</v>
      </c>
      <c r="H21" t="s">
        <v>35</v>
      </c>
      <c r="I21">
        <v>4483.8</v>
      </c>
      <c r="J21">
        <v>7473</v>
      </c>
      <c r="K21">
        <v>2</v>
      </c>
      <c r="L21">
        <v>8553.8486118861056</v>
      </c>
      <c r="M21">
        <v>1925.7060000000001</v>
      </c>
      <c r="N21">
        <v>7024.62</v>
      </c>
      <c r="O21">
        <v>2540.8199999999997</v>
      </c>
      <c r="P21">
        <v>5098.9139999999998</v>
      </c>
      <c r="Q21">
        <v>2.647815398612249</v>
      </c>
      <c r="R21">
        <v>0.36170212765957444</v>
      </c>
    </row>
    <row r="22" spans="1:18" x14ac:dyDescent="0.2">
      <c r="A22">
        <v>21</v>
      </c>
      <c r="B22">
        <v>51</v>
      </c>
      <c r="C22" s="1">
        <v>45864</v>
      </c>
      <c r="D22">
        <v>19</v>
      </c>
      <c r="E22">
        <v>9</v>
      </c>
      <c r="F22">
        <v>958.11169999999993</v>
      </c>
      <c r="G22" t="s">
        <v>63</v>
      </c>
      <c r="H22" t="s">
        <v>35</v>
      </c>
      <c r="I22">
        <v>631.72199999999987</v>
      </c>
      <c r="J22">
        <v>1052.8699999999999</v>
      </c>
      <c r="K22">
        <v>2</v>
      </c>
      <c r="L22">
        <v>1191.177403714194</v>
      </c>
      <c r="M22">
        <v>5383.6833333333334</v>
      </c>
      <c r="N22">
        <v>18204.122299999999</v>
      </c>
      <c r="O22">
        <v>6201.4043000000011</v>
      </c>
      <c r="P22">
        <v>-4425.571633333333</v>
      </c>
      <c r="Q22">
        <v>-0.82203416496141113</v>
      </c>
      <c r="R22">
        <v>0.34065934065934073</v>
      </c>
    </row>
    <row r="23" spans="1:18" x14ac:dyDescent="0.2">
      <c r="A23">
        <v>937</v>
      </c>
      <c r="B23">
        <v>107</v>
      </c>
      <c r="C23" s="1">
        <v>45289</v>
      </c>
      <c r="D23">
        <v>1</v>
      </c>
      <c r="E23">
        <v>7</v>
      </c>
      <c r="F23">
        <v>1458.1469999999999</v>
      </c>
      <c r="G23" t="s">
        <v>119</v>
      </c>
      <c r="H23" t="s">
        <v>14</v>
      </c>
      <c r="I23">
        <v>940.74</v>
      </c>
      <c r="J23">
        <v>1567.9</v>
      </c>
      <c r="K23">
        <v>2</v>
      </c>
      <c r="L23">
        <v>1750.7861101886363</v>
      </c>
      <c r="M23">
        <v>979.96</v>
      </c>
      <c r="N23">
        <v>1458.1469999999999</v>
      </c>
      <c r="O23">
        <v>517.40699999999993</v>
      </c>
      <c r="P23">
        <v>478.1869999999999</v>
      </c>
      <c r="Q23">
        <v>0.48796583534021787</v>
      </c>
      <c r="R23">
        <v>0.35483870967741932</v>
      </c>
    </row>
    <row r="24" spans="1:18" x14ac:dyDescent="0.2">
      <c r="A24">
        <v>930</v>
      </c>
      <c r="B24">
        <v>58</v>
      </c>
      <c r="C24" s="1">
        <v>44948</v>
      </c>
      <c r="D24">
        <v>41</v>
      </c>
      <c r="E24">
        <v>6</v>
      </c>
      <c r="F24">
        <v>1070.2651999999998</v>
      </c>
      <c r="G24" t="s">
        <v>70</v>
      </c>
      <c r="H24" t="s">
        <v>6</v>
      </c>
      <c r="I24">
        <v>683.14799999999991</v>
      </c>
      <c r="J24">
        <v>1138.58</v>
      </c>
      <c r="K24">
        <v>2</v>
      </c>
      <c r="L24">
        <v>1345.0390619188779</v>
      </c>
      <c r="M24">
        <v>1439.8525</v>
      </c>
      <c r="N24">
        <v>43880.873199999995</v>
      </c>
      <c r="O24">
        <v>15871.805199999997</v>
      </c>
      <c r="P24">
        <v>-369.58730000000014</v>
      </c>
      <c r="Q24">
        <v>-0.25668413952123581</v>
      </c>
      <c r="R24">
        <v>0.36170212765957444</v>
      </c>
    </row>
    <row r="25" spans="1:18" x14ac:dyDescent="0.2">
      <c r="A25">
        <v>925</v>
      </c>
      <c r="B25">
        <v>99</v>
      </c>
      <c r="C25" s="1">
        <v>45836</v>
      </c>
      <c r="D25">
        <v>21</v>
      </c>
      <c r="E25">
        <v>10</v>
      </c>
      <c r="F25">
        <v>1839.5820000000001</v>
      </c>
      <c r="G25" t="s">
        <v>111</v>
      </c>
      <c r="H25" t="s">
        <v>17</v>
      </c>
      <c r="I25">
        <v>1226.3879999999999</v>
      </c>
      <c r="J25">
        <v>2043.98</v>
      </c>
      <c r="K25">
        <v>2</v>
      </c>
      <c r="L25">
        <v>2560.7854606820388</v>
      </c>
      <c r="M25">
        <v>958.76666666666654</v>
      </c>
      <c r="N25">
        <v>38631.222000000002</v>
      </c>
      <c r="O25">
        <v>12877.074000000004</v>
      </c>
      <c r="P25">
        <v>880.81533333333357</v>
      </c>
      <c r="Q25">
        <v>0.91869624169940589</v>
      </c>
      <c r="R25">
        <v>0.33333333333333343</v>
      </c>
    </row>
    <row r="26" spans="1:18" x14ac:dyDescent="0.2">
      <c r="A26">
        <v>922</v>
      </c>
      <c r="B26">
        <v>144</v>
      </c>
      <c r="C26" s="1">
        <v>45889</v>
      </c>
      <c r="D26">
        <v>37</v>
      </c>
      <c r="E26">
        <v>2</v>
      </c>
      <c r="F26">
        <v>1546.6556</v>
      </c>
      <c r="G26" t="s">
        <v>156</v>
      </c>
      <c r="H26" t="s">
        <v>8</v>
      </c>
      <c r="I26">
        <v>946.93200000000002</v>
      </c>
      <c r="J26">
        <v>1578.22</v>
      </c>
      <c r="K26">
        <v>2</v>
      </c>
      <c r="L26">
        <v>1633.7662673809791</v>
      </c>
      <c r="M26">
        <v>6414.0239999999994</v>
      </c>
      <c r="N26">
        <v>57226.2572</v>
      </c>
      <c r="O26">
        <v>22189.7732</v>
      </c>
      <c r="P26">
        <v>-4867.3683999999994</v>
      </c>
      <c r="Q26">
        <v>-0.75886345295870417</v>
      </c>
      <c r="R26">
        <v>0.38775510204081631</v>
      </c>
    </row>
    <row r="27" spans="1:18" x14ac:dyDescent="0.2">
      <c r="A27">
        <v>917</v>
      </c>
      <c r="B27">
        <v>8</v>
      </c>
      <c r="C27" s="1">
        <v>45306</v>
      </c>
      <c r="D27">
        <v>33</v>
      </c>
      <c r="E27">
        <v>10</v>
      </c>
      <c r="F27">
        <v>5079.5459999999994</v>
      </c>
      <c r="G27" t="s">
        <v>18</v>
      </c>
      <c r="H27" t="s">
        <v>19</v>
      </c>
      <c r="I27">
        <v>3386.3639999999996</v>
      </c>
      <c r="J27">
        <v>5643.94</v>
      </c>
      <c r="K27">
        <v>2</v>
      </c>
      <c r="L27">
        <v>6202.2395194341989</v>
      </c>
      <c r="M27">
        <v>2853.6650000000004</v>
      </c>
      <c r="N27">
        <v>167625.01799999998</v>
      </c>
      <c r="O27">
        <v>55875.005999999994</v>
      </c>
      <c r="P27">
        <v>2225.8809999999989</v>
      </c>
      <c r="Q27">
        <v>0.78000781451221446</v>
      </c>
      <c r="R27">
        <v>0.33333333333333331</v>
      </c>
    </row>
    <row r="28" spans="1:18" x14ac:dyDescent="0.2">
      <c r="A28">
        <v>27</v>
      </c>
      <c r="B28">
        <v>34</v>
      </c>
      <c r="C28" s="1">
        <v>45390</v>
      </c>
      <c r="D28">
        <v>50</v>
      </c>
      <c r="E28">
        <v>10</v>
      </c>
      <c r="F28">
        <v>1173.0510000000002</v>
      </c>
      <c r="G28" t="s">
        <v>46</v>
      </c>
      <c r="H28" t="s">
        <v>19</v>
      </c>
      <c r="I28">
        <v>782.03399999999999</v>
      </c>
      <c r="J28">
        <v>1303.3900000000001</v>
      </c>
      <c r="K28">
        <v>2</v>
      </c>
      <c r="L28">
        <v>1411.9481890241295</v>
      </c>
      <c r="M28">
        <v>4145.4440000000004</v>
      </c>
      <c r="N28">
        <v>58652.55000000001</v>
      </c>
      <c r="O28">
        <v>19550.850000000009</v>
      </c>
      <c r="P28">
        <v>-2972.393</v>
      </c>
      <c r="Q28">
        <v>-0.71702645120763897</v>
      </c>
      <c r="R28">
        <v>0.33333333333333343</v>
      </c>
    </row>
    <row r="29" spans="1:18" x14ac:dyDescent="0.2">
      <c r="A29">
        <v>911</v>
      </c>
      <c r="B29">
        <v>55</v>
      </c>
      <c r="C29" s="1">
        <v>45738</v>
      </c>
      <c r="D29">
        <v>14</v>
      </c>
      <c r="E29">
        <v>3</v>
      </c>
      <c r="F29">
        <v>935.36129999999991</v>
      </c>
      <c r="G29" t="s">
        <v>67</v>
      </c>
      <c r="H29" t="s">
        <v>14</v>
      </c>
      <c r="I29">
        <v>578.57399999999996</v>
      </c>
      <c r="J29">
        <v>964.29</v>
      </c>
      <c r="K29">
        <v>2</v>
      </c>
      <c r="L29">
        <v>1041.8460117435106</v>
      </c>
      <c r="M29">
        <v>1508.7675000000002</v>
      </c>
      <c r="N29">
        <v>13095.058199999999</v>
      </c>
      <c r="O29">
        <v>4995.0221999999994</v>
      </c>
      <c r="P29">
        <v>-573.40620000000024</v>
      </c>
      <c r="Q29">
        <v>-0.38004941119158531</v>
      </c>
      <c r="R29">
        <v>0.38144329896907214</v>
      </c>
    </row>
    <row r="30" spans="1:18" x14ac:dyDescent="0.2">
      <c r="A30">
        <v>903</v>
      </c>
      <c r="B30">
        <v>17</v>
      </c>
      <c r="C30" s="1">
        <v>45023</v>
      </c>
      <c r="D30">
        <v>29</v>
      </c>
      <c r="E30">
        <v>2</v>
      </c>
      <c r="F30">
        <v>2919.5866000000001</v>
      </c>
      <c r="G30" t="s">
        <v>28</v>
      </c>
      <c r="H30" t="s">
        <v>12</v>
      </c>
      <c r="I30">
        <v>1787.502</v>
      </c>
      <c r="J30">
        <v>2979.17</v>
      </c>
      <c r="K30">
        <v>2</v>
      </c>
      <c r="L30">
        <v>3264.0096058020581</v>
      </c>
      <c r="M30">
        <v>1105.6675</v>
      </c>
      <c r="N30">
        <v>84668.011400000003</v>
      </c>
      <c r="O30">
        <v>32830.453400000006</v>
      </c>
      <c r="P30">
        <v>1813.9191000000001</v>
      </c>
      <c r="Q30">
        <v>1.6405647267374686</v>
      </c>
      <c r="R30">
        <v>0.38775510204081637</v>
      </c>
    </row>
    <row r="31" spans="1:18" x14ac:dyDescent="0.2">
      <c r="A31">
        <v>896</v>
      </c>
      <c r="B31">
        <v>107</v>
      </c>
      <c r="C31" s="1">
        <v>45363</v>
      </c>
      <c r="D31">
        <v>33</v>
      </c>
      <c r="E31">
        <v>3</v>
      </c>
      <c r="F31">
        <v>1520.8630000000001</v>
      </c>
      <c r="G31" t="s">
        <v>119</v>
      </c>
      <c r="H31" t="s">
        <v>14</v>
      </c>
      <c r="I31">
        <v>940.74</v>
      </c>
      <c r="J31">
        <v>1567.9</v>
      </c>
      <c r="K31">
        <v>2</v>
      </c>
      <c r="L31">
        <v>1856.8230122422267</v>
      </c>
      <c r="M31">
        <v>979.96</v>
      </c>
      <c r="N31">
        <v>50188.478999999999</v>
      </c>
      <c r="O31">
        <v>19144.059000000001</v>
      </c>
      <c r="P31">
        <v>540.90300000000002</v>
      </c>
      <c r="Q31">
        <v>0.55196436589248543</v>
      </c>
      <c r="R31">
        <v>0.3814432989690722</v>
      </c>
    </row>
    <row r="32" spans="1:18" x14ac:dyDescent="0.2">
      <c r="A32">
        <v>893</v>
      </c>
      <c r="B32">
        <v>107</v>
      </c>
      <c r="C32" s="1">
        <v>45257</v>
      </c>
      <c r="D32">
        <v>13</v>
      </c>
      <c r="E32">
        <v>2</v>
      </c>
      <c r="F32">
        <v>1536.5420000000001</v>
      </c>
      <c r="G32" t="s">
        <v>119</v>
      </c>
      <c r="H32" t="s">
        <v>14</v>
      </c>
      <c r="I32">
        <v>940.74</v>
      </c>
      <c r="J32">
        <v>1567.9</v>
      </c>
      <c r="K32">
        <v>2</v>
      </c>
      <c r="L32">
        <v>1751.6595852910334</v>
      </c>
      <c r="M32">
        <v>979.96</v>
      </c>
      <c r="N32">
        <v>19975.046000000002</v>
      </c>
      <c r="O32">
        <v>7745.4260000000013</v>
      </c>
      <c r="P32">
        <v>556.58200000000011</v>
      </c>
      <c r="Q32">
        <v>0.56796399853055235</v>
      </c>
      <c r="R32">
        <v>0.38775510204081637</v>
      </c>
    </row>
    <row r="33" spans="1:18" x14ac:dyDescent="0.2">
      <c r="A33">
        <v>886</v>
      </c>
      <c r="B33">
        <v>120</v>
      </c>
      <c r="C33" s="1">
        <v>45767</v>
      </c>
      <c r="D33">
        <v>40</v>
      </c>
      <c r="E33">
        <v>5</v>
      </c>
      <c r="F33">
        <v>1877.7699999999998</v>
      </c>
      <c r="G33" t="s">
        <v>132</v>
      </c>
      <c r="H33" t="s">
        <v>8</v>
      </c>
      <c r="I33">
        <v>1185.9599999999998</v>
      </c>
      <c r="J33">
        <v>1976.6</v>
      </c>
      <c r="K33">
        <v>2</v>
      </c>
      <c r="L33">
        <v>2389.2874141985685</v>
      </c>
      <c r="M33">
        <v>1688.8574999999998</v>
      </c>
      <c r="N33">
        <v>75110.799999999988</v>
      </c>
      <c r="O33">
        <v>27672.399999999998</v>
      </c>
      <c r="P33">
        <v>188.91249999999991</v>
      </c>
      <c r="Q33">
        <v>0.11185816446917513</v>
      </c>
      <c r="R33">
        <v>0.36842105263157898</v>
      </c>
    </row>
    <row r="34" spans="1:18" x14ac:dyDescent="0.2">
      <c r="A34">
        <v>881</v>
      </c>
      <c r="B34">
        <v>106</v>
      </c>
      <c r="C34" s="1">
        <v>45691</v>
      </c>
      <c r="D34">
        <v>40</v>
      </c>
      <c r="E34">
        <v>8</v>
      </c>
      <c r="F34">
        <v>1319.3076000000001</v>
      </c>
      <c r="G34" t="s">
        <v>118</v>
      </c>
      <c r="H34" t="s">
        <v>19</v>
      </c>
      <c r="I34">
        <v>860.41800000000001</v>
      </c>
      <c r="J34">
        <v>1434.03</v>
      </c>
      <c r="K34">
        <v>2</v>
      </c>
      <c r="L34">
        <v>1797.4436345276711</v>
      </c>
      <c r="M34">
        <v>695.38400000000001</v>
      </c>
      <c r="N34">
        <v>52772.304000000004</v>
      </c>
      <c r="O34">
        <v>18355.584000000003</v>
      </c>
      <c r="P34">
        <v>623.92360000000008</v>
      </c>
      <c r="Q34">
        <v>0.89723605950093765</v>
      </c>
      <c r="R34">
        <v>0.34782608695652178</v>
      </c>
    </row>
    <row r="35" spans="1:18" x14ac:dyDescent="0.2">
      <c r="A35">
        <v>34</v>
      </c>
      <c r="B35">
        <v>83</v>
      </c>
      <c r="C35" s="1">
        <v>46011</v>
      </c>
      <c r="D35">
        <v>33</v>
      </c>
      <c r="E35">
        <v>4</v>
      </c>
      <c r="F35">
        <v>3663.7727999999997</v>
      </c>
      <c r="G35" t="s">
        <v>95</v>
      </c>
      <c r="H35" t="s">
        <v>14</v>
      </c>
      <c r="I35">
        <v>2289.8579999999997</v>
      </c>
      <c r="J35">
        <v>3816.43</v>
      </c>
      <c r="K35">
        <v>2</v>
      </c>
      <c r="L35">
        <v>4399.3974956996908</v>
      </c>
      <c r="M35">
        <v>2990.2349999999997</v>
      </c>
      <c r="N35">
        <v>120904.5024</v>
      </c>
      <c r="O35">
        <v>45339.188399999999</v>
      </c>
      <c r="P35">
        <v>673.53780000000006</v>
      </c>
      <c r="Q35">
        <v>0.22524577499761728</v>
      </c>
      <c r="R35">
        <v>0.375</v>
      </c>
    </row>
    <row r="36" spans="1:18" x14ac:dyDescent="0.2">
      <c r="A36">
        <v>878</v>
      </c>
      <c r="B36">
        <v>144</v>
      </c>
      <c r="C36" s="1">
        <v>45228</v>
      </c>
      <c r="D36">
        <v>42</v>
      </c>
      <c r="E36">
        <v>6</v>
      </c>
      <c r="F36">
        <v>1483.5267999999999</v>
      </c>
      <c r="G36" t="s">
        <v>156</v>
      </c>
      <c r="H36" t="s">
        <v>8</v>
      </c>
      <c r="I36">
        <v>946.93200000000002</v>
      </c>
      <c r="J36">
        <v>1578.22</v>
      </c>
      <c r="K36">
        <v>2</v>
      </c>
      <c r="L36">
        <v>1864.062907320922</v>
      </c>
      <c r="M36">
        <v>6414.0239999999994</v>
      </c>
      <c r="N36">
        <v>62308.125599999992</v>
      </c>
      <c r="O36">
        <v>22536.981599999992</v>
      </c>
      <c r="P36">
        <v>-4930.4971999999998</v>
      </c>
      <c r="Q36">
        <v>-0.76870576100120613</v>
      </c>
      <c r="R36">
        <v>0.36170212765957438</v>
      </c>
    </row>
    <row r="37" spans="1:18" x14ac:dyDescent="0.2">
      <c r="A37">
        <v>874</v>
      </c>
      <c r="B37">
        <v>144</v>
      </c>
      <c r="C37" s="1">
        <v>45195</v>
      </c>
      <c r="D37">
        <v>22</v>
      </c>
      <c r="E37">
        <v>6</v>
      </c>
      <c r="F37">
        <v>1483.5267999999999</v>
      </c>
      <c r="G37" t="s">
        <v>156</v>
      </c>
      <c r="H37" t="s">
        <v>8</v>
      </c>
      <c r="I37">
        <v>946.93200000000002</v>
      </c>
      <c r="J37">
        <v>1578.22</v>
      </c>
      <c r="K37">
        <v>2</v>
      </c>
      <c r="L37">
        <v>1947.0790520761332</v>
      </c>
      <c r="M37">
        <v>6414.0239999999994</v>
      </c>
      <c r="N37">
        <v>32637.589599999996</v>
      </c>
      <c r="O37">
        <v>11805.085599999997</v>
      </c>
      <c r="P37">
        <v>-4930.4971999999998</v>
      </c>
      <c r="Q37">
        <v>-0.76870576100120613</v>
      </c>
      <c r="R37">
        <v>0.36170212765957444</v>
      </c>
    </row>
    <row r="38" spans="1:18" x14ac:dyDescent="0.2">
      <c r="A38">
        <v>37</v>
      </c>
      <c r="B38">
        <v>64</v>
      </c>
      <c r="C38" s="1">
        <v>45341</v>
      </c>
      <c r="D38">
        <v>24</v>
      </c>
      <c r="E38">
        <v>10</v>
      </c>
      <c r="F38">
        <v>2880</v>
      </c>
      <c r="G38" t="s">
        <v>76</v>
      </c>
      <c r="H38" t="s">
        <v>10</v>
      </c>
      <c r="I38">
        <v>1920</v>
      </c>
      <c r="J38">
        <v>3200</v>
      </c>
      <c r="K38">
        <v>2</v>
      </c>
      <c r="L38">
        <v>3784.714342506802</v>
      </c>
      <c r="M38">
        <v>3782.0099999999998</v>
      </c>
      <c r="N38">
        <v>69120</v>
      </c>
      <c r="O38">
        <v>23040</v>
      </c>
      <c r="P38">
        <v>-902.00999999999976</v>
      </c>
      <c r="Q38">
        <v>-0.2385001626119444</v>
      </c>
      <c r="R38">
        <v>0.33333333333333331</v>
      </c>
    </row>
    <row r="39" spans="1:18" x14ac:dyDescent="0.2">
      <c r="A39">
        <v>871</v>
      </c>
      <c r="B39">
        <v>91</v>
      </c>
      <c r="C39" s="1">
        <v>45567</v>
      </c>
      <c r="D39">
        <v>6</v>
      </c>
      <c r="E39">
        <v>5</v>
      </c>
      <c r="F39">
        <v>3004.85</v>
      </c>
      <c r="G39" t="s">
        <v>103</v>
      </c>
      <c r="H39" t="s">
        <v>17</v>
      </c>
      <c r="I39">
        <v>1897.8</v>
      </c>
      <c r="J39">
        <v>3163</v>
      </c>
      <c r="K39">
        <v>2</v>
      </c>
      <c r="L39">
        <v>3378.1701954192463</v>
      </c>
      <c r="M39">
        <v>4782.2433333333329</v>
      </c>
      <c r="N39">
        <v>18029.099999999999</v>
      </c>
      <c r="O39">
        <v>6642.2999999999993</v>
      </c>
      <c r="P39">
        <v>-1777.393333333333</v>
      </c>
      <c r="Q39">
        <v>-0.37166518084608824</v>
      </c>
      <c r="R39">
        <v>0.36842105263157893</v>
      </c>
    </row>
    <row r="40" spans="1:18" x14ac:dyDescent="0.2">
      <c r="A40">
        <v>870</v>
      </c>
      <c r="B40">
        <v>114</v>
      </c>
      <c r="C40" s="1">
        <v>45207</v>
      </c>
      <c r="D40">
        <v>47</v>
      </c>
      <c r="E40">
        <v>7</v>
      </c>
      <c r="F40">
        <v>7109.3012999999992</v>
      </c>
      <c r="G40" t="s">
        <v>126</v>
      </c>
      <c r="H40" t="s">
        <v>35</v>
      </c>
      <c r="I40">
        <v>4586.6459999999997</v>
      </c>
      <c r="J40">
        <v>7644.41</v>
      </c>
      <c r="K40">
        <v>2</v>
      </c>
      <c r="L40">
        <v>8250.1475463774514</v>
      </c>
      <c r="M40">
        <v>6494.3074999999999</v>
      </c>
      <c r="N40">
        <v>334137.16109999997</v>
      </c>
      <c r="O40">
        <v>118564.79909999997</v>
      </c>
      <c r="P40">
        <v>614.99379999999928</v>
      </c>
      <c r="Q40">
        <v>9.4697363806687515E-2</v>
      </c>
      <c r="R40">
        <v>0.35483870967741932</v>
      </c>
    </row>
    <row r="41" spans="1:18" x14ac:dyDescent="0.2">
      <c r="A41">
        <v>40</v>
      </c>
      <c r="B41">
        <v>64</v>
      </c>
      <c r="C41" s="1">
        <v>45639</v>
      </c>
      <c r="D41">
        <v>22</v>
      </c>
      <c r="E41">
        <v>10</v>
      </c>
      <c r="F41">
        <v>2880</v>
      </c>
      <c r="G41" t="s">
        <v>76</v>
      </c>
      <c r="H41" t="s">
        <v>10</v>
      </c>
      <c r="I41">
        <v>1920</v>
      </c>
      <c r="J41">
        <v>3200</v>
      </c>
      <c r="K41">
        <v>2</v>
      </c>
      <c r="L41">
        <v>3550.6331518739089</v>
      </c>
      <c r="M41">
        <v>3782.0099999999998</v>
      </c>
      <c r="N41">
        <v>63360</v>
      </c>
      <c r="O41">
        <v>21120</v>
      </c>
      <c r="P41">
        <v>-902.00999999999976</v>
      </c>
      <c r="Q41">
        <v>-0.2385001626119444</v>
      </c>
      <c r="R41">
        <v>0.33333333333333331</v>
      </c>
    </row>
    <row r="42" spans="1:18" x14ac:dyDescent="0.2">
      <c r="A42">
        <v>865</v>
      </c>
      <c r="B42">
        <v>34</v>
      </c>
      <c r="C42" s="1">
        <v>45901</v>
      </c>
      <c r="D42">
        <v>47</v>
      </c>
      <c r="E42">
        <v>9</v>
      </c>
      <c r="F42">
        <v>1186.0849000000001</v>
      </c>
      <c r="G42" t="s">
        <v>46</v>
      </c>
      <c r="H42" t="s">
        <v>19</v>
      </c>
      <c r="I42">
        <v>782.03399999999999</v>
      </c>
      <c r="J42">
        <v>1303.3900000000001</v>
      </c>
      <c r="K42">
        <v>2</v>
      </c>
      <c r="L42">
        <v>1360.623735138814</v>
      </c>
      <c r="M42">
        <v>4145.4440000000004</v>
      </c>
      <c r="N42">
        <v>55745.990300000005</v>
      </c>
      <c r="O42">
        <v>18990.392300000003</v>
      </c>
      <c r="P42">
        <v>-2959.3591000000006</v>
      </c>
      <c r="Q42">
        <v>-0.71388230066550173</v>
      </c>
      <c r="R42">
        <v>0.34065934065934067</v>
      </c>
    </row>
    <row r="43" spans="1:18" x14ac:dyDescent="0.2">
      <c r="A43">
        <v>861</v>
      </c>
      <c r="B43">
        <v>31</v>
      </c>
      <c r="C43" s="1">
        <v>45946</v>
      </c>
      <c r="D43">
        <v>11</v>
      </c>
      <c r="E43">
        <v>10</v>
      </c>
      <c r="F43">
        <v>920.91600000000005</v>
      </c>
      <c r="G43" t="s">
        <v>43</v>
      </c>
      <c r="H43" t="s">
        <v>35</v>
      </c>
      <c r="I43">
        <v>613.94399999999996</v>
      </c>
      <c r="J43">
        <v>1023.24</v>
      </c>
      <c r="K43">
        <v>2</v>
      </c>
      <c r="L43">
        <v>1134.4761154694359</v>
      </c>
      <c r="M43">
        <v>1065.8219999999999</v>
      </c>
      <c r="N43">
        <v>10130.076000000001</v>
      </c>
      <c r="O43">
        <v>3376.6920000000009</v>
      </c>
      <c r="P43">
        <v>-144.90599999999984</v>
      </c>
      <c r="Q43">
        <v>-0.13595703597786482</v>
      </c>
      <c r="R43">
        <v>0.33333333333333337</v>
      </c>
    </row>
    <row r="44" spans="1:18" x14ac:dyDescent="0.2">
      <c r="A44">
        <v>860</v>
      </c>
      <c r="B44">
        <v>91</v>
      </c>
      <c r="C44" s="1">
        <v>45805</v>
      </c>
      <c r="D44">
        <v>40</v>
      </c>
      <c r="E44">
        <v>8</v>
      </c>
      <c r="F44">
        <v>2909.96</v>
      </c>
      <c r="G44" t="s">
        <v>103</v>
      </c>
      <c r="H44" t="s">
        <v>17</v>
      </c>
      <c r="I44">
        <v>1897.8</v>
      </c>
      <c r="J44">
        <v>3163</v>
      </c>
      <c r="K44">
        <v>2</v>
      </c>
      <c r="L44">
        <v>3798.5620061759364</v>
      </c>
      <c r="M44">
        <v>4782.2433333333329</v>
      </c>
      <c r="N44">
        <v>116398.39999999999</v>
      </c>
      <c r="O44">
        <v>40486.400000000001</v>
      </c>
      <c r="P44">
        <v>-1872.2833333333328</v>
      </c>
      <c r="Q44">
        <v>-0.39150733302989593</v>
      </c>
      <c r="R44">
        <v>0.34782608695652178</v>
      </c>
    </row>
    <row r="45" spans="1:18" x14ac:dyDescent="0.2">
      <c r="A45">
        <v>44</v>
      </c>
      <c r="B45">
        <v>91</v>
      </c>
      <c r="C45" s="1">
        <v>44961</v>
      </c>
      <c r="D45">
        <v>24</v>
      </c>
      <c r="E45">
        <v>9</v>
      </c>
      <c r="F45">
        <v>2878.33</v>
      </c>
      <c r="G45" t="s">
        <v>103</v>
      </c>
      <c r="H45" t="s">
        <v>17</v>
      </c>
      <c r="I45">
        <v>1897.8</v>
      </c>
      <c r="J45">
        <v>3163</v>
      </c>
      <c r="K45">
        <v>2</v>
      </c>
      <c r="L45">
        <v>3564.1936419637168</v>
      </c>
      <c r="M45">
        <v>4782.2433333333329</v>
      </c>
      <c r="N45">
        <v>69079.92</v>
      </c>
      <c r="O45">
        <v>23532.720000000001</v>
      </c>
      <c r="P45">
        <v>-1903.913333333333</v>
      </c>
      <c r="Q45">
        <v>-0.3981213837578319</v>
      </c>
      <c r="R45">
        <v>0.34065934065934067</v>
      </c>
    </row>
    <row r="46" spans="1:18" x14ac:dyDescent="0.2">
      <c r="A46">
        <v>45</v>
      </c>
      <c r="B46">
        <v>60</v>
      </c>
      <c r="C46" s="1">
        <v>45910</v>
      </c>
      <c r="D46">
        <v>4</v>
      </c>
      <c r="E46">
        <v>9</v>
      </c>
      <c r="F46">
        <v>2523.0751</v>
      </c>
      <c r="G46" t="s">
        <v>72</v>
      </c>
      <c r="H46" t="s">
        <v>10</v>
      </c>
      <c r="I46">
        <v>1663.566</v>
      </c>
      <c r="J46">
        <v>2772.61</v>
      </c>
      <c r="K46">
        <v>2</v>
      </c>
      <c r="L46">
        <v>2802.0788128058703</v>
      </c>
      <c r="M46">
        <v>3047.7533333333336</v>
      </c>
      <c r="N46">
        <v>10092.3004</v>
      </c>
      <c r="O46">
        <v>3438.0364</v>
      </c>
      <c r="P46">
        <v>-524.67823333333354</v>
      </c>
      <c r="Q46">
        <v>-0.17215245984473815</v>
      </c>
      <c r="R46">
        <v>0.34065934065934067</v>
      </c>
    </row>
    <row r="47" spans="1:18" x14ac:dyDescent="0.2">
      <c r="A47">
        <v>858</v>
      </c>
      <c r="B47">
        <v>99</v>
      </c>
      <c r="C47" s="1">
        <v>45776</v>
      </c>
      <c r="D47">
        <v>15</v>
      </c>
      <c r="E47">
        <v>5</v>
      </c>
      <c r="F47">
        <v>1941.7809999999999</v>
      </c>
      <c r="G47" t="s">
        <v>111</v>
      </c>
      <c r="H47" t="s">
        <v>17</v>
      </c>
      <c r="I47">
        <v>1226.3879999999999</v>
      </c>
      <c r="J47">
        <v>2043.98</v>
      </c>
      <c r="K47">
        <v>2</v>
      </c>
      <c r="L47">
        <v>2567.0165217139988</v>
      </c>
      <c r="M47">
        <v>958.76666666666654</v>
      </c>
      <c r="N47">
        <v>29126.715</v>
      </c>
      <c r="O47">
        <v>10730.895</v>
      </c>
      <c r="P47">
        <v>983.01433333333341</v>
      </c>
      <c r="Q47">
        <v>1.0252904773493727</v>
      </c>
      <c r="R47">
        <v>0.36842105263157898</v>
      </c>
    </row>
    <row r="48" spans="1:18" x14ac:dyDescent="0.2">
      <c r="A48">
        <v>857</v>
      </c>
      <c r="B48">
        <v>120</v>
      </c>
      <c r="C48" s="1">
        <v>45151</v>
      </c>
      <c r="D48">
        <v>44</v>
      </c>
      <c r="E48">
        <v>10</v>
      </c>
      <c r="F48">
        <v>1778.94</v>
      </c>
      <c r="G48" t="s">
        <v>132</v>
      </c>
      <c r="H48" t="s">
        <v>8</v>
      </c>
      <c r="I48">
        <v>1185.9599999999998</v>
      </c>
      <c r="J48">
        <v>1976.6</v>
      </c>
      <c r="K48">
        <v>2</v>
      </c>
      <c r="L48">
        <v>2205.1457439845062</v>
      </c>
      <c r="M48">
        <v>1688.8574999999998</v>
      </c>
      <c r="N48">
        <v>78273.36</v>
      </c>
      <c r="O48">
        <v>26091.12000000001</v>
      </c>
      <c r="P48">
        <v>90.082500000000209</v>
      </c>
      <c r="Q48">
        <v>5.3339313707639759E-2</v>
      </c>
      <c r="R48">
        <v>0.33333333333333348</v>
      </c>
    </row>
    <row r="49" spans="1:18" x14ac:dyDescent="0.2">
      <c r="A49">
        <v>854</v>
      </c>
      <c r="B49">
        <v>57</v>
      </c>
      <c r="C49" s="1">
        <v>45599</v>
      </c>
      <c r="D49">
        <v>7</v>
      </c>
      <c r="E49">
        <v>2</v>
      </c>
      <c r="F49">
        <v>6675.5150000000003</v>
      </c>
      <c r="G49" t="s">
        <v>69</v>
      </c>
      <c r="H49" t="s">
        <v>14</v>
      </c>
      <c r="I49">
        <v>4087.0499999999997</v>
      </c>
      <c r="J49">
        <v>6811.75</v>
      </c>
      <c r="K49">
        <v>2</v>
      </c>
      <c r="L49">
        <v>8227.6069461476436</v>
      </c>
      <c r="M49">
        <v>1836.9825000000001</v>
      </c>
      <c r="N49">
        <v>46728.605000000003</v>
      </c>
      <c r="O49">
        <v>18119.255000000005</v>
      </c>
      <c r="P49">
        <v>4838.5325000000003</v>
      </c>
      <c r="Q49">
        <v>2.633956774220767</v>
      </c>
      <c r="R49">
        <v>0.38775510204081642</v>
      </c>
    </row>
    <row r="50" spans="1:18" x14ac:dyDescent="0.2">
      <c r="A50">
        <v>851</v>
      </c>
      <c r="B50">
        <v>81</v>
      </c>
      <c r="C50" s="1">
        <v>45135</v>
      </c>
      <c r="D50">
        <v>42</v>
      </c>
      <c r="E50">
        <v>6</v>
      </c>
      <c r="F50">
        <v>7297.6053999999995</v>
      </c>
      <c r="G50" t="s">
        <v>93</v>
      </c>
      <c r="H50" t="s">
        <v>8</v>
      </c>
      <c r="I50">
        <v>4658.0459999999994</v>
      </c>
      <c r="J50">
        <v>7763.41</v>
      </c>
      <c r="K50">
        <v>2</v>
      </c>
      <c r="L50">
        <v>9922.2150711587929</v>
      </c>
      <c r="M50">
        <v>290.31399999999996</v>
      </c>
      <c r="N50">
        <v>306499.42679999996</v>
      </c>
      <c r="O50">
        <v>110861.4948</v>
      </c>
      <c r="P50">
        <v>7007.2913999999992</v>
      </c>
      <c r="Q50">
        <v>24.136939313984168</v>
      </c>
      <c r="R50">
        <v>0.36170212765957455</v>
      </c>
    </row>
    <row r="51" spans="1:18" x14ac:dyDescent="0.2">
      <c r="A51">
        <v>850</v>
      </c>
      <c r="B51">
        <v>91</v>
      </c>
      <c r="C51" s="1">
        <v>45705</v>
      </c>
      <c r="D51">
        <v>6</v>
      </c>
      <c r="E51">
        <v>10</v>
      </c>
      <c r="F51">
        <v>2846.7000000000003</v>
      </c>
      <c r="G51" t="s">
        <v>103</v>
      </c>
      <c r="H51" t="s">
        <v>17</v>
      </c>
      <c r="I51">
        <v>1897.8</v>
      </c>
      <c r="J51">
        <v>3163</v>
      </c>
      <c r="K51">
        <v>2</v>
      </c>
      <c r="L51">
        <v>4016.7678914762892</v>
      </c>
      <c r="M51">
        <v>4782.2433333333329</v>
      </c>
      <c r="N51">
        <v>17080.2</v>
      </c>
      <c r="O51">
        <v>5693.4000000000015</v>
      </c>
      <c r="P51">
        <v>-1935.5433333333326</v>
      </c>
      <c r="Q51">
        <v>-0.40473543448576771</v>
      </c>
      <c r="R51">
        <v>0.33333333333333343</v>
      </c>
    </row>
    <row r="52" spans="1:18" x14ac:dyDescent="0.2">
      <c r="A52">
        <v>847</v>
      </c>
      <c r="B52">
        <v>114</v>
      </c>
      <c r="C52" s="1">
        <v>45287</v>
      </c>
      <c r="D52">
        <v>11</v>
      </c>
      <c r="E52">
        <v>6</v>
      </c>
      <c r="F52">
        <v>7185.7453999999998</v>
      </c>
      <c r="G52" t="s">
        <v>126</v>
      </c>
      <c r="H52" t="s">
        <v>35</v>
      </c>
      <c r="I52">
        <v>4586.6459999999997</v>
      </c>
      <c r="J52">
        <v>7644.41</v>
      </c>
      <c r="K52">
        <v>2</v>
      </c>
      <c r="L52">
        <v>9742.7634451592021</v>
      </c>
      <c r="M52">
        <v>6494.3074999999999</v>
      </c>
      <c r="N52">
        <v>79043.199399999998</v>
      </c>
      <c r="O52">
        <v>28590.093400000002</v>
      </c>
      <c r="P52">
        <v>691.4378999999999</v>
      </c>
      <c r="Q52">
        <v>0.10646830320245845</v>
      </c>
      <c r="R52">
        <v>0.36170212765957449</v>
      </c>
    </row>
    <row r="53" spans="1:18" x14ac:dyDescent="0.2">
      <c r="A53">
        <v>839</v>
      </c>
      <c r="B53">
        <v>115</v>
      </c>
      <c r="C53" s="1">
        <v>45968</v>
      </c>
      <c r="D53">
        <v>19</v>
      </c>
      <c r="E53">
        <v>6</v>
      </c>
      <c r="F53">
        <v>4409.8031999999994</v>
      </c>
      <c r="G53" t="s">
        <v>127</v>
      </c>
      <c r="H53" t="s">
        <v>10</v>
      </c>
      <c r="I53">
        <v>2814.7679999999996</v>
      </c>
      <c r="J53">
        <v>4691.28</v>
      </c>
      <c r="K53">
        <v>2</v>
      </c>
      <c r="L53">
        <v>5323.579875416759</v>
      </c>
      <c r="M53">
        <v>4456.5325000000003</v>
      </c>
      <c r="N53">
        <v>83786.260799999989</v>
      </c>
      <c r="O53">
        <v>30305.668799999996</v>
      </c>
      <c r="P53">
        <v>-46.729300000000876</v>
      </c>
      <c r="Q53">
        <v>-1.0485573705566126E-2</v>
      </c>
      <c r="R53">
        <v>0.36170212765957449</v>
      </c>
    </row>
    <row r="54" spans="1:18" x14ac:dyDescent="0.2">
      <c r="A54">
        <v>838</v>
      </c>
      <c r="B54">
        <v>123</v>
      </c>
      <c r="C54" s="1">
        <v>45128</v>
      </c>
      <c r="D54">
        <v>17</v>
      </c>
      <c r="E54">
        <v>10</v>
      </c>
      <c r="F54">
        <v>4164.8580000000002</v>
      </c>
      <c r="G54" t="s">
        <v>135</v>
      </c>
      <c r="H54" t="s">
        <v>17</v>
      </c>
      <c r="I54">
        <v>2776.5719999999997</v>
      </c>
      <c r="J54">
        <v>4627.62</v>
      </c>
      <c r="K54">
        <v>2</v>
      </c>
      <c r="L54">
        <v>4644.4073968798994</v>
      </c>
      <c r="M54">
        <v>809.94800000000009</v>
      </c>
      <c r="N54">
        <v>70802.58600000001</v>
      </c>
      <c r="O54">
        <v>23600.862000000008</v>
      </c>
      <c r="P54">
        <v>3354.91</v>
      </c>
      <c r="Q54">
        <v>4.1421301120565754</v>
      </c>
      <c r="R54">
        <v>0.33333333333333343</v>
      </c>
    </row>
    <row r="55" spans="1:18" x14ac:dyDescent="0.2">
      <c r="A55">
        <v>835</v>
      </c>
      <c r="B55">
        <v>144</v>
      </c>
      <c r="C55" s="1">
        <v>45656</v>
      </c>
      <c r="D55">
        <v>7</v>
      </c>
      <c r="E55">
        <v>5</v>
      </c>
      <c r="F55">
        <v>1499.309</v>
      </c>
      <c r="G55" t="s">
        <v>156</v>
      </c>
      <c r="H55" t="s">
        <v>8</v>
      </c>
      <c r="I55">
        <v>946.93200000000002</v>
      </c>
      <c r="J55">
        <v>1578.22</v>
      </c>
      <c r="K55">
        <v>2</v>
      </c>
      <c r="L55">
        <v>1846.3237096446958</v>
      </c>
      <c r="M55">
        <v>6414.0239999999994</v>
      </c>
      <c r="N55">
        <v>10495.163</v>
      </c>
      <c r="O55">
        <v>3866.6389999999997</v>
      </c>
      <c r="P55">
        <v>-4914.7149999999992</v>
      </c>
      <c r="Q55">
        <v>-0.76624518399058061</v>
      </c>
      <c r="R55">
        <v>0.36842105263157893</v>
      </c>
    </row>
    <row r="56" spans="1:18" x14ac:dyDescent="0.2">
      <c r="A56">
        <v>833</v>
      </c>
      <c r="B56">
        <v>81</v>
      </c>
      <c r="C56" s="1">
        <v>45581</v>
      </c>
      <c r="D56">
        <v>2</v>
      </c>
      <c r="E56">
        <v>10</v>
      </c>
      <c r="F56">
        <v>6987.0690000000004</v>
      </c>
      <c r="G56" t="s">
        <v>93</v>
      </c>
      <c r="H56" t="s">
        <v>8</v>
      </c>
      <c r="I56">
        <v>4658.0459999999994</v>
      </c>
      <c r="J56">
        <v>7763.41</v>
      </c>
      <c r="K56">
        <v>2</v>
      </c>
      <c r="L56">
        <v>9395.923843241686</v>
      </c>
      <c r="M56">
        <v>290.31399999999996</v>
      </c>
      <c r="N56">
        <v>13974.138000000001</v>
      </c>
      <c r="O56">
        <v>4658.0460000000021</v>
      </c>
      <c r="P56">
        <v>6696.7550000000001</v>
      </c>
      <c r="Q56">
        <v>23.067282321899739</v>
      </c>
      <c r="R56">
        <v>0.33333333333333348</v>
      </c>
    </row>
    <row r="57" spans="1:18" x14ac:dyDescent="0.2">
      <c r="A57">
        <v>831</v>
      </c>
      <c r="B57">
        <v>81</v>
      </c>
      <c r="C57" s="1">
        <v>45712</v>
      </c>
      <c r="D57">
        <v>14</v>
      </c>
      <c r="E57">
        <v>7</v>
      </c>
      <c r="F57">
        <v>7219.9712999999992</v>
      </c>
      <c r="G57" t="s">
        <v>93</v>
      </c>
      <c r="H57" t="s">
        <v>8</v>
      </c>
      <c r="I57">
        <v>4658.0459999999994</v>
      </c>
      <c r="J57">
        <v>7763.41</v>
      </c>
      <c r="K57">
        <v>2</v>
      </c>
      <c r="L57">
        <v>8259.1948333495184</v>
      </c>
      <c r="M57">
        <v>290.31399999999996</v>
      </c>
      <c r="N57">
        <v>101079.59819999999</v>
      </c>
      <c r="O57">
        <v>35866.9542</v>
      </c>
      <c r="P57">
        <v>6929.6572999999989</v>
      </c>
      <c r="Q57">
        <v>23.86952506596306</v>
      </c>
      <c r="R57">
        <v>0.35483870967741937</v>
      </c>
    </row>
    <row r="58" spans="1:18" x14ac:dyDescent="0.2">
      <c r="A58">
        <v>828</v>
      </c>
      <c r="B58">
        <v>123</v>
      </c>
      <c r="C58" s="1">
        <v>45594</v>
      </c>
      <c r="D58">
        <v>47</v>
      </c>
      <c r="E58">
        <v>2</v>
      </c>
      <c r="F58">
        <v>4535.0675999999994</v>
      </c>
      <c r="G58" t="s">
        <v>135</v>
      </c>
      <c r="H58" t="s">
        <v>17</v>
      </c>
      <c r="I58">
        <v>2776.5719999999997</v>
      </c>
      <c r="J58">
        <v>4627.62</v>
      </c>
      <c r="K58">
        <v>2</v>
      </c>
      <c r="L58">
        <v>5930.4642175248955</v>
      </c>
      <c r="M58">
        <v>809.94800000000009</v>
      </c>
      <c r="N58">
        <v>213148.17719999998</v>
      </c>
      <c r="O58">
        <v>82649.293199999986</v>
      </c>
      <c r="P58">
        <v>3725.1195999999991</v>
      </c>
      <c r="Q58">
        <v>4.5992083442393819</v>
      </c>
      <c r="R58">
        <v>0.38775510204081631</v>
      </c>
    </row>
    <row r="59" spans="1:18" x14ac:dyDescent="0.2">
      <c r="A59">
        <v>826</v>
      </c>
      <c r="B59">
        <v>99</v>
      </c>
      <c r="C59" s="1">
        <v>45555</v>
      </c>
      <c r="D59">
        <v>1</v>
      </c>
      <c r="E59">
        <v>10</v>
      </c>
      <c r="F59">
        <v>1839.5820000000001</v>
      </c>
      <c r="G59" t="s">
        <v>111</v>
      </c>
      <c r="H59" t="s">
        <v>17</v>
      </c>
      <c r="I59">
        <v>1226.3879999999999</v>
      </c>
      <c r="J59">
        <v>2043.98</v>
      </c>
      <c r="K59">
        <v>2</v>
      </c>
      <c r="L59">
        <v>2382.1849087687524</v>
      </c>
      <c r="M59">
        <v>958.76666666666654</v>
      </c>
      <c r="N59">
        <v>1839.5820000000001</v>
      </c>
      <c r="O59">
        <v>613.19400000000019</v>
      </c>
      <c r="P59">
        <v>880.81533333333357</v>
      </c>
      <c r="Q59">
        <v>0.91869624169940589</v>
      </c>
      <c r="R59">
        <v>0.33333333333333343</v>
      </c>
    </row>
    <row r="60" spans="1:18" x14ac:dyDescent="0.2">
      <c r="A60">
        <v>824</v>
      </c>
      <c r="B60">
        <v>55</v>
      </c>
      <c r="C60" s="1">
        <v>45141</v>
      </c>
      <c r="D60">
        <v>14</v>
      </c>
      <c r="E60">
        <v>7</v>
      </c>
      <c r="F60">
        <v>896.78969999999993</v>
      </c>
      <c r="G60" t="s">
        <v>67</v>
      </c>
      <c r="H60" t="s">
        <v>14</v>
      </c>
      <c r="I60">
        <v>578.57399999999996</v>
      </c>
      <c r="J60">
        <v>964.29</v>
      </c>
      <c r="K60">
        <v>2</v>
      </c>
      <c r="L60">
        <v>1017.5798552486999</v>
      </c>
      <c r="M60">
        <v>1508.7675000000002</v>
      </c>
      <c r="N60">
        <v>12555.055799999998</v>
      </c>
      <c r="O60">
        <v>4455.0198</v>
      </c>
      <c r="P60">
        <v>-611.97780000000023</v>
      </c>
      <c r="Q60">
        <v>-0.40561438392595289</v>
      </c>
      <c r="R60">
        <v>0.35483870967741943</v>
      </c>
    </row>
    <row r="61" spans="1:18" x14ac:dyDescent="0.2">
      <c r="A61">
        <v>60</v>
      </c>
      <c r="B61">
        <v>55</v>
      </c>
      <c r="C61" s="1">
        <v>45549</v>
      </c>
      <c r="D61">
        <v>19</v>
      </c>
      <c r="E61">
        <v>4</v>
      </c>
      <c r="F61">
        <v>925.71839999999997</v>
      </c>
      <c r="G61" t="s">
        <v>67</v>
      </c>
      <c r="H61" t="s">
        <v>14</v>
      </c>
      <c r="I61">
        <v>578.57399999999996</v>
      </c>
      <c r="J61">
        <v>964.29</v>
      </c>
      <c r="K61">
        <v>2</v>
      </c>
      <c r="L61">
        <v>1001.1952774425527</v>
      </c>
      <c r="M61">
        <v>1508.7675000000002</v>
      </c>
      <c r="N61">
        <v>17588.649600000001</v>
      </c>
      <c r="O61">
        <v>6595.7436000000007</v>
      </c>
      <c r="P61">
        <v>-583.04910000000018</v>
      </c>
      <c r="Q61">
        <v>-0.38644065437517716</v>
      </c>
      <c r="R61">
        <v>0.375</v>
      </c>
    </row>
    <row r="62" spans="1:18" x14ac:dyDescent="0.2">
      <c r="A62">
        <v>822</v>
      </c>
      <c r="B62">
        <v>57</v>
      </c>
      <c r="C62" s="1">
        <v>45387</v>
      </c>
      <c r="D62">
        <v>29</v>
      </c>
      <c r="E62">
        <v>6</v>
      </c>
      <c r="F62">
        <v>6403.0450000000001</v>
      </c>
      <c r="G62" t="s">
        <v>69</v>
      </c>
      <c r="H62" t="s">
        <v>14</v>
      </c>
      <c r="I62">
        <v>4087.0499999999997</v>
      </c>
      <c r="J62">
        <v>6811.75</v>
      </c>
      <c r="K62">
        <v>2</v>
      </c>
      <c r="L62">
        <v>7787.7887814465503</v>
      </c>
      <c r="M62">
        <v>1836.9825000000001</v>
      </c>
      <c r="N62">
        <v>185688.30499999999</v>
      </c>
      <c r="O62">
        <v>67163.85500000001</v>
      </c>
      <c r="P62">
        <v>4566.0625</v>
      </c>
      <c r="Q62">
        <v>2.4856320079260414</v>
      </c>
      <c r="R62">
        <v>0.36170212765957455</v>
      </c>
    </row>
    <row r="63" spans="1:18" x14ac:dyDescent="0.2">
      <c r="A63">
        <v>819</v>
      </c>
      <c r="B63">
        <v>68</v>
      </c>
      <c r="C63" s="1">
        <v>45513</v>
      </c>
      <c r="D63">
        <v>41</v>
      </c>
      <c r="E63">
        <v>10</v>
      </c>
      <c r="F63">
        <v>5439.1409999999996</v>
      </c>
      <c r="G63" t="s">
        <v>80</v>
      </c>
      <c r="H63" t="s">
        <v>14</v>
      </c>
      <c r="I63">
        <v>3626.0939999999996</v>
      </c>
      <c r="J63">
        <v>6043.49</v>
      </c>
      <c r="K63">
        <v>2</v>
      </c>
      <c r="L63">
        <v>7768.8030779390774</v>
      </c>
      <c r="M63">
        <v>796.21333333333325</v>
      </c>
      <c r="N63">
        <v>223004.78099999999</v>
      </c>
      <c r="O63">
        <v>74334.926999999996</v>
      </c>
      <c r="P63">
        <v>4642.9276666666665</v>
      </c>
      <c r="Q63">
        <v>5.8312608848549807</v>
      </c>
      <c r="R63">
        <v>0.33333333333333331</v>
      </c>
    </row>
    <row r="64" spans="1:18" x14ac:dyDescent="0.2">
      <c r="A64">
        <v>814</v>
      </c>
      <c r="B64">
        <v>64</v>
      </c>
      <c r="C64" s="1">
        <v>45181</v>
      </c>
      <c r="D64">
        <v>9</v>
      </c>
      <c r="E64">
        <v>4</v>
      </c>
      <c r="F64">
        <v>3072</v>
      </c>
      <c r="G64" t="s">
        <v>76</v>
      </c>
      <c r="H64" t="s">
        <v>10</v>
      </c>
      <c r="I64">
        <v>1920</v>
      </c>
      <c r="J64">
        <v>3200</v>
      </c>
      <c r="K64">
        <v>2</v>
      </c>
      <c r="L64">
        <v>3842.9150607527317</v>
      </c>
      <c r="M64">
        <v>3782.0099999999998</v>
      </c>
      <c r="N64">
        <v>27648</v>
      </c>
      <c r="O64">
        <v>10368</v>
      </c>
      <c r="P64">
        <v>-710.00999999999976</v>
      </c>
      <c r="Q64">
        <v>-0.18773350678607403</v>
      </c>
      <c r="R64">
        <v>0.375</v>
      </c>
    </row>
    <row r="65" spans="1:18" x14ac:dyDescent="0.2">
      <c r="A65">
        <v>802</v>
      </c>
      <c r="B65">
        <v>58</v>
      </c>
      <c r="C65" s="1">
        <v>45509</v>
      </c>
      <c r="D65">
        <v>47</v>
      </c>
      <c r="E65">
        <v>2</v>
      </c>
      <c r="F65">
        <v>1115.8083999999999</v>
      </c>
      <c r="G65" t="s">
        <v>70</v>
      </c>
      <c r="H65" t="s">
        <v>6</v>
      </c>
      <c r="I65">
        <v>683.14799999999991</v>
      </c>
      <c r="J65">
        <v>1138.58</v>
      </c>
      <c r="K65">
        <v>2</v>
      </c>
      <c r="L65">
        <v>1145.9840312898091</v>
      </c>
      <c r="M65">
        <v>1439.8525</v>
      </c>
      <c r="N65">
        <v>52442.994799999993</v>
      </c>
      <c r="O65">
        <v>20335.038799999998</v>
      </c>
      <c r="P65">
        <v>-324.04410000000007</v>
      </c>
      <c r="Q65">
        <v>-0.22505367737320323</v>
      </c>
      <c r="R65">
        <v>0.38775510204081637</v>
      </c>
    </row>
    <row r="66" spans="1:18" x14ac:dyDescent="0.2">
      <c r="A66">
        <v>799</v>
      </c>
      <c r="B66">
        <v>123</v>
      </c>
      <c r="C66" s="1">
        <v>44940</v>
      </c>
      <c r="D66">
        <v>50</v>
      </c>
      <c r="E66">
        <v>10</v>
      </c>
      <c r="F66">
        <v>4164.8580000000002</v>
      </c>
      <c r="G66" t="s">
        <v>135</v>
      </c>
      <c r="H66" t="s">
        <v>17</v>
      </c>
      <c r="I66">
        <v>2776.5719999999997</v>
      </c>
      <c r="J66">
        <v>4627.62</v>
      </c>
      <c r="K66">
        <v>2</v>
      </c>
      <c r="L66">
        <v>5468.9961285223844</v>
      </c>
      <c r="M66">
        <v>809.94800000000009</v>
      </c>
      <c r="N66">
        <v>208242.90000000002</v>
      </c>
      <c r="O66">
        <v>69414.300000000032</v>
      </c>
      <c r="P66">
        <v>3354.91</v>
      </c>
      <c r="Q66">
        <v>4.1421301120565754</v>
      </c>
      <c r="R66">
        <v>0.33333333333333343</v>
      </c>
    </row>
    <row r="67" spans="1:18" x14ac:dyDescent="0.2">
      <c r="A67">
        <v>66</v>
      </c>
      <c r="B67">
        <v>95</v>
      </c>
      <c r="C67" s="1">
        <v>45994</v>
      </c>
      <c r="D67">
        <v>21</v>
      </c>
      <c r="E67">
        <v>4</v>
      </c>
      <c r="F67">
        <v>6689.9232000000002</v>
      </c>
      <c r="G67" t="s">
        <v>107</v>
      </c>
      <c r="H67" t="s">
        <v>6</v>
      </c>
      <c r="I67">
        <v>4181.2020000000002</v>
      </c>
      <c r="J67">
        <v>6968.67</v>
      </c>
      <c r="K67">
        <v>2</v>
      </c>
      <c r="L67">
        <v>8658.1771764859641</v>
      </c>
      <c r="M67">
        <v>2797.7239999999997</v>
      </c>
      <c r="N67">
        <v>140488.3872</v>
      </c>
      <c r="O67">
        <v>52683.145199999999</v>
      </c>
      <c r="P67">
        <v>3892.1992000000005</v>
      </c>
      <c r="Q67">
        <v>1.3912019913329552</v>
      </c>
      <c r="R67">
        <v>0.375</v>
      </c>
    </row>
    <row r="68" spans="1:18" x14ac:dyDescent="0.2">
      <c r="A68">
        <v>67</v>
      </c>
      <c r="B68">
        <v>31</v>
      </c>
      <c r="C68" s="1">
        <v>45664</v>
      </c>
      <c r="D68">
        <v>50</v>
      </c>
      <c r="E68">
        <v>8</v>
      </c>
      <c r="F68">
        <v>941.38080000000002</v>
      </c>
      <c r="G68" t="s">
        <v>43</v>
      </c>
      <c r="H68" t="s">
        <v>35</v>
      </c>
      <c r="I68">
        <v>613.94399999999996</v>
      </c>
      <c r="J68">
        <v>1023.24</v>
      </c>
      <c r="K68">
        <v>2</v>
      </c>
      <c r="L68">
        <v>1032.6482069924298</v>
      </c>
      <c r="M68">
        <v>1065.8219999999999</v>
      </c>
      <c r="N68">
        <v>47069.04</v>
      </c>
      <c r="O68">
        <v>16371.840000000004</v>
      </c>
      <c r="P68">
        <v>-124.44119999999987</v>
      </c>
      <c r="Q68">
        <v>-0.11675608122181741</v>
      </c>
      <c r="R68">
        <v>0.34782608695652184</v>
      </c>
    </row>
    <row r="69" spans="1:18" x14ac:dyDescent="0.2">
      <c r="A69">
        <v>68</v>
      </c>
      <c r="B69">
        <v>68</v>
      </c>
      <c r="C69" s="1">
        <v>45397</v>
      </c>
      <c r="D69">
        <v>13</v>
      </c>
      <c r="E69">
        <v>2</v>
      </c>
      <c r="F69">
        <v>5922.6201999999994</v>
      </c>
      <c r="G69" t="s">
        <v>80</v>
      </c>
      <c r="H69" t="s">
        <v>14</v>
      </c>
      <c r="I69">
        <v>3626.0939999999996</v>
      </c>
      <c r="J69">
        <v>6043.49</v>
      </c>
      <c r="K69">
        <v>2</v>
      </c>
      <c r="L69">
        <v>6146.6667638192603</v>
      </c>
      <c r="M69">
        <v>796.21333333333325</v>
      </c>
      <c r="N69">
        <v>76994.06259999999</v>
      </c>
      <c r="O69">
        <v>29854.840599999996</v>
      </c>
      <c r="P69">
        <v>5126.4068666666662</v>
      </c>
      <c r="Q69">
        <v>6.4384840746198675</v>
      </c>
      <c r="R69">
        <v>0.38775510204081631</v>
      </c>
    </row>
    <row r="70" spans="1:18" x14ac:dyDescent="0.2">
      <c r="A70">
        <v>796</v>
      </c>
      <c r="B70">
        <v>123</v>
      </c>
      <c r="C70" s="1">
        <v>45872</v>
      </c>
      <c r="D70">
        <v>44</v>
      </c>
      <c r="E70">
        <v>9</v>
      </c>
      <c r="F70">
        <v>4211.1342000000004</v>
      </c>
      <c r="G70" t="s">
        <v>135</v>
      </c>
      <c r="H70" t="s">
        <v>17</v>
      </c>
      <c r="I70">
        <v>2776.5719999999997</v>
      </c>
      <c r="J70">
        <v>4627.62</v>
      </c>
      <c r="K70">
        <v>2</v>
      </c>
      <c r="L70">
        <v>4936.737607276893</v>
      </c>
      <c r="M70">
        <v>809.94800000000009</v>
      </c>
      <c r="N70">
        <v>185289.90480000002</v>
      </c>
      <c r="O70">
        <v>63120.736800000035</v>
      </c>
      <c r="P70">
        <v>3401.1862000000001</v>
      </c>
      <c r="Q70">
        <v>4.1992648910794266</v>
      </c>
      <c r="R70">
        <v>0.34065934065934084</v>
      </c>
    </row>
    <row r="71" spans="1:18" x14ac:dyDescent="0.2">
      <c r="A71">
        <v>70</v>
      </c>
      <c r="B71">
        <v>57</v>
      </c>
      <c r="C71" s="1">
        <v>45938</v>
      </c>
      <c r="D71">
        <v>19</v>
      </c>
      <c r="E71">
        <v>5</v>
      </c>
      <c r="F71">
        <v>6471.1624999999995</v>
      </c>
      <c r="G71" t="s">
        <v>69</v>
      </c>
      <c r="H71" t="s">
        <v>14</v>
      </c>
      <c r="I71">
        <v>4087.0499999999997</v>
      </c>
      <c r="J71">
        <v>6811.75</v>
      </c>
      <c r="K71">
        <v>2</v>
      </c>
      <c r="L71">
        <v>7447.361504546474</v>
      </c>
      <c r="M71">
        <v>1836.9825000000001</v>
      </c>
      <c r="N71">
        <v>122952.08749999999</v>
      </c>
      <c r="O71">
        <v>45298.137499999997</v>
      </c>
      <c r="P71">
        <v>4634.1799999999994</v>
      </c>
      <c r="Q71">
        <v>2.5227131994997225</v>
      </c>
      <c r="R71">
        <v>0.36842105263157893</v>
      </c>
    </row>
    <row r="72" spans="1:18" x14ac:dyDescent="0.2">
      <c r="A72">
        <v>71</v>
      </c>
      <c r="B72">
        <v>29</v>
      </c>
      <c r="C72" s="1">
        <v>45294</v>
      </c>
      <c r="D72">
        <v>18</v>
      </c>
      <c r="E72">
        <v>2</v>
      </c>
      <c r="F72">
        <v>7323.54</v>
      </c>
      <c r="G72" t="s">
        <v>41</v>
      </c>
      <c r="H72" t="s">
        <v>35</v>
      </c>
      <c r="I72">
        <v>4483.8</v>
      </c>
      <c r="J72">
        <v>7473</v>
      </c>
      <c r="K72">
        <v>2</v>
      </c>
      <c r="L72">
        <v>9128.7916098731075</v>
      </c>
      <c r="M72">
        <v>1925.7060000000001</v>
      </c>
      <c r="N72">
        <v>131823.72</v>
      </c>
      <c r="O72">
        <v>51115.319999999992</v>
      </c>
      <c r="P72">
        <v>5397.8339999999998</v>
      </c>
      <c r="Q72">
        <v>2.8030415857872382</v>
      </c>
      <c r="R72">
        <v>0.38775510204081626</v>
      </c>
    </row>
    <row r="73" spans="1:18" x14ac:dyDescent="0.2">
      <c r="A73">
        <v>788</v>
      </c>
      <c r="B73">
        <v>64</v>
      </c>
      <c r="C73" s="1">
        <v>45101</v>
      </c>
      <c r="D73">
        <v>1</v>
      </c>
      <c r="E73">
        <v>2</v>
      </c>
      <c r="F73">
        <v>3136</v>
      </c>
      <c r="G73" t="s">
        <v>76</v>
      </c>
      <c r="H73" t="s">
        <v>10</v>
      </c>
      <c r="I73">
        <v>1920</v>
      </c>
      <c r="J73">
        <v>3200</v>
      </c>
      <c r="K73">
        <v>2</v>
      </c>
      <c r="L73">
        <v>3315.4019930024228</v>
      </c>
      <c r="M73">
        <v>3782.0099999999998</v>
      </c>
      <c r="N73">
        <v>3136</v>
      </c>
      <c r="O73">
        <v>1216</v>
      </c>
      <c r="P73">
        <v>-646.00999999999976</v>
      </c>
      <c r="Q73">
        <v>-0.17081128817745056</v>
      </c>
      <c r="R73">
        <v>0.38775510204081631</v>
      </c>
    </row>
    <row r="74" spans="1:18" x14ac:dyDescent="0.2">
      <c r="A74">
        <v>785</v>
      </c>
      <c r="B74">
        <v>120</v>
      </c>
      <c r="C74" s="1">
        <v>45891</v>
      </c>
      <c r="D74">
        <v>47</v>
      </c>
      <c r="E74">
        <v>8</v>
      </c>
      <c r="F74">
        <v>1818.472</v>
      </c>
      <c r="G74" t="s">
        <v>132</v>
      </c>
      <c r="H74" t="s">
        <v>8</v>
      </c>
      <c r="I74">
        <v>1185.9599999999998</v>
      </c>
      <c r="J74">
        <v>1976.6</v>
      </c>
      <c r="K74">
        <v>2</v>
      </c>
      <c r="L74">
        <v>2078.4424061491691</v>
      </c>
      <c r="M74">
        <v>1688.8574999999998</v>
      </c>
      <c r="N74">
        <v>85468.183999999994</v>
      </c>
      <c r="O74">
        <v>29728.064000000009</v>
      </c>
      <c r="P74">
        <v>129.61450000000013</v>
      </c>
      <c r="Q74">
        <v>7.6746854012253937E-2</v>
      </c>
      <c r="R74">
        <v>0.3478260869565219</v>
      </c>
    </row>
    <row r="75" spans="1:18" x14ac:dyDescent="0.2">
      <c r="A75">
        <v>781</v>
      </c>
      <c r="B75">
        <v>91</v>
      </c>
      <c r="C75" s="1">
        <v>45572</v>
      </c>
      <c r="D75">
        <v>22</v>
      </c>
      <c r="E75">
        <v>2</v>
      </c>
      <c r="F75">
        <v>3099.74</v>
      </c>
      <c r="G75" t="s">
        <v>103</v>
      </c>
      <c r="H75" t="s">
        <v>17</v>
      </c>
      <c r="I75">
        <v>1897.8</v>
      </c>
      <c r="J75">
        <v>3163</v>
      </c>
      <c r="K75">
        <v>2</v>
      </c>
      <c r="L75">
        <v>3299.7157844319358</v>
      </c>
      <c r="M75">
        <v>4782.2433333333329</v>
      </c>
      <c r="N75">
        <v>68194.28</v>
      </c>
      <c r="O75">
        <v>26442.679999999997</v>
      </c>
      <c r="P75">
        <v>-1682.5033333333331</v>
      </c>
      <c r="Q75">
        <v>-0.35182302866228055</v>
      </c>
      <c r="R75">
        <v>0.38775510204081626</v>
      </c>
    </row>
    <row r="76" spans="1:18" x14ac:dyDescent="0.2">
      <c r="A76">
        <v>780</v>
      </c>
      <c r="B76">
        <v>120</v>
      </c>
      <c r="C76" s="1">
        <v>45522</v>
      </c>
      <c r="D76">
        <v>37</v>
      </c>
      <c r="E76">
        <v>7</v>
      </c>
      <c r="F76">
        <v>1838.2379999999998</v>
      </c>
      <c r="G76" t="s">
        <v>132</v>
      </c>
      <c r="H76" t="s">
        <v>8</v>
      </c>
      <c r="I76">
        <v>1185.9599999999998</v>
      </c>
      <c r="J76">
        <v>1976.6</v>
      </c>
      <c r="K76">
        <v>2</v>
      </c>
      <c r="L76">
        <v>1981.6743109473059</v>
      </c>
      <c r="M76">
        <v>1688.8574999999998</v>
      </c>
      <c r="N76">
        <v>68014.805999999997</v>
      </c>
      <c r="O76">
        <v>24134.286</v>
      </c>
      <c r="P76">
        <v>149.38049999999998</v>
      </c>
      <c r="Q76">
        <v>8.8450624164560954E-2</v>
      </c>
      <c r="R76">
        <v>0.35483870967741937</v>
      </c>
    </row>
    <row r="77" spans="1:18" x14ac:dyDescent="0.2">
      <c r="A77">
        <v>779</v>
      </c>
      <c r="B77">
        <v>115</v>
      </c>
      <c r="C77" s="1">
        <v>45303</v>
      </c>
      <c r="D77">
        <v>21</v>
      </c>
      <c r="E77">
        <v>6</v>
      </c>
      <c r="F77">
        <v>4409.8031999999994</v>
      </c>
      <c r="G77" t="s">
        <v>127</v>
      </c>
      <c r="H77" t="s">
        <v>10</v>
      </c>
      <c r="I77">
        <v>2814.7679999999996</v>
      </c>
      <c r="J77">
        <v>4691.28</v>
      </c>
      <c r="K77">
        <v>2</v>
      </c>
      <c r="L77">
        <v>5288.6863569387597</v>
      </c>
      <c r="M77">
        <v>4456.5325000000003</v>
      </c>
      <c r="N77">
        <v>92605.867199999993</v>
      </c>
      <c r="O77">
        <v>33495.739199999996</v>
      </c>
      <c r="P77">
        <v>-46.729300000000876</v>
      </c>
      <c r="Q77">
        <v>-1.0485573705566126E-2</v>
      </c>
      <c r="R77">
        <v>0.36170212765957444</v>
      </c>
    </row>
    <row r="78" spans="1:18" x14ac:dyDescent="0.2">
      <c r="A78">
        <v>777</v>
      </c>
      <c r="B78">
        <v>114</v>
      </c>
      <c r="C78" s="1">
        <v>45229</v>
      </c>
      <c r="D78">
        <v>42</v>
      </c>
      <c r="E78">
        <v>8</v>
      </c>
      <c r="F78">
        <v>7032.8572000000004</v>
      </c>
      <c r="G78" t="s">
        <v>126</v>
      </c>
      <c r="H78" t="s">
        <v>35</v>
      </c>
      <c r="I78">
        <v>4586.6459999999997</v>
      </c>
      <c r="J78">
        <v>7644.41</v>
      </c>
      <c r="K78">
        <v>2</v>
      </c>
      <c r="L78">
        <v>9290.2911564089172</v>
      </c>
      <c r="M78">
        <v>6494.3074999999999</v>
      </c>
      <c r="N78">
        <v>295380.0024</v>
      </c>
      <c r="O78">
        <v>102740.87040000003</v>
      </c>
      <c r="P78">
        <v>538.54970000000048</v>
      </c>
      <c r="Q78">
        <v>8.2926424410916869E-2</v>
      </c>
      <c r="R78">
        <v>0.34782608695652184</v>
      </c>
    </row>
    <row r="79" spans="1:18" x14ac:dyDescent="0.2">
      <c r="A79">
        <v>776</v>
      </c>
      <c r="B79">
        <v>43</v>
      </c>
      <c r="C79" s="1">
        <v>45639</v>
      </c>
      <c r="D79">
        <v>43</v>
      </c>
      <c r="E79">
        <v>9</v>
      </c>
      <c r="F79">
        <v>2934.7318</v>
      </c>
      <c r="G79" t="s">
        <v>55</v>
      </c>
      <c r="H79" t="s">
        <v>17</v>
      </c>
      <c r="I79">
        <v>1934.9879999999998</v>
      </c>
      <c r="J79">
        <v>3224.98</v>
      </c>
      <c r="K79">
        <v>2</v>
      </c>
      <c r="L79">
        <v>3394.9764119472179</v>
      </c>
      <c r="M79">
        <v>445.53000000000003</v>
      </c>
      <c r="N79">
        <v>126193.46739999999</v>
      </c>
      <c r="O79">
        <v>42988.983400000012</v>
      </c>
      <c r="P79">
        <v>2489.2017999999998</v>
      </c>
      <c r="Q79">
        <v>5.5870576616613912</v>
      </c>
      <c r="R79">
        <v>0.34065934065934078</v>
      </c>
    </row>
    <row r="80" spans="1:18" x14ac:dyDescent="0.2">
      <c r="A80">
        <v>771</v>
      </c>
      <c r="B80">
        <v>42</v>
      </c>
      <c r="C80" s="1">
        <v>45913</v>
      </c>
      <c r="D80">
        <v>34</v>
      </c>
      <c r="E80">
        <v>8</v>
      </c>
      <c r="F80">
        <v>393.39200000000005</v>
      </c>
      <c r="G80" t="s">
        <v>54</v>
      </c>
      <c r="H80" t="s">
        <v>19</v>
      </c>
      <c r="I80">
        <v>256.56</v>
      </c>
      <c r="J80">
        <v>427.6</v>
      </c>
      <c r="K80">
        <v>2</v>
      </c>
      <c r="L80">
        <v>449.37714302831074</v>
      </c>
      <c r="M80">
        <v>513.45666666666671</v>
      </c>
      <c r="N80">
        <v>13375.328000000001</v>
      </c>
      <c r="O80">
        <v>4652.2880000000014</v>
      </c>
      <c r="P80">
        <v>-120.06466666666665</v>
      </c>
      <c r="Q80">
        <v>-0.23383602640923928</v>
      </c>
      <c r="R80">
        <v>0.34782608695652178</v>
      </c>
    </row>
    <row r="81" spans="1:18" x14ac:dyDescent="0.2">
      <c r="A81">
        <v>767</v>
      </c>
      <c r="B81">
        <v>87</v>
      </c>
      <c r="C81" s="1">
        <v>45094</v>
      </c>
      <c r="D81">
        <v>19</v>
      </c>
      <c r="E81">
        <v>5</v>
      </c>
      <c r="F81">
        <v>3889.4139999999998</v>
      </c>
      <c r="G81" t="s">
        <v>99</v>
      </c>
      <c r="H81" t="s">
        <v>35</v>
      </c>
      <c r="I81">
        <v>2456.4719999999998</v>
      </c>
      <c r="J81">
        <v>4094.12</v>
      </c>
      <c r="K81">
        <v>2</v>
      </c>
      <c r="L81">
        <v>4095.5000662558614</v>
      </c>
      <c r="M81">
        <v>493.79250000000002</v>
      </c>
      <c r="N81">
        <v>73898.865999999995</v>
      </c>
      <c r="O81">
        <v>27225.898000000001</v>
      </c>
      <c r="P81">
        <v>3395.6214999999997</v>
      </c>
      <c r="Q81">
        <v>6.8766161899988347</v>
      </c>
      <c r="R81">
        <v>0.36842105263157898</v>
      </c>
    </row>
    <row r="82" spans="1:18" x14ac:dyDescent="0.2">
      <c r="A82">
        <v>762</v>
      </c>
      <c r="B82">
        <v>115</v>
      </c>
      <c r="C82" s="1">
        <v>45516</v>
      </c>
      <c r="D82">
        <v>44</v>
      </c>
      <c r="E82">
        <v>5</v>
      </c>
      <c r="F82">
        <v>4456.7159999999994</v>
      </c>
      <c r="G82" t="s">
        <v>127</v>
      </c>
      <c r="H82" t="s">
        <v>10</v>
      </c>
      <c r="I82">
        <v>2814.7679999999996</v>
      </c>
      <c r="J82">
        <v>4691.28</v>
      </c>
      <c r="K82">
        <v>2</v>
      </c>
      <c r="L82">
        <v>5872.3791505606641</v>
      </c>
      <c r="M82">
        <v>4456.5325000000003</v>
      </c>
      <c r="N82">
        <v>196095.50399999999</v>
      </c>
      <c r="O82">
        <v>72245.712</v>
      </c>
      <c r="P82">
        <v>0.18349999999918509</v>
      </c>
      <c r="Q82">
        <v>4.1175510332121463E-5</v>
      </c>
      <c r="R82">
        <v>0.36842105263157898</v>
      </c>
    </row>
    <row r="83" spans="1:18" x14ac:dyDescent="0.2">
      <c r="A83">
        <v>757</v>
      </c>
      <c r="B83">
        <v>87</v>
      </c>
      <c r="C83" s="1">
        <v>45961</v>
      </c>
      <c r="D83">
        <v>33</v>
      </c>
      <c r="E83">
        <v>10</v>
      </c>
      <c r="F83">
        <v>3684.7080000000001</v>
      </c>
      <c r="G83" t="s">
        <v>99</v>
      </c>
      <c r="H83" t="s">
        <v>35</v>
      </c>
      <c r="I83">
        <v>2456.4719999999998</v>
      </c>
      <c r="J83">
        <v>4094.12</v>
      </c>
      <c r="K83">
        <v>2</v>
      </c>
      <c r="L83">
        <v>4650.0180806354456</v>
      </c>
      <c r="M83">
        <v>493.79250000000002</v>
      </c>
      <c r="N83">
        <v>121595.364</v>
      </c>
      <c r="O83">
        <v>40531.788000000008</v>
      </c>
      <c r="P83">
        <v>3190.9155000000001</v>
      </c>
      <c r="Q83">
        <v>6.4620574431567919</v>
      </c>
      <c r="R83">
        <v>0.33333333333333337</v>
      </c>
    </row>
    <row r="84" spans="1:18" x14ac:dyDescent="0.2">
      <c r="A84">
        <v>83</v>
      </c>
      <c r="B84">
        <v>29</v>
      </c>
      <c r="C84" s="1">
        <v>45888</v>
      </c>
      <c r="D84">
        <v>29</v>
      </c>
      <c r="E84">
        <v>2</v>
      </c>
      <c r="F84">
        <v>7323.54</v>
      </c>
      <c r="G84" t="s">
        <v>41</v>
      </c>
      <c r="H84" t="s">
        <v>35</v>
      </c>
      <c r="I84">
        <v>4483.8</v>
      </c>
      <c r="J84">
        <v>7473</v>
      </c>
      <c r="K84">
        <v>2</v>
      </c>
      <c r="L84">
        <v>7782.0528660720329</v>
      </c>
      <c r="M84">
        <v>1925.7060000000001</v>
      </c>
      <c r="N84">
        <v>212382.66</v>
      </c>
      <c r="O84">
        <v>82352.459999999992</v>
      </c>
      <c r="P84">
        <v>5397.8339999999998</v>
      </c>
      <c r="Q84">
        <v>2.8030415857872382</v>
      </c>
      <c r="R84">
        <v>0.38775510204081626</v>
      </c>
    </row>
    <row r="85" spans="1:18" x14ac:dyDescent="0.2">
      <c r="A85">
        <v>750</v>
      </c>
      <c r="B85">
        <v>60</v>
      </c>
      <c r="C85" s="1">
        <v>45994</v>
      </c>
      <c r="D85">
        <v>41</v>
      </c>
      <c r="E85">
        <v>10</v>
      </c>
      <c r="F85">
        <v>2495.3490000000002</v>
      </c>
      <c r="G85" t="s">
        <v>72</v>
      </c>
      <c r="H85" t="s">
        <v>10</v>
      </c>
      <c r="I85">
        <v>1663.566</v>
      </c>
      <c r="J85">
        <v>2772.61</v>
      </c>
      <c r="K85">
        <v>2</v>
      </c>
      <c r="L85">
        <v>3145.8174581806807</v>
      </c>
      <c r="M85">
        <v>3047.7533333333336</v>
      </c>
      <c r="N85">
        <v>102309.30900000001</v>
      </c>
      <c r="O85">
        <v>34103.103000000003</v>
      </c>
      <c r="P85">
        <v>-552.4043333333334</v>
      </c>
      <c r="Q85">
        <v>-0.18124968556072998</v>
      </c>
      <c r="R85">
        <v>0.33333333333333331</v>
      </c>
    </row>
    <row r="86" spans="1:18" x14ac:dyDescent="0.2">
      <c r="A86">
        <v>743</v>
      </c>
      <c r="B86">
        <v>43</v>
      </c>
      <c r="C86" s="1">
        <v>45375</v>
      </c>
      <c r="D86">
        <v>40</v>
      </c>
      <c r="E86">
        <v>5</v>
      </c>
      <c r="F86">
        <v>3063.7309999999998</v>
      </c>
      <c r="G86" t="s">
        <v>55</v>
      </c>
      <c r="H86" t="s">
        <v>17</v>
      </c>
      <c r="I86">
        <v>1934.9879999999998</v>
      </c>
      <c r="J86">
        <v>3224.98</v>
      </c>
      <c r="K86">
        <v>2</v>
      </c>
      <c r="L86">
        <v>3799.2786886835011</v>
      </c>
      <c r="M86">
        <v>445.53000000000003</v>
      </c>
      <c r="N86">
        <v>122549.23999999999</v>
      </c>
      <c r="O86">
        <v>45149.72</v>
      </c>
      <c r="P86">
        <v>2618.2009999999996</v>
      </c>
      <c r="Q86">
        <v>5.8765986577783753</v>
      </c>
      <c r="R86">
        <v>0.36842105263157898</v>
      </c>
    </row>
    <row r="87" spans="1:18" x14ac:dyDescent="0.2">
      <c r="A87">
        <v>735</v>
      </c>
      <c r="B87">
        <v>82</v>
      </c>
      <c r="C87" s="1">
        <v>45505</v>
      </c>
      <c r="D87">
        <v>48</v>
      </c>
      <c r="E87">
        <v>3</v>
      </c>
      <c r="F87">
        <v>1233.0834</v>
      </c>
      <c r="G87" t="s">
        <v>94</v>
      </c>
      <c r="H87" t="s">
        <v>12</v>
      </c>
      <c r="I87">
        <v>762.73199999999997</v>
      </c>
      <c r="J87">
        <v>1271.22</v>
      </c>
      <c r="K87">
        <v>2</v>
      </c>
      <c r="L87">
        <v>1550.9713290444424</v>
      </c>
      <c r="M87">
        <v>2617.7080000000001</v>
      </c>
      <c r="N87">
        <v>59188.003199999999</v>
      </c>
      <c r="O87">
        <v>22576.867200000001</v>
      </c>
      <c r="P87">
        <v>-1384.6246000000001</v>
      </c>
      <c r="Q87">
        <v>-0.52894539803522778</v>
      </c>
      <c r="R87">
        <v>0.3814432989690722</v>
      </c>
    </row>
    <row r="88" spans="1:18" x14ac:dyDescent="0.2">
      <c r="A88">
        <v>734</v>
      </c>
      <c r="B88">
        <v>58</v>
      </c>
      <c r="C88" s="1">
        <v>45356</v>
      </c>
      <c r="D88">
        <v>27</v>
      </c>
      <c r="E88">
        <v>6</v>
      </c>
      <c r="F88">
        <v>1070.2651999999998</v>
      </c>
      <c r="G88" t="s">
        <v>70</v>
      </c>
      <c r="H88" t="s">
        <v>6</v>
      </c>
      <c r="I88">
        <v>683.14799999999991</v>
      </c>
      <c r="J88">
        <v>1138.58</v>
      </c>
      <c r="K88">
        <v>2</v>
      </c>
      <c r="L88">
        <v>1234.5456713227345</v>
      </c>
      <c r="M88">
        <v>1439.8525</v>
      </c>
      <c r="N88">
        <v>28897.160399999993</v>
      </c>
      <c r="O88">
        <v>10452.164399999998</v>
      </c>
      <c r="P88">
        <v>-369.58730000000014</v>
      </c>
      <c r="Q88">
        <v>-0.25668413952123581</v>
      </c>
      <c r="R88">
        <v>0.36170212765957449</v>
      </c>
    </row>
    <row r="89" spans="1:18" x14ac:dyDescent="0.2">
      <c r="A89">
        <v>731</v>
      </c>
      <c r="B89">
        <v>81</v>
      </c>
      <c r="C89" s="1">
        <v>45731</v>
      </c>
      <c r="D89">
        <v>12</v>
      </c>
      <c r="E89">
        <v>4</v>
      </c>
      <c r="F89">
        <v>7452.8735999999999</v>
      </c>
      <c r="G89" t="s">
        <v>93</v>
      </c>
      <c r="H89" t="s">
        <v>8</v>
      </c>
      <c r="I89">
        <v>4658.0459999999994</v>
      </c>
      <c r="J89">
        <v>7763.41</v>
      </c>
      <c r="K89">
        <v>2</v>
      </c>
      <c r="L89">
        <v>8149.8920551136371</v>
      </c>
      <c r="M89">
        <v>290.31399999999996</v>
      </c>
      <c r="N89">
        <v>89434.483200000002</v>
      </c>
      <c r="O89">
        <v>33537.931200000006</v>
      </c>
      <c r="P89">
        <v>7162.5595999999996</v>
      </c>
      <c r="Q89">
        <v>24.671767810026388</v>
      </c>
      <c r="R89">
        <v>0.37500000000000006</v>
      </c>
    </row>
    <row r="90" spans="1:18" x14ac:dyDescent="0.2">
      <c r="A90">
        <v>725</v>
      </c>
      <c r="B90">
        <v>60</v>
      </c>
      <c r="C90" s="1">
        <v>45834</v>
      </c>
      <c r="D90">
        <v>4</v>
      </c>
      <c r="E90">
        <v>4</v>
      </c>
      <c r="F90">
        <v>2661.7056000000002</v>
      </c>
      <c r="G90" t="s">
        <v>72</v>
      </c>
      <c r="H90" t="s">
        <v>10</v>
      </c>
      <c r="I90">
        <v>1663.566</v>
      </c>
      <c r="J90">
        <v>2772.61</v>
      </c>
      <c r="K90">
        <v>2</v>
      </c>
      <c r="L90">
        <v>3084.412633526978</v>
      </c>
      <c r="M90">
        <v>3047.7533333333336</v>
      </c>
      <c r="N90">
        <v>10646.822400000001</v>
      </c>
      <c r="O90">
        <v>3992.5584000000008</v>
      </c>
      <c r="P90">
        <v>-386.04773333333333</v>
      </c>
      <c r="Q90">
        <v>-0.12666633126477864</v>
      </c>
      <c r="R90">
        <v>0.37500000000000006</v>
      </c>
    </row>
    <row r="91" spans="1:18" x14ac:dyDescent="0.2">
      <c r="A91">
        <v>714</v>
      </c>
      <c r="B91">
        <v>95</v>
      </c>
      <c r="C91" s="1">
        <v>45176</v>
      </c>
      <c r="D91">
        <v>9</v>
      </c>
      <c r="E91">
        <v>8</v>
      </c>
      <c r="F91">
        <v>6411.1764000000003</v>
      </c>
      <c r="G91" t="s">
        <v>107</v>
      </c>
      <c r="H91" t="s">
        <v>6</v>
      </c>
      <c r="I91">
        <v>4181.2020000000002</v>
      </c>
      <c r="J91">
        <v>6968.67</v>
      </c>
      <c r="K91">
        <v>2</v>
      </c>
      <c r="L91">
        <v>7085.7663270964213</v>
      </c>
      <c r="M91">
        <v>2797.7239999999997</v>
      </c>
      <c r="N91">
        <v>57700.587599999999</v>
      </c>
      <c r="O91">
        <v>20069.7696</v>
      </c>
      <c r="P91">
        <v>3613.4524000000006</v>
      </c>
      <c r="Q91">
        <v>1.2915685750274155</v>
      </c>
      <c r="R91">
        <v>0.34782608695652173</v>
      </c>
    </row>
    <row r="92" spans="1:18" x14ac:dyDescent="0.2">
      <c r="A92">
        <v>700</v>
      </c>
      <c r="B92">
        <v>60</v>
      </c>
      <c r="C92" s="1">
        <v>45155</v>
      </c>
      <c r="D92">
        <v>31</v>
      </c>
      <c r="E92">
        <v>7</v>
      </c>
      <c r="F92">
        <v>2578.5272999999997</v>
      </c>
      <c r="G92" t="s">
        <v>72</v>
      </c>
      <c r="H92" t="s">
        <v>10</v>
      </c>
      <c r="I92">
        <v>1663.566</v>
      </c>
      <c r="J92">
        <v>2772.61</v>
      </c>
      <c r="K92">
        <v>2</v>
      </c>
      <c r="L92">
        <v>2897.1926951446126</v>
      </c>
      <c r="M92">
        <v>3047.7533333333336</v>
      </c>
      <c r="N92">
        <v>79934.34629999999</v>
      </c>
      <c r="O92">
        <v>28363.800299999992</v>
      </c>
      <c r="P92">
        <v>-469.22603333333382</v>
      </c>
      <c r="Q92">
        <v>-0.15395800841275445</v>
      </c>
      <c r="R92">
        <v>0.35483870967741932</v>
      </c>
    </row>
    <row r="93" spans="1:18" x14ac:dyDescent="0.2">
      <c r="A93">
        <v>694</v>
      </c>
      <c r="B93">
        <v>68</v>
      </c>
      <c r="C93" s="1">
        <v>45863</v>
      </c>
      <c r="D93">
        <v>35</v>
      </c>
      <c r="E93">
        <v>9</v>
      </c>
      <c r="F93">
        <v>5499.5758999999998</v>
      </c>
      <c r="G93" t="s">
        <v>80</v>
      </c>
      <c r="H93" t="s">
        <v>14</v>
      </c>
      <c r="I93">
        <v>3626.0939999999996</v>
      </c>
      <c r="J93">
        <v>6043.49</v>
      </c>
      <c r="K93">
        <v>2</v>
      </c>
      <c r="L93">
        <v>6898.8315276734647</v>
      </c>
      <c r="M93">
        <v>796.21333333333325</v>
      </c>
      <c r="N93">
        <v>192485.15649999998</v>
      </c>
      <c r="O93">
        <v>65571.866500000004</v>
      </c>
      <c r="P93">
        <v>4703.3625666666667</v>
      </c>
      <c r="Q93">
        <v>5.9071637835755917</v>
      </c>
      <c r="R93">
        <v>0.34065934065934073</v>
      </c>
    </row>
    <row r="94" spans="1:18" x14ac:dyDescent="0.2">
      <c r="A94">
        <v>690</v>
      </c>
      <c r="B94">
        <v>87</v>
      </c>
      <c r="C94" s="1">
        <v>44975</v>
      </c>
      <c r="D94">
        <v>39</v>
      </c>
      <c r="E94">
        <v>2</v>
      </c>
      <c r="F94">
        <v>4012.2375999999999</v>
      </c>
      <c r="G94" t="s">
        <v>99</v>
      </c>
      <c r="H94" t="s">
        <v>35</v>
      </c>
      <c r="I94">
        <v>2456.4719999999998</v>
      </c>
      <c r="J94">
        <v>4094.12</v>
      </c>
      <c r="K94">
        <v>2</v>
      </c>
      <c r="L94">
        <v>4237.0601720213226</v>
      </c>
      <c r="M94">
        <v>493.79250000000002</v>
      </c>
      <c r="N94">
        <v>156477.26639999999</v>
      </c>
      <c r="O94">
        <v>60674.858400000005</v>
      </c>
      <c r="P94">
        <v>3518.4450999999999</v>
      </c>
      <c r="Q94">
        <v>7.1253514381040617</v>
      </c>
      <c r="R94">
        <v>0.38775510204081637</v>
      </c>
    </row>
    <row r="95" spans="1:18" x14ac:dyDescent="0.2">
      <c r="A95">
        <v>689</v>
      </c>
      <c r="B95">
        <v>60</v>
      </c>
      <c r="C95" s="1">
        <v>45530</v>
      </c>
      <c r="D95">
        <v>25</v>
      </c>
      <c r="E95">
        <v>9</v>
      </c>
      <c r="F95">
        <v>2523.0751</v>
      </c>
      <c r="G95" t="s">
        <v>72</v>
      </c>
      <c r="H95" t="s">
        <v>10</v>
      </c>
      <c r="I95">
        <v>1663.566</v>
      </c>
      <c r="J95">
        <v>2772.61</v>
      </c>
      <c r="K95">
        <v>2</v>
      </c>
      <c r="L95">
        <v>3011.2150331078224</v>
      </c>
      <c r="M95">
        <v>3047.7533333333336</v>
      </c>
      <c r="N95">
        <v>63076.877500000002</v>
      </c>
      <c r="O95">
        <v>21487.727500000001</v>
      </c>
      <c r="P95">
        <v>-524.67823333333354</v>
      </c>
      <c r="Q95">
        <v>-0.17215245984473815</v>
      </c>
      <c r="R95">
        <v>0.34065934065934067</v>
      </c>
    </row>
    <row r="96" spans="1:18" x14ac:dyDescent="0.2">
      <c r="A96">
        <v>686</v>
      </c>
      <c r="B96">
        <v>29</v>
      </c>
      <c r="C96" s="1">
        <v>45970</v>
      </c>
      <c r="D96">
        <v>35</v>
      </c>
      <c r="E96">
        <v>6</v>
      </c>
      <c r="F96">
        <v>7024.62</v>
      </c>
      <c r="G96" t="s">
        <v>41</v>
      </c>
      <c r="H96" t="s">
        <v>35</v>
      </c>
      <c r="I96">
        <v>4483.8</v>
      </c>
      <c r="J96">
        <v>7473</v>
      </c>
      <c r="K96">
        <v>2</v>
      </c>
      <c r="L96">
        <v>8154.8936656696114</v>
      </c>
      <c r="M96">
        <v>1925.7060000000001</v>
      </c>
      <c r="N96">
        <v>245861.69999999998</v>
      </c>
      <c r="O96">
        <v>88928.699999999983</v>
      </c>
      <c r="P96">
        <v>5098.9139999999998</v>
      </c>
      <c r="Q96">
        <v>2.647815398612249</v>
      </c>
      <c r="R96">
        <v>0.36170212765957444</v>
      </c>
    </row>
    <row r="97" spans="1:18" x14ac:dyDescent="0.2">
      <c r="A97">
        <v>96</v>
      </c>
      <c r="B97">
        <v>115</v>
      </c>
      <c r="C97" s="1">
        <v>45915</v>
      </c>
      <c r="D97">
        <v>49</v>
      </c>
      <c r="E97">
        <v>2</v>
      </c>
      <c r="F97">
        <v>4597.4543999999996</v>
      </c>
      <c r="G97" t="s">
        <v>127</v>
      </c>
      <c r="H97" t="s">
        <v>10</v>
      </c>
      <c r="I97">
        <v>2814.7679999999996</v>
      </c>
      <c r="J97">
        <v>4691.28</v>
      </c>
      <c r="K97">
        <v>2</v>
      </c>
      <c r="L97">
        <v>5288.6877746402033</v>
      </c>
      <c r="M97">
        <v>4456.5325000000003</v>
      </c>
      <c r="N97">
        <v>225275.26559999998</v>
      </c>
      <c r="O97">
        <v>87351.633600000001</v>
      </c>
      <c r="P97">
        <v>140.92189999999937</v>
      </c>
      <c r="Q97">
        <v>3.1621423158026865E-2</v>
      </c>
      <c r="R97">
        <v>0.38775510204081637</v>
      </c>
    </row>
    <row r="98" spans="1:18" x14ac:dyDescent="0.2">
      <c r="A98">
        <v>683</v>
      </c>
      <c r="B98">
        <v>57</v>
      </c>
      <c r="C98" s="1">
        <v>45259</v>
      </c>
      <c r="D98">
        <v>21</v>
      </c>
      <c r="E98">
        <v>2</v>
      </c>
      <c r="F98">
        <v>6675.5150000000003</v>
      </c>
      <c r="G98" t="s">
        <v>69</v>
      </c>
      <c r="H98" t="s">
        <v>14</v>
      </c>
      <c r="I98">
        <v>4087.0499999999997</v>
      </c>
      <c r="J98">
        <v>6811.75</v>
      </c>
      <c r="K98">
        <v>2</v>
      </c>
      <c r="L98">
        <v>6824.8302075175325</v>
      </c>
      <c r="M98">
        <v>1836.9825000000001</v>
      </c>
      <c r="N98">
        <v>140185.815</v>
      </c>
      <c r="O98">
        <v>54357.765000000014</v>
      </c>
      <c r="P98">
        <v>4838.5325000000003</v>
      </c>
      <c r="Q98">
        <v>2.633956774220767</v>
      </c>
      <c r="R98">
        <v>0.38775510204081642</v>
      </c>
    </row>
    <row r="99" spans="1:18" x14ac:dyDescent="0.2">
      <c r="A99">
        <v>675</v>
      </c>
      <c r="B99">
        <v>115</v>
      </c>
      <c r="C99" s="1">
        <v>45268</v>
      </c>
      <c r="D99">
        <v>35</v>
      </c>
      <c r="E99">
        <v>10</v>
      </c>
      <c r="F99">
        <v>4222.152</v>
      </c>
      <c r="G99" t="s">
        <v>127</v>
      </c>
      <c r="H99" t="s">
        <v>10</v>
      </c>
      <c r="I99">
        <v>2814.7679999999996</v>
      </c>
      <c r="J99">
        <v>4691.28</v>
      </c>
      <c r="K99">
        <v>2</v>
      </c>
      <c r="L99">
        <v>4978.5109200665911</v>
      </c>
      <c r="M99">
        <v>4456.5325000000003</v>
      </c>
      <c r="N99">
        <v>147775.32</v>
      </c>
      <c r="O99">
        <v>49258.440000000017</v>
      </c>
      <c r="P99">
        <v>-234.38050000000021</v>
      </c>
      <c r="Q99">
        <v>-5.2592570569158913E-2</v>
      </c>
      <c r="R99">
        <v>0.33333333333333343</v>
      </c>
    </row>
    <row r="100" spans="1:18" x14ac:dyDescent="0.2">
      <c r="A100">
        <v>674</v>
      </c>
      <c r="B100">
        <v>99</v>
      </c>
      <c r="C100" s="1">
        <v>45731</v>
      </c>
      <c r="D100">
        <v>37</v>
      </c>
      <c r="E100">
        <v>2</v>
      </c>
      <c r="F100">
        <v>2003.1004</v>
      </c>
      <c r="G100" t="s">
        <v>111</v>
      </c>
      <c r="H100" t="s">
        <v>17</v>
      </c>
      <c r="I100">
        <v>1226.3879999999999</v>
      </c>
      <c r="J100">
        <v>2043.98</v>
      </c>
      <c r="K100">
        <v>2</v>
      </c>
      <c r="L100">
        <v>2458.3457415161542</v>
      </c>
      <c r="M100">
        <v>958.76666666666654</v>
      </c>
      <c r="N100">
        <v>74114.714800000002</v>
      </c>
      <c r="O100">
        <v>28738.358800000005</v>
      </c>
      <c r="P100">
        <v>1044.3337333333334</v>
      </c>
      <c r="Q100">
        <v>1.0892470187393528</v>
      </c>
      <c r="R100">
        <v>0.38775510204081637</v>
      </c>
    </row>
    <row r="101" spans="1:18" x14ac:dyDescent="0.2">
      <c r="A101">
        <v>669</v>
      </c>
      <c r="B101">
        <v>87</v>
      </c>
      <c r="C101" s="1">
        <v>45068</v>
      </c>
      <c r="D101">
        <v>34</v>
      </c>
      <c r="E101">
        <v>9</v>
      </c>
      <c r="F101">
        <v>3725.6491999999998</v>
      </c>
      <c r="G101" t="s">
        <v>99</v>
      </c>
      <c r="H101" t="s">
        <v>35</v>
      </c>
      <c r="I101">
        <v>2456.4719999999998</v>
      </c>
      <c r="J101">
        <v>4094.12</v>
      </c>
      <c r="K101">
        <v>2</v>
      </c>
      <c r="L101">
        <v>4489.0652032488024</v>
      </c>
      <c r="M101">
        <v>493.79250000000002</v>
      </c>
      <c r="N101">
        <v>126672.07279999999</v>
      </c>
      <c r="O101">
        <v>43152.024799999999</v>
      </c>
      <c r="P101">
        <v>3231.8566999999998</v>
      </c>
      <c r="Q101">
        <v>6.5449691925251994</v>
      </c>
      <c r="R101">
        <v>0.34065934065934067</v>
      </c>
    </row>
    <row r="102" spans="1:18" x14ac:dyDescent="0.2">
      <c r="A102">
        <v>668</v>
      </c>
      <c r="B102">
        <v>34</v>
      </c>
      <c r="C102" s="1">
        <v>45977</v>
      </c>
      <c r="D102">
        <v>6</v>
      </c>
      <c r="E102">
        <v>5</v>
      </c>
      <c r="F102">
        <v>1238.2205000000001</v>
      </c>
      <c r="G102" t="s">
        <v>46</v>
      </c>
      <c r="H102" t="s">
        <v>19</v>
      </c>
      <c r="I102">
        <v>782.03399999999999</v>
      </c>
      <c r="J102">
        <v>1303.3900000000001</v>
      </c>
      <c r="K102">
        <v>2</v>
      </c>
      <c r="L102">
        <v>1438.4685351253179</v>
      </c>
      <c r="M102">
        <v>4145.4440000000004</v>
      </c>
      <c r="N102">
        <v>7429.3230000000003</v>
      </c>
      <c r="O102">
        <v>2737.1190000000006</v>
      </c>
      <c r="P102">
        <v>-2907.2235000000001</v>
      </c>
      <c r="Q102">
        <v>-0.70130569849695223</v>
      </c>
      <c r="R102">
        <v>0.36842105263157904</v>
      </c>
    </row>
    <row r="103" spans="1:18" x14ac:dyDescent="0.2">
      <c r="A103">
        <v>102</v>
      </c>
      <c r="B103">
        <v>106</v>
      </c>
      <c r="C103" s="1">
        <v>45495</v>
      </c>
      <c r="D103">
        <v>50</v>
      </c>
      <c r="E103">
        <v>5</v>
      </c>
      <c r="F103">
        <v>1362.3284999999998</v>
      </c>
      <c r="G103" t="s">
        <v>118</v>
      </c>
      <c r="H103" t="s">
        <v>19</v>
      </c>
      <c r="I103">
        <v>860.41800000000001</v>
      </c>
      <c r="J103">
        <v>1434.03</v>
      </c>
      <c r="K103">
        <v>2</v>
      </c>
      <c r="L103">
        <v>1449.2246498436778</v>
      </c>
      <c r="M103">
        <v>695.38400000000001</v>
      </c>
      <c r="N103">
        <v>68116.424999999988</v>
      </c>
      <c r="O103">
        <v>25095.524999999991</v>
      </c>
      <c r="P103">
        <v>666.94449999999983</v>
      </c>
      <c r="Q103">
        <v>0.95910245274553318</v>
      </c>
      <c r="R103">
        <v>0.36842105263157887</v>
      </c>
    </row>
    <row r="104" spans="1:18" x14ac:dyDescent="0.2">
      <c r="A104">
        <v>665</v>
      </c>
      <c r="B104">
        <v>109</v>
      </c>
      <c r="C104" s="1">
        <v>45605</v>
      </c>
      <c r="D104">
        <v>20</v>
      </c>
      <c r="E104">
        <v>9</v>
      </c>
      <c r="F104">
        <v>2015.1858999999999</v>
      </c>
      <c r="G104" t="s">
        <v>121</v>
      </c>
      <c r="H104" t="s">
        <v>10</v>
      </c>
      <c r="I104">
        <v>1328.6939999999997</v>
      </c>
      <c r="J104">
        <v>2214.4899999999998</v>
      </c>
      <c r="K104">
        <v>2</v>
      </c>
      <c r="L104">
        <v>2656.5295211528928</v>
      </c>
      <c r="M104">
        <v>6555.1760000000013</v>
      </c>
      <c r="N104">
        <v>40303.718000000001</v>
      </c>
      <c r="O104">
        <v>13729.838000000003</v>
      </c>
      <c r="P104">
        <v>-4539.9901000000009</v>
      </c>
      <c r="Q104">
        <v>-0.69258096197569674</v>
      </c>
      <c r="R104">
        <v>0.34065934065934073</v>
      </c>
    </row>
    <row r="105" spans="1:18" x14ac:dyDescent="0.2">
      <c r="A105">
        <v>664</v>
      </c>
      <c r="B105">
        <v>91</v>
      </c>
      <c r="C105" s="1">
        <v>44933</v>
      </c>
      <c r="D105">
        <v>24</v>
      </c>
      <c r="E105">
        <v>5</v>
      </c>
      <c r="F105">
        <v>3004.85</v>
      </c>
      <c r="G105" t="s">
        <v>103</v>
      </c>
      <c r="H105" t="s">
        <v>17</v>
      </c>
      <c r="I105">
        <v>1897.8</v>
      </c>
      <c r="J105">
        <v>3163</v>
      </c>
      <c r="K105">
        <v>2</v>
      </c>
      <c r="L105">
        <v>3999.9381175113199</v>
      </c>
      <c r="M105">
        <v>4782.2433333333329</v>
      </c>
      <c r="N105">
        <v>72116.399999999994</v>
      </c>
      <c r="O105">
        <v>26569.199999999997</v>
      </c>
      <c r="P105">
        <v>-1777.393333333333</v>
      </c>
      <c r="Q105">
        <v>-0.37166518084608824</v>
      </c>
      <c r="R105">
        <v>0.36842105263157893</v>
      </c>
    </row>
    <row r="106" spans="1:18" x14ac:dyDescent="0.2">
      <c r="A106">
        <v>659</v>
      </c>
      <c r="B106">
        <v>60</v>
      </c>
      <c r="C106" s="1">
        <v>45546</v>
      </c>
      <c r="D106">
        <v>23</v>
      </c>
      <c r="E106">
        <v>9</v>
      </c>
      <c r="F106">
        <v>2523.0751</v>
      </c>
      <c r="G106" t="s">
        <v>72</v>
      </c>
      <c r="H106" t="s">
        <v>10</v>
      </c>
      <c r="I106">
        <v>1663.566</v>
      </c>
      <c r="J106">
        <v>2772.61</v>
      </c>
      <c r="K106">
        <v>2</v>
      </c>
      <c r="L106">
        <v>3597.6885017543391</v>
      </c>
      <c r="M106">
        <v>3047.7533333333336</v>
      </c>
      <c r="N106">
        <v>58030.727299999999</v>
      </c>
      <c r="O106">
        <v>19768.709299999999</v>
      </c>
      <c r="P106">
        <v>-524.67823333333354</v>
      </c>
      <c r="Q106">
        <v>-0.17215245984473815</v>
      </c>
      <c r="R106">
        <v>0.34065934065934067</v>
      </c>
    </row>
    <row r="107" spans="1:18" x14ac:dyDescent="0.2">
      <c r="A107">
        <v>657</v>
      </c>
      <c r="B107">
        <v>123</v>
      </c>
      <c r="C107" s="1">
        <v>45229</v>
      </c>
      <c r="D107">
        <v>46</v>
      </c>
      <c r="E107">
        <v>3</v>
      </c>
      <c r="F107">
        <v>4488.7914000000001</v>
      </c>
      <c r="G107" t="s">
        <v>135</v>
      </c>
      <c r="H107" t="s">
        <v>17</v>
      </c>
      <c r="I107">
        <v>2776.5719999999997</v>
      </c>
      <c r="J107">
        <v>4627.62</v>
      </c>
      <c r="K107">
        <v>2</v>
      </c>
      <c r="L107">
        <v>5651.7617244794847</v>
      </c>
      <c r="M107">
        <v>809.94800000000009</v>
      </c>
      <c r="N107">
        <v>206484.4044</v>
      </c>
      <c r="O107">
        <v>78762.092400000023</v>
      </c>
      <c r="P107">
        <v>3678.8433999999997</v>
      </c>
      <c r="Q107">
        <v>4.5420735652165316</v>
      </c>
      <c r="R107">
        <v>0.38144329896907225</v>
      </c>
    </row>
    <row r="108" spans="1:18" x14ac:dyDescent="0.2">
      <c r="A108">
        <v>651</v>
      </c>
      <c r="B108">
        <v>82</v>
      </c>
      <c r="C108" s="1">
        <v>45532</v>
      </c>
      <c r="D108">
        <v>25</v>
      </c>
      <c r="E108">
        <v>4</v>
      </c>
      <c r="F108">
        <v>1220.3712</v>
      </c>
      <c r="G108" t="s">
        <v>94</v>
      </c>
      <c r="H108" t="s">
        <v>12</v>
      </c>
      <c r="I108">
        <v>762.73199999999997</v>
      </c>
      <c r="J108">
        <v>1271.22</v>
      </c>
      <c r="K108">
        <v>2</v>
      </c>
      <c r="L108">
        <v>1467.748284816425</v>
      </c>
      <c r="M108">
        <v>2617.7080000000001</v>
      </c>
      <c r="N108">
        <v>30509.280000000002</v>
      </c>
      <c r="O108">
        <v>11440.980000000001</v>
      </c>
      <c r="P108">
        <v>-1397.3368</v>
      </c>
      <c r="Q108">
        <v>-0.53380163104517386</v>
      </c>
      <c r="R108">
        <v>0.375</v>
      </c>
    </row>
    <row r="109" spans="1:18" x14ac:dyDescent="0.2">
      <c r="A109">
        <v>647</v>
      </c>
      <c r="B109">
        <v>120</v>
      </c>
      <c r="C109" s="1">
        <v>45837</v>
      </c>
      <c r="D109">
        <v>45</v>
      </c>
      <c r="E109">
        <v>3</v>
      </c>
      <c r="F109">
        <v>1917.3019999999999</v>
      </c>
      <c r="G109" t="s">
        <v>132</v>
      </c>
      <c r="H109" t="s">
        <v>8</v>
      </c>
      <c r="I109">
        <v>1185.9599999999998</v>
      </c>
      <c r="J109">
        <v>1976.6</v>
      </c>
      <c r="K109">
        <v>2</v>
      </c>
      <c r="L109">
        <v>2514.3362294478097</v>
      </c>
      <c r="M109">
        <v>1688.8574999999998</v>
      </c>
      <c r="N109">
        <v>86278.59</v>
      </c>
      <c r="O109">
        <v>32910.390000000007</v>
      </c>
      <c r="P109">
        <v>228.44450000000006</v>
      </c>
      <c r="Q109">
        <v>0.13526570477378944</v>
      </c>
      <c r="R109">
        <v>0.38144329896907225</v>
      </c>
    </row>
    <row r="110" spans="1:18" x14ac:dyDescent="0.2">
      <c r="A110">
        <v>109</v>
      </c>
      <c r="B110">
        <v>83</v>
      </c>
      <c r="C110" s="1">
        <v>45801</v>
      </c>
      <c r="D110">
        <v>32</v>
      </c>
      <c r="E110">
        <v>4</v>
      </c>
      <c r="F110">
        <v>3663.7727999999997</v>
      </c>
      <c r="G110" t="s">
        <v>95</v>
      </c>
      <c r="H110" t="s">
        <v>14</v>
      </c>
      <c r="I110">
        <v>2289.8579999999997</v>
      </c>
      <c r="J110">
        <v>3816.43</v>
      </c>
      <c r="K110">
        <v>2</v>
      </c>
      <c r="L110">
        <v>4469.2280838586084</v>
      </c>
      <c r="M110">
        <v>2990.2349999999997</v>
      </c>
      <c r="N110">
        <v>117240.72959999999</v>
      </c>
      <c r="O110">
        <v>43965.2736</v>
      </c>
      <c r="P110">
        <v>673.53780000000006</v>
      </c>
      <c r="Q110">
        <v>0.22524577499761728</v>
      </c>
      <c r="R110">
        <v>0.37500000000000006</v>
      </c>
    </row>
    <row r="111" spans="1:18" x14ac:dyDescent="0.2">
      <c r="A111">
        <v>646</v>
      </c>
      <c r="B111">
        <v>8</v>
      </c>
      <c r="C111" s="1">
        <v>45418</v>
      </c>
      <c r="D111">
        <v>13</v>
      </c>
      <c r="E111">
        <v>3</v>
      </c>
      <c r="F111">
        <v>5474.6217999999999</v>
      </c>
      <c r="G111" t="s">
        <v>18</v>
      </c>
      <c r="H111" t="s">
        <v>19</v>
      </c>
      <c r="I111">
        <v>3386.3639999999996</v>
      </c>
      <c r="J111">
        <v>5643.94</v>
      </c>
      <c r="K111">
        <v>2</v>
      </c>
      <c r="L111">
        <v>6211.4023021400917</v>
      </c>
      <c r="M111">
        <v>2853.6650000000004</v>
      </c>
      <c r="N111">
        <v>71170.083400000003</v>
      </c>
      <c r="O111">
        <v>27147.351400000003</v>
      </c>
      <c r="P111">
        <v>2620.9567999999995</v>
      </c>
      <c r="Q111">
        <v>0.91845286675205362</v>
      </c>
      <c r="R111">
        <v>0.3814432989690722</v>
      </c>
    </row>
    <row r="112" spans="1:18" x14ac:dyDescent="0.2">
      <c r="A112">
        <v>644</v>
      </c>
      <c r="B112">
        <v>107</v>
      </c>
      <c r="C112" s="1">
        <v>45280</v>
      </c>
      <c r="D112">
        <v>15</v>
      </c>
      <c r="E112">
        <v>4</v>
      </c>
      <c r="F112">
        <v>1505.184</v>
      </c>
      <c r="G112" t="s">
        <v>119</v>
      </c>
      <c r="H112" t="s">
        <v>14</v>
      </c>
      <c r="I112">
        <v>940.74</v>
      </c>
      <c r="J112">
        <v>1567.9</v>
      </c>
      <c r="K112">
        <v>2</v>
      </c>
      <c r="L112">
        <v>1740.6449386823438</v>
      </c>
      <c r="M112">
        <v>979.96</v>
      </c>
      <c r="N112">
        <v>22577.759999999998</v>
      </c>
      <c r="O112">
        <v>8466.66</v>
      </c>
      <c r="P112">
        <v>525.22399999999993</v>
      </c>
      <c r="Q112">
        <v>0.53596473325441851</v>
      </c>
      <c r="R112">
        <v>0.375</v>
      </c>
    </row>
    <row r="113" spans="1:18" x14ac:dyDescent="0.2">
      <c r="A113">
        <v>642</v>
      </c>
      <c r="B113">
        <v>106</v>
      </c>
      <c r="C113" s="1">
        <v>45885</v>
      </c>
      <c r="D113">
        <v>7</v>
      </c>
      <c r="E113">
        <v>2</v>
      </c>
      <c r="F113">
        <v>1405.3494000000001</v>
      </c>
      <c r="G113" t="s">
        <v>118</v>
      </c>
      <c r="H113" t="s">
        <v>19</v>
      </c>
      <c r="I113">
        <v>860.41800000000001</v>
      </c>
      <c r="J113">
        <v>1434.03</v>
      </c>
      <c r="K113">
        <v>2</v>
      </c>
      <c r="L113">
        <v>1711.5451298653054</v>
      </c>
      <c r="M113">
        <v>695.38400000000001</v>
      </c>
      <c r="N113">
        <v>9837.4458000000013</v>
      </c>
      <c r="O113">
        <v>3814.5198000000005</v>
      </c>
      <c r="P113">
        <v>709.96540000000005</v>
      </c>
      <c r="Q113">
        <v>1.0209688459901292</v>
      </c>
      <c r="R113">
        <v>0.38775510204081631</v>
      </c>
    </row>
    <row r="114" spans="1:18" x14ac:dyDescent="0.2">
      <c r="A114">
        <v>113</v>
      </c>
      <c r="B114">
        <v>144</v>
      </c>
      <c r="C114" s="1">
        <v>45676</v>
      </c>
      <c r="D114">
        <v>28</v>
      </c>
      <c r="E114">
        <v>2</v>
      </c>
      <c r="F114">
        <v>1546.6556</v>
      </c>
      <c r="G114" t="s">
        <v>156</v>
      </c>
      <c r="H114" t="s">
        <v>8</v>
      </c>
      <c r="I114">
        <v>946.93200000000002</v>
      </c>
      <c r="J114">
        <v>1578.22</v>
      </c>
      <c r="K114">
        <v>2</v>
      </c>
      <c r="L114">
        <v>1590.3232965394957</v>
      </c>
      <c r="M114">
        <v>6414.0239999999994</v>
      </c>
      <c r="N114">
        <v>43306.356800000001</v>
      </c>
      <c r="O114">
        <v>16792.2608</v>
      </c>
      <c r="P114">
        <v>-4867.3683999999994</v>
      </c>
      <c r="Q114">
        <v>-0.75886345295870417</v>
      </c>
      <c r="R114">
        <v>0.38775510204081631</v>
      </c>
    </row>
    <row r="115" spans="1:18" x14ac:dyDescent="0.2">
      <c r="A115">
        <v>640</v>
      </c>
      <c r="B115">
        <v>82</v>
      </c>
      <c r="C115" s="1">
        <v>45189</v>
      </c>
      <c r="D115">
        <v>19</v>
      </c>
      <c r="E115">
        <v>7</v>
      </c>
      <c r="F115">
        <v>1182.2346</v>
      </c>
      <c r="G115" t="s">
        <v>94</v>
      </c>
      <c r="H115" t="s">
        <v>12</v>
      </c>
      <c r="I115">
        <v>762.73199999999997</v>
      </c>
      <c r="J115">
        <v>1271.22</v>
      </c>
      <c r="K115">
        <v>2</v>
      </c>
      <c r="L115">
        <v>1357.086506536039</v>
      </c>
      <c r="M115">
        <v>2617.7080000000001</v>
      </c>
      <c r="N115">
        <v>22462.457399999999</v>
      </c>
      <c r="O115">
        <v>7970.5494000000008</v>
      </c>
      <c r="P115">
        <v>-1435.4734000000001</v>
      </c>
      <c r="Q115">
        <v>-0.54837033007501224</v>
      </c>
      <c r="R115">
        <v>0.35483870967741943</v>
      </c>
    </row>
    <row r="116" spans="1:18" x14ac:dyDescent="0.2">
      <c r="A116">
        <v>638</v>
      </c>
      <c r="B116">
        <v>99</v>
      </c>
      <c r="C116" s="1">
        <v>45841</v>
      </c>
      <c r="D116">
        <v>18</v>
      </c>
      <c r="E116">
        <v>6</v>
      </c>
      <c r="F116">
        <v>1921.3411999999998</v>
      </c>
      <c r="G116" t="s">
        <v>111</v>
      </c>
      <c r="H116" t="s">
        <v>17</v>
      </c>
      <c r="I116">
        <v>1226.3879999999999</v>
      </c>
      <c r="J116">
        <v>2043.98</v>
      </c>
      <c r="K116">
        <v>2</v>
      </c>
      <c r="L116">
        <v>2433.1477252051</v>
      </c>
      <c r="M116">
        <v>958.76666666666654</v>
      </c>
      <c r="N116">
        <v>34584.141599999995</v>
      </c>
      <c r="O116">
        <v>12509.157599999999</v>
      </c>
      <c r="P116">
        <v>962.57453333333331</v>
      </c>
      <c r="Q116">
        <v>1.0039716302193791</v>
      </c>
      <c r="R116">
        <v>0.36170212765957449</v>
      </c>
    </row>
    <row r="117" spans="1:18" x14ac:dyDescent="0.2">
      <c r="A117">
        <v>636</v>
      </c>
      <c r="B117">
        <v>121</v>
      </c>
      <c r="C117" s="1">
        <v>45823</v>
      </c>
      <c r="D117">
        <v>22</v>
      </c>
      <c r="E117">
        <v>3</v>
      </c>
      <c r="F117">
        <v>1467.7846</v>
      </c>
      <c r="G117" t="s">
        <v>133</v>
      </c>
      <c r="H117" t="s">
        <v>10</v>
      </c>
      <c r="I117">
        <v>907.90800000000002</v>
      </c>
      <c r="J117">
        <v>1513.18</v>
      </c>
      <c r="K117">
        <v>2</v>
      </c>
      <c r="L117">
        <v>1543.8225335692443</v>
      </c>
      <c r="M117">
        <v>2967.0200000000004</v>
      </c>
      <c r="N117">
        <v>32291.261200000001</v>
      </c>
      <c r="O117">
        <v>12317.285199999998</v>
      </c>
      <c r="P117">
        <v>-1499.2354000000005</v>
      </c>
      <c r="Q117">
        <v>-0.50530006538547101</v>
      </c>
      <c r="R117">
        <v>0.38144329896907209</v>
      </c>
    </row>
    <row r="118" spans="1:18" x14ac:dyDescent="0.2">
      <c r="A118">
        <v>633</v>
      </c>
      <c r="B118">
        <v>51</v>
      </c>
      <c r="C118" s="1">
        <v>45315</v>
      </c>
      <c r="D118">
        <v>41</v>
      </c>
      <c r="E118">
        <v>10</v>
      </c>
      <c r="F118">
        <v>947.58299999999997</v>
      </c>
      <c r="G118" t="s">
        <v>63</v>
      </c>
      <c r="H118" t="s">
        <v>35</v>
      </c>
      <c r="I118">
        <v>631.72199999999987</v>
      </c>
      <c r="J118">
        <v>1052.8699999999999</v>
      </c>
      <c r="K118">
        <v>2</v>
      </c>
      <c r="L118">
        <v>1323.3493665846249</v>
      </c>
      <c r="M118">
        <v>5383.6833333333334</v>
      </c>
      <c r="N118">
        <v>38850.902999999998</v>
      </c>
      <c r="O118">
        <v>12950.301000000005</v>
      </c>
      <c r="P118">
        <v>-4436.1003333333338</v>
      </c>
      <c r="Q118">
        <v>-0.82398983347831878</v>
      </c>
      <c r="R118">
        <v>0.33333333333333348</v>
      </c>
    </row>
    <row r="119" spans="1:18" x14ac:dyDescent="0.2">
      <c r="A119">
        <v>627</v>
      </c>
      <c r="B119">
        <v>64</v>
      </c>
      <c r="C119" s="1">
        <v>45011</v>
      </c>
      <c r="D119">
        <v>21</v>
      </c>
      <c r="E119">
        <v>2</v>
      </c>
      <c r="F119">
        <v>3136</v>
      </c>
      <c r="G119" t="s">
        <v>76</v>
      </c>
      <c r="H119" t="s">
        <v>10</v>
      </c>
      <c r="I119">
        <v>1920</v>
      </c>
      <c r="J119">
        <v>3200</v>
      </c>
      <c r="K119">
        <v>2</v>
      </c>
      <c r="L119">
        <v>4053.3825610193721</v>
      </c>
      <c r="M119">
        <v>3782.0099999999998</v>
      </c>
      <c r="N119">
        <v>65856</v>
      </c>
      <c r="O119">
        <v>25536</v>
      </c>
      <c r="P119">
        <v>-646.00999999999976</v>
      </c>
      <c r="Q119">
        <v>-0.17081128817745056</v>
      </c>
      <c r="R119">
        <v>0.38775510204081631</v>
      </c>
    </row>
    <row r="120" spans="1:18" x14ac:dyDescent="0.2">
      <c r="A120">
        <v>625</v>
      </c>
      <c r="B120">
        <v>19</v>
      </c>
      <c r="C120" s="1">
        <v>45567</v>
      </c>
      <c r="D120">
        <v>2</v>
      </c>
      <c r="E120">
        <v>6</v>
      </c>
      <c r="F120">
        <v>3206.1801999999998</v>
      </c>
      <c r="G120" t="s">
        <v>30</v>
      </c>
      <c r="H120" t="s">
        <v>8</v>
      </c>
      <c r="I120">
        <v>2046.4979999999998</v>
      </c>
      <c r="J120">
        <v>3410.83</v>
      </c>
      <c r="K120">
        <v>2</v>
      </c>
      <c r="L120">
        <v>3770.0612288633374</v>
      </c>
      <c r="M120">
        <v>1213.8383333333334</v>
      </c>
      <c r="N120">
        <v>6412.3603999999996</v>
      </c>
      <c r="O120">
        <v>2319.3643999999999</v>
      </c>
      <c r="P120">
        <v>1992.3418666666664</v>
      </c>
      <c r="Q120">
        <v>1.6413568528483335</v>
      </c>
      <c r="R120">
        <v>0.36170212765957449</v>
      </c>
    </row>
    <row r="121" spans="1:18" x14ac:dyDescent="0.2">
      <c r="A121">
        <v>621</v>
      </c>
      <c r="B121">
        <v>121</v>
      </c>
      <c r="C121" s="1">
        <v>45697</v>
      </c>
      <c r="D121">
        <v>6</v>
      </c>
      <c r="E121">
        <v>4</v>
      </c>
      <c r="F121">
        <v>1452.6528000000001</v>
      </c>
      <c r="G121" t="s">
        <v>133</v>
      </c>
      <c r="H121" t="s">
        <v>10</v>
      </c>
      <c r="I121">
        <v>907.90800000000002</v>
      </c>
      <c r="J121">
        <v>1513.18</v>
      </c>
      <c r="K121">
        <v>2</v>
      </c>
      <c r="L121">
        <v>1873.0176570414062</v>
      </c>
      <c r="M121">
        <v>2967.0200000000004</v>
      </c>
      <c r="N121">
        <v>8715.9168000000009</v>
      </c>
      <c r="O121">
        <v>3268.4688000000006</v>
      </c>
      <c r="P121">
        <v>-1514.3672000000004</v>
      </c>
      <c r="Q121">
        <v>-0.51040006471139399</v>
      </c>
      <c r="R121">
        <v>0.375</v>
      </c>
    </row>
    <row r="122" spans="1:18" x14ac:dyDescent="0.2">
      <c r="A122">
        <v>121</v>
      </c>
      <c r="B122">
        <v>64</v>
      </c>
      <c r="C122" s="1">
        <v>45583</v>
      </c>
      <c r="D122">
        <v>24</v>
      </c>
      <c r="E122">
        <v>6</v>
      </c>
      <c r="F122">
        <v>3008</v>
      </c>
      <c r="G122" t="s">
        <v>76</v>
      </c>
      <c r="H122" t="s">
        <v>10</v>
      </c>
      <c r="I122">
        <v>1920</v>
      </c>
      <c r="J122">
        <v>3200</v>
      </c>
      <c r="K122">
        <v>2</v>
      </c>
      <c r="L122">
        <v>3956.7749330368342</v>
      </c>
      <c r="M122">
        <v>3782.0099999999998</v>
      </c>
      <c r="N122">
        <v>72192</v>
      </c>
      <c r="O122">
        <v>26112</v>
      </c>
      <c r="P122">
        <v>-774.00999999999976</v>
      </c>
      <c r="Q122">
        <v>-0.20465572539469748</v>
      </c>
      <c r="R122">
        <v>0.36170212765957449</v>
      </c>
    </row>
    <row r="123" spans="1:18" x14ac:dyDescent="0.2">
      <c r="A123">
        <v>620</v>
      </c>
      <c r="B123">
        <v>87</v>
      </c>
      <c r="C123" s="1">
        <v>45955</v>
      </c>
      <c r="D123">
        <v>38</v>
      </c>
      <c r="E123">
        <v>7</v>
      </c>
      <c r="F123">
        <v>3807.5315999999998</v>
      </c>
      <c r="G123" t="s">
        <v>99</v>
      </c>
      <c r="H123" t="s">
        <v>35</v>
      </c>
      <c r="I123">
        <v>2456.4719999999998</v>
      </c>
      <c r="J123">
        <v>4094.12</v>
      </c>
      <c r="K123">
        <v>2</v>
      </c>
      <c r="L123">
        <v>5013.7548191834949</v>
      </c>
      <c r="M123">
        <v>493.79250000000002</v>
      </c>
      <c r="N123">
        <v>144686.20079999999</v>
      </c>
      <c r="O123">
        <v>51340.264800000004</v>
      </c>
      <c r="P123">
        <v>3313.7390999999998</v>
      </c>
      <c r="Q123">
        <v>6.7107926912620171</v>
      </c>
      <c r="R123">
        <v>0.35483870967741943</v>
      </c>
    </row>
    <row r="124" spans="1:18" x14ac:dyDescent="0.2">
      <c r="A124">
        <v>618</v>
      </c>
      <c r="B124">
        <v>91</v>
      </c>
      <c r="C124" s="1">
        <v>45073</v>
      </c>
      <c r="D124">
        <v>2</v>
      </c>
      <c r="E124">
        <v>6</v>
      </c>
      <c r="F124">
        <v>2973.22</v>
      </c>
      <c r="G124" t="s">
        <v>103</v>
      </c>
      <c r="H124" t="s">
        <v>17</v>
      </c>
      <c r="I124">
        <v>1897.8</v>
      </c>
      <c r="J124">
        <v>3163</v>
      </c>
      <c r="K124">
        <v>2</v>
      </c>
      <c r="L124">
        <v>3442.8540788365126</v>
      </c>
      <c r="M124">
        <v>4782.2433333333329</v>
      </c>
      <c r="N124">
        <v>5946.44</v>
      </c>
      <c r="O124">
        <v>2150.8399999999997</v>
      </c>
      <c r="P124">
        <v>-1809.0233333333331</v>
      </c>
      <c r="Q124">
        <v>-0.37827923157402416</v>
      </c>
      <c r="R124">
        <v>0.36170212765957444</v>
      </c>
    </row>
    <row r="125" spans="1:18" x14ac:dyDescent="0.2">
      <c r="A125">
        <v>612</v>
      </c>
      <c r="B125">
        <v>144</v>
      </c>
      <c r="C125" s="1">
        <v>45381</v>
      </c>
      <c r="D125">
        <v>22</v>
      </c>
      <c r="E125">
        <v>6</v>
      </c>
      <c r="F125">
        <v>1483.5267999999999</v>
      </c>
      <c r="G125" t="s">
        <v>156</v>
      </c>
      <c r="H125" t="s">
        <v>8</v>
      </c>
      <c r="I125">
        <v>946.93200000000002</v>
      </c>
      <c r="J125">
        <v>1578.22</v>
      </c>
      <c r="K125">
        <v>2</v>
      </c>
      <c r="L125">
        <v>1777.2724991313412</v>
      </c>
      <c r="M125">
        <v>6414.0239999999994</v>
      </c>
      <c r="N125">
        <v>32637.589599999996</v>
      </c>
      <c r="O125">
        <v>11805.085599999997</v>
      </c>
      <c r="P125">
        <v>-4930.4971999999998</v>
      </c>
      <c r="Q125">
        <v>-0.76870576100120613</v>
      </c>
      <c r="R125">
        <v>0.36170212765957444</v>
      </c>
    </row>
    <row r="126" spans="1:18" x14ac:dyDescent="0.2">
      <c r="A126">
        <v>611</v>
      </c>
      <c r="B126">
        <v>91</v>
      </c>
      <c r="C126" s="1">
        <v>44959</v>
      </c>
      <c r="D126">
        <v>6</v>
      </c>
      <c r="E126">
        <v>6</v>
      </c>
      <c r="F126">
        <v>2973.22</v>
      </c>
      <c r="G126" t="s">
        <v>103</v>
      </c>
      <c r="H126" t="s">
        <v>17</v>
      </c>
      <c r="I126">
        <v>1897.8</v>
      </c>
      <c r="J126">
        <v>3163</v>
      </c>
      <c r="K126">
        <v>2</v>
      </c>
      <c r="L126">
        <v>3711.512918600371</v>
      </c>
      <c r="M126">
        <v>4782.2433333333329</v>
      </c>
      <c r="N126">
        <v>17839.32</v>
      </c>
      <c r="O126">
        <v>6452.5199999999986</v>
      </c>
      <c r="P126">
        <v>-1809.0233333333331</v>
      </c>
      <c r="Q126">
        <v>-0.37827923157402416</v>
      </c>
      <c r="R126">
        <v>0.36170212765957438</v>
      </c>
    </row>
    <row r="127" spans="1:18" x14ac:dyDescent="0.2">
      <c r="A127">
        <v>607</v>
      </c>
      <c r="B127">
        <v>91</v>
      </c>
      <c r="C127" s="1">
        <v>45453</v>
      </c>
      <c r="D127">
        <v>45</v>
      </c>
      <c r="E127">
        <v>10</v>
      </c>
      <c r="F127">
        <v>2846.7000000000003</v>
      </c>
      <c r="G127" t="s">
        <v>103</v>
      </c>
      <c r="H127" t="s">
        <v>17</v>
      </c>
      <c r="I127">
        <v>1897.8</v>
      </c>
      <c r="J127">
        <v>3163</v>
      </c>
      <c r="K127">
        <v>2</v>
      </c>
      <c r="L127">
        <v>3255.6718868091416</v>
      </c>
      <c r="M127">
        <v>4782.2433333333329</v>
      </c>
      <c r="N127">
        <v>128101.50000000001</v>
      </c>
      <c r="O127">
        <v>42700.500000000015</v>
      </c>
      <c r="P127">
        <v>-1935.5433333333326</v>
      </c>
      <c r="Q127">
        <v>-0.40473543448576771</v>
      </c>
      <c r="R127">
        <v>0.33333333333333343</v>
      </c>
    </row>
    <row r="128" spans="1:18" x14ac:dyDescent="0.2">
      <c r="A128">
        <v>606</v>
      </c>
      <c r="B128">
        <v>144</v>
      </c>
      <c r="C128" s="1">
        <v>44974</v>
      </c>
      <c r="D128">
        <v>39</v>
      </c>
      <c r="E128">
        <v>2</v>
      </c>
      <c r="F128">
        <v>1546.6556</v>
      </c>
      <c r="G128" t="s">
        <v>156</v>
      </c>
      <c r="H128" t="s">
        <v>8</v>
      </c>
      <c r="I128">
        <v>946.93200000000002</v>
      </c>
      <c r="J128">
        <v>1578.22</v>
      </c>
      <c r="K128">
        <v>2</v>
      </c>
      <c r="L128">
        <v>1698.0931163040975</v>
      </c>
      <c r="M128">
        <v>6414.0239999999994</v>
      </c>
      <c r="N128">
        <v>60319.568400000004</v>
      </c>
      <c r="O128">
        <v>23389.220400000002</v>
      </c>
      <c r="P128">
        <v>-4867.3683999999994</v>
      </c>
      <c r="Q128">
        <v>-0.75886345295870417</v>
      </c>
      <c r="R128">
        <v>0.38775510204081631</v>
      </c>
    </row>
    <row r="129" spans="1:18" x14ac:dyDescent="0.2">
      <c r="A129">
        <v>599</v>
      </c>
      <c r="B129">
        <v>82</v>
      </c>
      <c r="C129" s="1">
        <v>45180</v>
      </c>
      <c r="D129">
        <v>22</v>
      </c>
      <c r="E129">
        <v>4</v>
      </c>
      <c r="F129">
        <v>1220.3712</v>
      </c>
      <c r="G129" t="s">
        <v>94</v>
      </c>
      <c r="H129" t="s">
        <v>12</v>
      </c>
      <c r="I129">
        <v>762.73199999999997</v>
      </c>
      <c r="J129">
        <v>1271.22</v>
      </c>
      <c r="K129">
        <v>2</v>
      </c>
      <c r="L129">
        <v>1361.5528770938088</v>
      </c>
      <c r="M129">
        <v>2617.7080000000001</v>
      </c>
      <c r="N129">
        <v>26848.166400000002</v>
      </c>
      <c r="O129">
        <v>10068.062400000003</v>
      </c>
      <c r="P129">
        <v>-1397.3368</v>
      </c>
      <c r="Q129">
        <v>-0.53380163104517386</v>
      </c>
      <c r="R129">
        <v>0.37500000000000006</v>
      </c>
    </row>
    <row r="130" spans="1:18" x14ac:dyDescent="0.2">
      <c r="A130">
        <v>129</v>
      </c>
      <c r="B130">
        <v>82</v>
      </c>
      <c r="C130" s="1">
        <v>45000</v>
      </c>
      <c r="D130">
        <v>47</v>
      </c>
      <c r="E130">
        <v>4</v>
      </c>
      <c r="F130">
        <v>1220.3712</v>
      </c>
      <c r="G130" t="s">
        <v>94</v>
      </c>
      <c r="H130" t="s">
        <v>12</v>
      </c>
      <c r="I130">
        <v>762.73199999999997</v>
      </c>
      <c r="J130">
        <v>1271.22</v>
      </c>
      <c r="K130">
        <v>2</v>
      </c>
      <c r="L130">
        <v>1362.7510823944738</v>
      </c>
      <c r="M130">
        <v>2617.7080000000001</v>
      </c>
      <c r="N130">
        <v>57357.446400000001</v>
      </c>
      <c r="O130">
        <v>21509.042400000002</v>
      </c>
      <c r="P130">
        <v>-1397.3368</v>
      </c>
      <c r="Q130">
        <v>-0.53380163104517386</v>
      </c>
      <c r="R130">
        <v>0.37500000000000006</v>
      </c>
    </row>
    <row r="131" spans="1:18" x14ac:dyDescent="0.2">
      <c r="A131">
        <v>597</v>
      </c>
      <c r="B131">
        <v>114</v>
      </c>
      <c r="C131" s="1">
        <v>45160</v>
      </c>
      <c r="D131">
        <v>33</v>
      </c>
      <c r="E131">
        <v>2</v>
      </c>
      <c r="F131">
        <v>7491.5217999999995</v>
      </c>
      <c r="G131" t="s">
        <v>126</v>
      </c>
      <c r="H131" t="s">
        <v>35</v>
      </c>
      <c r="I131">
        <v>4586.6459999999997</v>
      </c>
      <c r="J131">
        <v>7644.41</v>
      </c>
      <c r="K131">
        <v>2</v>
      </c>
      <c r="L131">
        <v>7758.8446407718866</v>
      </c>
      <c r="M131">
        <v>6494.3074999999999</v>
      </c>
      <c r="N131">
        <v>247220.21939999997</v>
      </c>
      <c r="O131">
        <v>95860.901399999988</v>
      </c>
      <c r="P131">
        <v>997.21429999999964</v>
      </c>
      <c r="Q131">
        <v>0.15355206078554173</v>
      </c>
      <c r="R131">
        <v>0.38775510204081631</v>
      </c>
    </row>
    <row r="132" spans="1:18" x14ac:dyDescent="0.2">
      <c r="A132">
        <v>594</v>
      </c>
      <c r="B132">
        <v>144</v>
      </c>
      <c r="C132" s="1">
        <v>45620</v>
      </c>
      <c r="D132">
        <v>36</v>
      </c>
      <c r="E132">
        <v>6</v>
      </c>
      <c r="F132">
        <v>1483.5267999999999</v>
      </c>
      <c r="G132" t="s">
        <v>156</v>
      </c>
      <c r="H132" t="s">
        <v>8</v>
      </c>
      <c r="I132">
        <v>946.93200000000002</v>
      </c>
      <c r="J132">
        <v>1578.22</v>
      </c>
      <c r="K132">
        <v>2</v>
      </c>
      <c r="L132">
        <v>1859.8826134671824</v>
      </c>
      <c r="M132">
        <v>6414.0239999999994</v>
      </c>
      <c r="N132">
        <v>53406.964799999994</v>
      </c>
      <c r="O132">
        <v>19317.412799999995</v>
      </c>
      <c r="P132">
        <v>-4930.4971999999998</v>
      </c>
      <c r="Q132">
        <v>-0.76870576100120613</v>
      </c>
      <c r="R132">
        <v>0.36170212765957438</v>
      </c>
    </row>
    <row r="133" spans="1:18" x14ac:dyDescent="0.2">
      <c r="A133">
        <v>591</v>
      </c>
      <c r="B133">
        <v>8</v>
      </c>
      <c r="C133" s="1">
        <v>45667</v>
      </c>
      <c r="D133">
        <v>39</v>
      </c>
      <c r="E133">
        <v>9</v>
      </c>
      <c r="F133">
        <v>5135.9853999999996</v>
      </c>
      <c r="G133" t="s">
        <v>18</v>
      </c>
      <c r="H133" t="s">
        <v>19</v>
      </c>
      <c r="I133">
        <v>3386.3639999999996</v>
      </c>
      <c r="J133">
        <v>5643.94</v>
      </c>
      <c r="K133">
        <v>2</v>
      </c>
      <c r="L133">
        <v>6314.9231893732476</v>
      </c>
      <c r="M133">
        <v>2853.6650000000004</v>
      </c>
      <c r="N133">
        <v>200303.43059999999</v>
      </c>
      <c r="O133">
        <v>68235.234599999996</v>
      </c>
      <c r="P133">
        <v>2282.3203999999992</v>
      </c>
      <c r="Q133">
        <v>0.79978567911790588</v>
      </c>
      <c r="R133">
        <v>0.34065934065934067</v>
      </c>
    </row>
    <row r="134" spans="1:18" x14ac:dyDescent="0.2">
      <c r="A134">
        <v>133</v>
      </c>
      <c r="B134">
        <v>101</v>
      </c>
      <c r="C134" s="1">
        <v>45635</v>
      </c>
      <c r="D134">
        <v>42</v>
      </c>
      <c r="E134">
        <v>8</v>
      </c>
      <c r="F134">
        <v>4342.6668</v>
      </c>
      <c r="G134" t="s">
        <v>113</v>
      </c>
      <c r="H134" t="s">
        <v>17</v>
      </c>
      <c r="I134">
        <v>2832.174</v>
      </c>
      <c r="J134">
        <v>4720.29</v>
      </c>
      <c r="K134">
        <v>2</v>
      </c>
      <c r="L134">
        <v>4832.0605992436713</v>
      </c>
      <c r="M134">
        <v>6068.0179999999991</v>
      </c>
      <c r="N134">
        <v>182392.0056</v>
      </c>
      <c r="O134">
        <v>63440.6976</v>
      </c>
      <c r="P134">
        <v>-1725.3511999999992</v>
      </c>
      <c r="Q134">
        <v>-0.28433521456264621</v>
      </c>
      <c r="R134">
        <v>0.34782608695652173</v>
      </c>
    </row>
    <row r="135" spans="1:18" x14ac:dyDescent="0.2">
      <c r="A135">
        <v>589</v>
      </c>
      <c r="B135">
        <v>68</v>
      </c>
      <c r="C135" s="1">
        <v>45978</v>
      </c>
      <c r="D135">
        <v>40</v>
      </c>
      <c r="E135">
        <v>5</v>
      </c>
      <c r="F135">
        <v>5741.3154999999997</v>
      </c>
      <c r="G135" t="s">
        <v>80</v>
      </c>
      <c r="H135" t="s">
        <v>14</v>
      </c>
      <c r="I135">
        <v>3626.0939999999996</v>
      </c>
      <c r="J135">
        <v>6043.49</v>
      </c>
      <c r="K135">
        <v>2</v>
      </c>
      <c r="L135">
        <v>6257.4907697410754</v>
      </c>
      <c r="M135">
        <v>796.21333333333325</v>
      </c>
      <c r="N135">
        <v>229652.62</v>
      </c>
      <c r="O135">
        <v>84608.86</v>
      </c>
      <c r="P135">
        <v>4945.1021666666666</v>
      </c>
      <c r="Q135">
        <v>6.2107753784580355</v>
      </c>
      <c r="R135">
        <v>0.36842105263157898</v>
      </c>
    </row>
    <row r="136" spans="1:18" x14ac:dyDescent="0.2">
      <c r="A136">
        <v>586</v>
      </c>
      <c r="B136">
        <v>99</v>
      </c>
      <c r="C136" s="1">
        <v>45042</v>
      </c>
      <c r="D136">
        <v>21</v>
      </c>
      <c r="E136">
        <v>4</v>
      </c>
      <c r="F136">
        <v>1962.2208000000001</v>
      </c>
      <c r="G136" t="s">
        <v>111</v>
      </c>
      <c r="H136" t="s">
        <v>17</v>
      </c>
      <c r="I136">
        <v>1226.3879999999999</v>
      </c>
      <c r="J136">
        <v>2043.98</v>
      </c>
      <c r="K136">
        <v>2</v>
      </c>
      <c r="L136">
        <v>2351.0189844883425</v>
      </c>
      <c r="M136">
        <v>958.76666666666654</v>
      </c>
      <c r="N136">
        <v>41206.6368</v>
      </c>
      <c r="O136">
        <v>15452.488800000003</v>
      </c>
      <c r="P136">
        <v>1003.4541333333335</v>
      </c>
      <c r="Q136">
        <v>1.0466093244793662</v>
      </c>
      <c r="R136">
        <v>0.37500000000000006</v>
      </c>
    </row>
    <row r="137" spans="1:18" x14ac:dyDescent="0.2">
      <c r="A137">
        <v>578</v>
      </c>
      <c r="B137">
        <v>34</v>
      </c>
      <c r="C137" s="1">
        <v>45030</v>
      </c>
      <c r="D137">
        <v>48</v>
      </c>
      <c r="E137">
        <v>7</v>
      </c>
      <c r="F137">
        <v>1212.1527000000001</v>
      </c>
      <c r="G137" t="s">
        <v>46</v>
      </c>
      <c r="H137" t="s">
        <v>19</v>
      </c>
      <c r="I137">
        <v>782.03399999999999</v>
      </c>
      <c r="J137">
        <v>1303.3900000000001</v>
      </c>
      <c r="K137">
        <v>2</v>
      </c>
      <c r="L137">
        <v>1336.4061253183895</v>
      </c>
      <c r="M137">
        <v>4145.4440000000004</v>
      </c>
      <c r="N137">
        <v>58183.329600000005</v>
      </c>
      <c r="O137">
        <v>20645.697600000007</v>
      </c>
      <c r="P137">
        <v>-2933.2913000000003</v>
      </c>
      <c r="Q137">
        <v>-0.70759399958122704</v>
      </c>
      <c r="R137">
        <v>0.35483870967741943</v>
      </c>
    </row>
    <row r="138" spans="1:18" x14ac:dyDescent="0.2">
      <c r="A138">
        <v>577</v>
      </c>
      <c r="B138">
        <v>19</v>
      </c>
      <c r="C138" s="1">
        <v>45112</v>
      </c>
      <c r="D138">
        <v>45</v>
      </c>
      <c r="E138">
        <v>5</v>
      </c>
      <c r="F138">
        <v>3240.2884999999997</v>
      </c>
      <c r="G138" t="s">
        <v>30</v>
      </c>
      <c r="H138" t="s">
        <v>8</v>
      </c>
      <c r="I138">
        <v>2046.4979999999998</v>
      </c>
      <c r="J138">
        <v>3410.83</v>
      </c>
      <c r="K138">
        <v>2</v>
      </c>
      <c r="L138">
        <v>3435.0496129177063</v>
      </c>
      <c r="M138">
        <v>1213.8383333333334</v>
      </c>
      <c r="N138">
        <v>145812.98249999998</v>
      </c>
      <c r="O138">
        <v>53720.572499999995</v>
      </c>
      <c r="P138">
        <v>2026.4501666666663</v>
      </c>
      <c r="Q138">
        <v>1.6694563938360816</v>
      </c>
      <c r="R138">
        <v>0.36842105263157893</v>
      </c>
    </row>
    <row r="139" spans="1:18" x14ac:dyDescent="0.2">
      <c r="A139">
        <v>574</v>
      </c>
      <c r="B139">
        <v>99</v>
      </c>
      <c r="C139" s="1">
        <v>45198</v>
      </c>
      <c r="D139">
        <v>18</v>
      </c>
      <c r="E139">
        <v>6</v>
      </c>
      <c r="F139">
        <v>1921.3411999999998</v>
      </c>
      <c r="G139" t="s">
        <v>111</v>
      </c>
      <c r="H139" t="s">
        <v>17</v>
      </c>
      <c r="I139">
        <v>1226.3879999999999</v>
      </c>
      <c r="J139">
        <v>2043.98</v>
      </c>
      <c r="K139">
        <v>2</v>
      </c>
      <c r="L139">
        <v>2546.8294644164421</v>
      </c>
      <c r="M139">
        <v>958.76666666666654</v>
      </c>
      <c r="N139">
        <v>34584.141599999995</v>
      </c>
      <c r="O139">
        <v>12509.157599999999</v>
      </c>
      <c r="P139">
        <v>962.57453333333331</v>
      </c>
      <c r="Q139">
        <v>1.0039716302193791</v>
      </c>
      <c r="R139">
        <v>0.36170212765957449</v>
      </c>
    </row>
    <row r="140" spans="1:18" x14ac:dyDescent="0.2">
      <c r="A140">
        <v>564</v>
      </c>
      <c r="B140">
        <v>42</v>
      </c>
      <c r="C140" s="1">
        <v>44942</v>
      </c>
      <c r="D140">
        <v>1</v>
      </c>
      <c r="E140">
        <v>3</v>
      </c>
      <c r="F140">
        <v>414.77199999999999</v>
      </c>
      <c r="G140" t="s">
        <v>54</v>
      </c>
      <c r="H140" t="s">
        <v>19</v>
      </c>
      <c r="I140">
        <v>256.56</v>
      </c>
      <c r="J140">
        <v>427.6</v>
      </c>
      <c r="K140">
        <v>2</v>
      </c>
      <c r="L140">
        <v>451.44925497845514</v>
      </c>
      <c r="M140">
        <v>513.45666666666671</v>
      </c>
      <c r="N140">
        <v>414.77199999999999</v>
      </c>
      <c r="O140">
        <v>158.21199999999999</v>
      </c>
      <c r="P140">
        <v>-98.684666666666715</v>
      </c>
      <c r="Q140">
        <v>-0.1921966800184372</v>
      </c>
      <c r="R140">
        <v>0.38144329896907214</v>
      </c>
    </row>
    <row r="141" spans="1:18" x14ac:dyDescent="0.2">
      <c r="A141">
        <v>563</v>
      </c>
      <c r="B141">
        <v>58</v>
      </c>
      <c r="C141" s="1">
        <v>45080</v>
      </c>
      <c r="D141">
        <v>46</v>
      </c>
      <c r="E141">
        <v>7</v>
      </c>
      <c r="F141">
        <v>1058.8793999999998</v>
      </c>
      <c r="G141" t="s">
        <v>70</v>
      </c>
      <c r="H141" t="s">
        <v>6</v>
      </c>
      <c r="I141">
        <v>683.14799999999991</v>
      </c>
      <c r="J141">
        <v>1138.58</v>
      </c>
      <c r="K141">
        <v>2</v>
      </c>
      <c r="L141">
        <v>1210.4016659758163</v>
      </c>
      <c r="M141">
        <v>1439.8525</v>
      </c>
      <c r="N141">
        <v>48708.452399999995</v>
      </c>
      <c r="O141">
        <v>17283.644399999994</v>
      </c>
      <c r="P141">
        <v>-380.97310000000016</v>
      </c>
      <c r="Q141">
        <v>-0.26459175505824395</v>
      </c>
      <c r="R141">
        <v>0.35483870967741926</v>
      </c>
    </row>
    <row r="142" spans="1:18" x14ac:dyDescent="0.2">
      <c r="A142">
        <v>562</v>
      </c>
      <c r="B142">
        <v>87</v>
      </c>
      <c r="C142" s="1">
        <v>45878</v>
      </c>
      <c r="D142">
        <v>29</v>
      </c>
      <c r="E142">
        <v>4</v>
      </c>
      <c r="F142">
        <v>3930.3552</v>
      </c>
      <c r="G142" t="s">
        <v>99</v>
      </c>
      <c r="H142" t="s">
        <v>35</v>
      </c>
      <c r="I142">
        <v>2456.4719999999998</v>
      </c>
      <c r="J142">
        <v>4094.12</v>
      </c>
      <c r="K142">
        <v>2</v>
      </c>
      <c r="L142">
        <v>5024.7708991089848</v>
      </c>
      <c r="M142">
        <v>493.79250000000002</v>
      </c>
      <c r="N142">
        <v>113980.3008</v>
      </c>
      <c r="O142">
        <v>42742.612800000003</v>
      </c>
      <c r="P142">
        <v>3436.5626999999999</v>
      </c>
      <c r="Q142">
        <v>6.959527939367244</v>
      </c>
      <c r="R142">
        <v>0.37500000000000006</v>
      </c>
    </row>
    <row r="143" spans="1:18" x14ac:dyDescent="0.2">
      <c r="A143">
        <v>555</v>
      </c>
      <c r="B143">
        <v>99</v>
      </c>
      <c r="C143" s="1">
        <v>45103</v>
      </c>
      <c r="D143">
        <v>28</v>
      </c>
      <c r="E143">
        <v>3</v>
      </c>
      <c r="F143">
        <v>1982.6605999999999</v>
      </c>
      <c r="G143" t="s">
        <v>111</v>
      </c>
      <c r="H143" t="s">
        <v>17</v>
      </c>
      <c r="I143">
        <v>1226.3879999999999</v>
      </c>
      <c r="J143">
        <v>2043.98</v>
      </c>
      <c r="K143">
        <v>2</v>
      </c>
      <c r="L143">
        <v>2599.61413502394</v>
      </c>
      <c r="M143">
        <v>958.76666666666654</v>
      </c>
      <c r="N143">
        <v>55514.496800000001</v>
      </c>
      <c r="O143">
        <v>21175.632799999999</v>
      </c>
      <c r="P143">
        <v>1023.8939333333334</v>
      </c>
      <c r="Q143">
        <v>1.0679281716093594</v>
      </c>
      <c r="R143">
        <v>0.38144329896907214</v>
      </c>
    </row>
    <row r="144" spans="1:18" x14ac:dyDescent="0.2">
      <c r="A144">
        <v>550</v>
      </c>
      <c r="B144">
        <v>99</v>
      </c>
      <c r="C144" s="1">
        <v>45123</v>
      </c>
      <c r="D144">
        <v>19</v>
      </c>
      <c r="E144">
        <v>5</v>
      </c>
      <c r="F144">
        <v>1941.7809999999999</v>
      </c>
      <c r="G144" t="s">
        <v>111</v>
      </c>
      <c r="H144" t="s">
        <v>17</v>
      </c>
      <c r="I144">
        <v>1226.3879999999999</v>
      </c>
      <c r="J144">
        <v>2043.98</v>
      </c>
      <c r="K144">
        <v>2</v>
      </c>
      <c r="L144">
        <v>2398.9539234799372</v>
      </c>
      <c r="M144">
        <v>958.76666666666654</v>
      </c>
      <c r="N144">
        <v>36893.839</v>
      </c>
      <c r="O144">
        <v>13592.467000000001</v>
      </c>
      <c r="P144">
        <v>983.01433333333341</v>
      </c>
      <c r="Q144">
        <v>1.0252904773493727</v>
      </c>
      <c r="R144">
        <v>0.36842105263157898</v>
      </c>
    </row>
    <row r="145" spans="1:18" x14ac:dyDescent="0.2">
      <c r="A145">
        <v>547</v>
      </c>
      <c r="B145">
        <v>31</v>
      </c>
      <c r="C145" s="1">
        <v>45466</v>
      </c>
      <c r="D145">
        <v>45</v>
      </c>
      <c r="E145">
        <v>9</v>
      </c>
      <c r="F145">
        <v>931.14840000000004</v>
      </c>
      <c r="G145" t="s">
        <v>43</v>
      </c>
      <c r="H145" t="s">
        <v>35</v>
      </c>
      <c r="I145">
        <v>613.94399999999996</v>
      </c>
      <c r="J145">
        <v>1023.24</v>
      </c>
      <c r="K145">
        <v>2</v>
      </c>
      <c r="L145">
        <v>1029.5776524954524</v>
      </c>
      <c r="M145">
        <v>1065.8219999999999</v>
      </c>
      <c r="N145">
        <v>41901.678</v>
      </c>
      <c r="O145">
        <v>14274.198000000004</v>
      </c>
      <c r="P145">
        <v>-134.67359999999985</v>
      </c>
      <c r="Q145">
        <v>-0.12635655859984113</v>
      </c>
      <c r="R145">
        <v>0.34065934065934078</v>
      </c>
    </row>
    <row r="146" spans="1:18" x14ac:dyDescent="0.2">
      <c r="A146">
        <v>546</v>
      </c>
      <c r="B146">
        <v>91</v>
      </c>
      <c r="C146" s="1">
        <v>45707</v>
      </c>
      <c r="D146">
        <v>45</v>
      </c>
      <c r="E146">
        <v>7</v>
      </c>
      <c r="F146">
        <v>2941.5899999999997</v>
      </c>
      <c r="G146" t="s">
        <v>103</v>
      </c>
      <c r="H146" t="s">
        <v>17</v>
      </c>
      <c r="I146">
        <v>1897.8</v>
      </c>
      <c r="J146">
        <v>3163</v>
      </c>
      <c r="K146">
        <v>2</v>
      </c>
      <c r="L146">
        <v>3970.3310068021278</v>
      </c>
      <c r="M146">
        <v>4782.2433333333329</v>
      </c>
      <c r="N146">
        <v>132371.54999999999</v>
      </c>
      <c r="O146">
        <v>46970.549999999988</v>
      </c>
      <c r="P146">
        <v>-1840.6533333333332</v>
      </c>
      <c r="Q146">
        <v>-0.38489328230196013</v>
      </c>
      <c r="R146">
        <v>0.35483870967741932</v>
      </c>
    </row>
    <row r="147" spans="1:18" x14ac:dyDescent="0.2">
      <c r="A147">
        <v>543</v>
      </c>
      <c r="B147">
        <v>42</v>
      </c>
      <c r="C147" s="1">
        <v>45508</v>
      </c>
      <c r="D147">
        <v>31</v>
      </c>
      <c r="E147">
        <v>5</v>
      </c>
      <c r="F147">
        <v>406.22</v>
      </c>
      <c r="G147" t="s">
        <v>54</v>
      </c>
      <c r="H147" t="s">
        <v>19</v>
      </c>
      <c r="I147">
        <v>256.56</v>
      </c>
      <c r="J147">
        <v>427.6</v>
      </c>
      <c r="K147">
        <v>2</v>
      </c>
      <c r="L147">
        <v>443.54900614723215</v>
      </c>
      <c r="M147">
        <v>513.45666666666671</v>
      </c>
      <c r="N147">
        <v>12592.820000000002</v>
      </c>
      <c r="O147">
        <v>4639.4600000000009</v>
      </c>
      <c r="P147">
        <v>-107.23666666666668</v>
      </c>
      <c r="Q147">
        <v>-0.20885241857475803</v>
      </c>
      <c r="R147">
        <v>0.36842105263157898</v>
      </c>
    </row>
    <row r="148" spans="1:18" x14ac:dyDescent="0.2">
      <c r="A148">
        <v>532</v>
      </c>
      <c r="B148">
        <v>17</v>
      </c>
      <c r="C148" s="1">
        <v>45648</v>
      </c>
      <c r="D148">
        <v>17</v>
      </c>
      <c r="E148">
        <v>9</v>
      </c>
      <c r="F148">
        <v>2711.0447000000004</v>
      </c>
      <c r="G148" t="s">
        <v>28</v>
      </c>
      <c r="H148" t="s">
        <v>12</v>
      </c>
      <c r="I148">
        <v>1787.502</v>
      </c>
      <c r="J148">
        <v>2979.17</v>
      </c>
      <c r="K148">
        <v>2</v>
      </c>
      <c r="L148">
        <v>3289.3637165586019</v>
      </c>
      <c r="M148">
        <v>1105.6675</v>
      </c>
      <c r="N148">
        <v>46087.759900000005</v>
      </c>
      <c r="O148">
        <v>15700.225900000007</v>
      </c>
      <c r="P148">
        <v>1605.3772000000004</v>
      </c>
      <c r="Q148">
        <v>1.4519529605419355</v>
      </c>
      <c r="R148">
        <v>0.34065934065934078</v>
      </c>
    </row>
    <row r="149" spans="1:18" x14ac:dyDescent="0.2">
      <c r="A149">
        <v>525</v>
      </c>
      <c r="B149">
        <v>82</v>
      </c>
      <c r="C149" s="1">
        <v>45880</v>
      </c>
      <c r="D149">
        <v>5</v>
      </c>
      <c r="E149">
        <v>4</v>
      </c>
      <c r="F149">
        <v>1220.3712</v>
      </c>
      <c r="G149" t="s">
        <v>94</v>
      </c>
      <c r="H149" t="s">
        <v>12</v>
      </c>
      <c r="I149">
        <v>762.73199999999997</v>
      </c>
      <c r="J149">
        <v>1271.22</v>
      </c>
      <c r="K149">
        <v>2</v>
      </c>
      <c r="L149">
        <v>1453.9011665726555</v>
      </c>
      <c r="M149">
        <v>2617.7080000000001</v>
      </c>
      <c r="N149">
        <v>6101.8559999999998</v>
      </c>
      <c r="O149">
        <v>2288.1960000000004</v>
      </c>
      <c r="P149">
        <v>-1397.3368</v>
      </c>
      <c r="Q149">
        <v>-0.53380163104517386</v>
      </c>
      <c r="R149">
        <v>0.37500000000000006</v>
      </c>
    </row>
    <row r="150" spans="1:18" x14ac:dyDescent="0.2">
      <c r="A150">
        <v>149</v>
      </c>
      <c r="B150">
        <v>109</v>
      </c>
      <c r="C150" s="1">
        <v>45878</v>
      </c>
      <c r="D150">
        <v>37</v>
      </c>
      <c r="E150">
        <v>6</v>
      </c>
      <c r="F150">
        <v>2081.6205999999997</v>
      </c>
      <c r="G150" t="s">
        <v>121</v>
      </c>
      <c r="H150" t="s">
        <v>10</v>
      </c>
      <c r="I150">
        <v>1328.6939999999997</v>
      </c>
      <c r="J150">
        <v>2214.4899999999998</v>
      </c>
      <c r="K150">
        <v>2</v>
      </c>
      <c r="L150">
        <v>2751.4785858733208</v>
      </c>
      <c r="M150">
        <v>6555.1760000000013</v>
      </c>
      <c r="N150">
        <v>77019.962199999994</v>
      </c>
      <c r="O150">
        <v>27858.284200000002</v>
      </c>
      <c r="P150">
        <v>-4473.5554000000011</v>
      </c>
      <c r="Q150">
        <v>-0.68244626841445599</v>
      </c>
      <c r="R150">
        <v>0.36170212765957455</v>
      </c>
    </row>
    <row r="151" spans="1:18" x14ac:dyDescent="0.2">
      <c r="A151">
        <v>524</v>
      </c>
      <c r="B151">
        <v>87</v>
      </c>
      <c r="C151" s="1">
        <v>45252</v>
      </c>
      <c r="D151">
        <v>18</v>
      </c>
      <c r="E151">
        <v>4</v>
      </c>
      <c r="F151">
        <v>3930.3552</v>
      </c>
      <c r="G151" t="s">
        <v>99</v>
      </c>
      <c r="H151" t="s">
        <v>35</v>
      </c>
      <c r="I151">
        <v>2456.4719999999998</v>
      </c>
      <c r="J151">
        <v>4094.12</v>
      </c>
      <c r="K151">
        <v>2</v>
      </c>
      <c r="L151">
        <v>4801.6170168544477</v>
      </c>
      <c r="M151">
        <v>493.79250000000002</v>
      </c>
      <c r="N151">
        <v>70746.393599999996</v>
      </c>
      <c r="O151">
        <v>26529.897600000004</v>
      </c>
      <c r="P151">
        <v>3436.5626999999999</v>
      </c>
      <c r="Q151">
        <v>6.959527939367244</v>
      </c>
      <c r="R151">
        <v>0.37500000000000006</v>
      </c>
    </row>
    <row r="152" spans="1:18" x14ac:dyDescent="0.2">
      <c r="A152">
        <v>520</v>
      </c>
      <c r="B152">
        <v>19</v>
      </c>
      <c r="C152" s="1">
        <v>45373</v>
      </c>
      <c r="D152">
        <v>4</v>
      </c>
      <c r="E152">
        <v>9</v>
      </c>
      <c r="F152">
        <v>3103.8553000000002</v>
      </c>
      <c r="G152" t="s">
        <v>30</v>
      </c>
      <c r="H152" t="s">
        <v>8</v>
      </c>
      <c r="I152">
        <v>2046.4979999999998</v>
      </c>
      <c r="J152">
        <v>3410.83</v>
      </c>
      <c r="K152">
        <v>2</v>
      </c>
      <c r="L152">
        <v>4356.9202021717256</v>
      </c>
      <c r="M152">
        <v>1213.8383333333334</v>
      </c>
      <c r="N152">
        <v>12415.421200000001</v>
      </c>
      <c r="O152">
        <v>4229.4292000000014</v>
      </c>
      <c r="P152">
        <v>1890.0169666666668</v>
      </c>
      <c r="Q152">
        <v>1.557058229885089</v>
      </c>
      <c r="R152">
        <v>0.34065934065934073</v>
      </c>
    </row>
    <row r="153" spans="1:18" x14ac:dyDescent="0.2">
      <c r="A153">
        <v>152</v>
      </c>
      <c r="B153">
        <v>19</v>
      </c>
      <c r="C153" s="1">
        <v>45013</v>
      </c>
      <c r="D153">
        <v>20</v>
      </c>
      <c r="E153">
        <v>6</v>
      </c>
      <c r="F153">
        <v>3206.1801999999998</v>
      </c>
      <c r="G153" t="s">
        <v>30</v>
      </c>
      <c r="H153" t="s">
        <v>8</v>
      </c>
      <c r="I153">
        <v>2046.4979999999998</v>
      </c>
      <c r="J153">
        <v>3410.83</v>
      </c>
      <c r="K153">
        <v>2</v>
      </c>
      <c r="L153">
        <v>3950.3816282937014</v>
      </c>
      <c r="M153">
        <v>1213.8383333333334</v>
      </c>
      <c r="N153">
        <v>64123.603999999992</v>
      </c>
      <c r="O153">
        <v>23193.644</v>
      </c>
      <c r="P153">
        <v>1992.3418666666664</v>
      </c>
      <c r="Q153">
        <v>1.6413568528483335</v>
      </c>
      <c r="R153">
        <v>0.36170212765957449</v>
      </c>
    </row>
    <row r="154" spans="1:18" x14ac:dyDescent="0.2">
      <c r="A154">
        <v>514</v>
      </c>
      <c r="B154">
        <v>87</v>
      </c>
      <c r="C154" s="1">
        <v>45709</v>
      </c>
      <c r="D154">
        <v>31</v>
      </c>
      <c r="E154">
        <v>6</v>
      </c>
      <c r="F154">
        <v>3848.4727999999996</v>
      </c>
      <c r="G154" t="s">
        <v>99</v>
      </c>
      <c r="H154" t="s">
        <v>35</v>
      </c>
      <c r="I154">
        <v>2456.4719999999998</v>
      </c>
      <c r="J154">
        <v>4094.12</v>
      </c>
      <c r="K154">
        <v>2</v>
      </c>
      <c r="L154">
        <v>5138.1022675673148</v>
      </c>
      <c r="M154">
        <v>493.79250000000002</v>
      </c>
      <c r="N154">
        <v>119302.65679999998</v>
      </c>
      <c r="O154">
        <v>43152.024799999992</v>
      </c>
      <c r="P154">
        <v>3354.6802999999995</v>
      </c>
      <c r="Q154">
        <v>6.7937044406304254</v>
      </c>
      <c r="R154">
        <v>0.36170212765957444</v>
      </c>
    </row>
    <row r="155" spans="1:18" x14ac:dyDescent="0.2">
      <c r="A155">
        <v>510</v>
      </c>
      <c r="B155">
        <v>123</v>
      </c>
      <c r="C155" s="1">
        <v>45797</v>
      </c>
      <c r="D155">
        <v>12</v>
      </c>
      <c r="E155">
        <v>6</v>
      </c>
      <c r="F155">
        <v>4349.9627999999993</v>
      </c>
      <c r="G155" t="s">
        <v>135</v>
      </c>
      <c r="H155" t="s">
        <v>17</v>
      </c>
      <c r="I155">
        <v>2776.5719999999997</v>
      </c>
      <c r="J155">
        <v>4627.62</v>
      </c>
      <c r="K155">
        <v>2</v>
      </c>
      <c r="L155">
        <v>5717.1077679330756</v>
      </c>
      <c r="M155">
        <v>809.94800000000009</v>
      </c>
      <c r="N155">
        <v>52199.553599999992</v>
      </c>
      <c r="O155">
        <v>18880.689599999998</v>
      </c>
      <c r="P155">
        <v>3540.014799999999</v>
      </c>
      <c r="Q155">
        <v>4.3706692281479782</v>
      </c>
      <c r="R155">
        <v>0.36170212765957449</v>
      </c>
    </row>
    <row r="156" spans="1:18" x14ac:dyDescent="0.2">
      <c r="A156">
        <v>503</v>
      </c>
      <c r="B156">
        <v>83</v>
      </c>
      <c r="C156" s="1">
        <v>44968</v>
      </c>
      <c r="D156">
        <v>19</v>
      </c>
      <c r="E156">
        <v>4</v>
      </c>
      <c r="F156">
        <v>3663.7727999999997</v>
      </c>
      <c r="G156" t="s">
        <v>95</v>
      </c>
      <c r="H156" t="s">
        <v>14</v>
      </c>
      <c r="I156">
        <v>2289.8579999999997</v>
      </c>
      <c r="J156">
        <v>3816.43</v>
      </c>
      <c r="K156">
        <v>2</v>
      </c>
      <c r="L156">
        <v>4803.6932736395684</v>
      </c>
      <c r="M156">
        <v>2990.2349999999997</v>
      </c>
      <c r="N156">
        <v>69611.683199999999</v>
      </c>
      <c r="O156">
        <v>26104.3812</v>
      </c>
      <c r="P156">
        <v>673.53780000000006</v>
      </c>
      <c r="Q156">
        <v>0.22524577499761728</v>
      </c>
      <c r="R156">
        <v>0.375</v>
      </c>
    </row>
    <row r="157" spans="1:18" x14ac:dyDescent="0.2">
      <c r="A157">
        <v>502</v>
      </c>
      <c r="B157">
        <v>60</v>
      </c>
      <c r="C157" s="1">
        <v>44939</v>
      </c>
      <c r="D157">
        <v>13</v>
      </c>
      <c r="E157">
        <v>7</v>
      </c>
      <c r="F157">
        <v>2578.5272999999997</v>
      </c>
      <c r="G157" t="s">
        <v>72</v>
      </c>
      <c r="H157" t="s">
        <v>10</v>
      </c>
      <c r="I157">
        <v>1663.566</v>
      </c>
      <c r="J157">
        <v>2772.61</v>
      </c>
      <c r="K157">
        <v>2</v>
      </c>
      <c r="L157">
        <v>3477.8411199449833</v>
      </c>
      <c r="M157">
        <v>3047.7533333333336</v>
      </c>
      <c r="N157">
        <v>33520.854899999998</v>
      </c>
      <c r="O157">
        <v>11894.496899999996</v>
      </c>
      <c r="P157">
        <v>-469.22603333333382</v>
      </c>
      <c r="Q157">
        <v>-0.15395800841275445</v>
      </c>
      <c r="R157">
        <v>0.35483870967741926</v>
      </c>
    </row>
    <row r="158" spans="1:18" x14ac:dyDescent="0.2">
      <c r="A158">
        <v>501</v>
      </c>
      <c r="B158">
        <v>115</v>
      </c>
      <c r="C158" s="1">
        <v>45224</v>
      </c>
      <c r="D158">
        <v>28</v>
      </c>
      <c r="E158">
        <v>8</v>
      </c>
      <c r="F158">
        <v>4315.9776000000002</v>
      </c>
      <c r="G158" t="s">
        <v>127</v>
      </c>
      <c r="H158" t="s">
        <v>10</v>
      </c>
      <c r="I158">
        <v>2814.7679999999996</v>
      </c>
      <c r="J158">
        <v>4691.28</v>
      </c>
      <c r="K158">
        <v>2</v>
      </c>
      <c r="L158">
        <v>5845.4511130096871</v>
      </c>
      <c r="M158">
        <v>4456.5325000000003</v>
      </c>
      <c r="N158">
        <v>120847.37280000001</v>
      </c>
      <c r="O158">
        <v>42033.868800000018</v>
      </c>
      <c r="P158">
        <v>-140.55490000000009</v>
      </c>
      <c r="Q158">
        <v>-3.1539072137362421E-2</v>
      </c>
      <c r="R158">
        <v>0.34782608695652184</v>
      </c>
    </row>
    <row r="159" spans="1:18" x14ac:dyDescent="0.2">
      <c r="A159">
        <v>158</v>
      </c>
      <c r="B159">
        <v>34</v>
      </c>
      <c r="C159" s="1">
        <v>45496</v>
      </c>
      <c r="D159">
        <v>36</v>
      </c>
      <c r="E159">
        <v>9</v>
      </c>
      <c r="F159">
        <v>1186.0849000000001</v>
      </c>
      <c r="G159" t="s">
        <v>46</v>
      </c>
      <c r="H159" t="s">
        <v>19</v>
      </c>
      <c r="I159">
        <v>782.03399999999999</v>
      </c>
      <c r="J159">
        <v>1303.3900000000001</v>
      </c>
      <c r="K159">
        <v>2</v>
      </c>
      <c r="L159">
        <v>1430.4187916177145</v>
      </c>
      <c r="M159">
        <v>4145.4440000000004</v>
      </c>
      <c r="N159">
        <v>42699.056400000001</v>
      </c>
      <c r="O159">
        <v>14545.832400000003</v>
      </c>
      <c r="P159">
        <v>-2959.3591000000006</v>
      </c>
      <c r="Q159">
        <v>-0.71388230066550173</v>
      </c>
      <c r="R159">
        <v>0.34065934065934073</v>
      </c>
    </row>
    <row r="160" spans="1:18" x14ac:dyDescent="0.2">
      <c r="A160">
        <v>159</v>
      </c>
      <c r="B160">
        <v>114</v>
      </c>
      <c r="C160" s="1">
        <v>45027</v>
      </c>
      <c r="D160">
        <v>26</v>
      </c>
      <c r="E160">
        <v>10</v>
      </c>
      <c r="F160">
        <v>6879.9690000000001</v>
      </c>
      <c r="G160" t="s">
        <v>126</v>
      </c>
      <c r="H160" t="s">
        <v>35</v>
      </c>
      <c r="I160">
        <v>4586.6459999999997</v>
      </c>
      <c r="J160">
        <v>7644.41</v>
      </c>
      <c r="K160">
        <v>2</v>
      </c>
      <c r="L160">
        <v>9787.2965998029067</v>
      </c>
      <c r="M160">
        <v>6494.3074999999999</v>
      </c>
      <c r="N160">
        <v>178879.19399999999</v>
      </c>
      <c r="O160">
        <v>59626.398000000008</v>
      </c>
      <c r="P160">
        <v>385.66150000000016</v>
      </c>
      <c r="Q160">
        <v>5.9384545619375145E-2</v>
      </c>
      <c r="R160">
        <v>0.33333333333333343</v>
      </c>
    </row>
    <row r="161" spans="1:18" x14ac:dyDescent="0.2">
      <c r="A161">
        <v>500</v>
      </c>
      <c r="B161">
        <v>58</v>
      </c>
      <c r="C161" s="1">
        <v>45225</v>
      </c>
      <c r="D161">
        <v>12</v>
      </c>
      <c r="E161">
        <v>3</v>
      </c>
      <c r="F161">
        <v>1104.4225999999999</v>
      </c>
      <c r="G161" t="s">
        <v>70</v>
      </c>
      <c r="H161" t="s">
        <v>6</v>
      </c>
      <c r="I161">
        <v>683.14799999999991</v>
      </c>
      <c r="J161">
        <v>1138.58</v>
      </c>
      <c r="K161">
        <v>2</v>
      </c>
      <c r="L161">
        <v>1147.9158857044185</v>
      </c>
      <c r="M161">
        <v>1439.8525</v>
      </c>
      <c r="N161">
        <v>13253.071199999998</v>
      </c>
      <c r="O161">
        <v>5055.2951999999996</v>
      </c>
      <c r="P161">
        <v>-335.42990000000009</v>
      </c>
      <c r="Q161">
        <v>-0.23296129291021136</v>
      </c>
      <c r="R161">
        <v>0.3814432989690722</v>
      </c>
    </row>
    <row r="162" spans="1:18" x14ac:dyDescent="0.2">
      <c r="A162">
        <v>499</v>
      </c>
      <c r="B162">
        <v>123</v>
      </c>
      <c r="C162" s="1">
        <v>45541</v>
      </c>
      <c r="D162">
        <v>13</v>
      </c>
      <c r="E162">
        <v>9</v>
      </c>
      <c r="F162">
        <v>4211.1342000000004</v>
      </c>
      <c r="G162" t="s">
        <v>135</v>
      </c>
      <c r="H162" t="s">
        <v>17</v>
      </c>
      <c r="I162">
        <v>2776.5719999999997</v>
      </c>
      <c r="J162">
        <v>4627.62</v>
      </c>
      <c r="K162">
        <v>2</v>
      </c>
      <c r="L162">
        <v>5834.4260159272308</v>
      </c>
      <c r="M162">
        <v>809.94800000000009</v>
      </c>
      <c r="N162">
        <v>54744.744600000005</v>
      </c>
      <c r="O162">
        <v>18649.308600000011</v>
      </c>
      <c r="P162">
        <v>3401.1862000000001</v>
      </c>
      <c r="Q162">
        <v>4.1992648910794266</v>
      </c>
      <c r="R162">
        <v>0.34065934065934084</v>
      </c>
    </row>
    <row r="163" spans="1:18" x14ac:dyDescent="0.2">
      <c r="A163">
        <v>495</v>
      </c>
      <c r="B163">
        <v>120</v>
      </c>
      <c r="C163" s="1">
        <v>45240</v>
      </c>
      <c r="D163">
        <v>24</v>
      </c>
      <c r="E163">
        <v>3</v>
      </c>
      <c r="F163">
        <v>1917.3019999999999</v>
      </c>
      <c r="G163" t="s">
        <v>132</v>
      </c>
      <c r="H163" t="s">
        <v>8</v>
      </c>
      <c r="I163">
        <v>1185.9599999999998</v>
      </c>
      <c r="J163">
        <v>1976.6</v>
      </c>
      <c r="K163">
        <v>2</v>
      </c>
      <c r="L163">
        <v>2308.2136406451268</v>
      </c>
      <c r="M163">
        <v>1688.8574999999998</v>
      </c>
      <c r="N163">
        <v>46015.248</v>
      </c>
      <c r="O163">
        <v>17552.208000000002</v>
      </c>
      <c r="P163">
        <v>228.44450000000006</v>
      </c>
      <c r="Q163">
        <v>0.13526570477378944</v>
      </c>
      <c r="R163">
        <v>0.3814432989690722</v>
      </c>
    </row>
    <row r="164" spans="1:18" x14ac:dyDescent="0.2">
      <c r="A164">
        <v>163</v>
      </c>
      <c r="B164">
        <v>114</v>
      </c>
      <c r="C164" s="1">
        <v>45026</v>
      </c>
      <c r="D164">
        <v>2</v>
      </c>
      <c r="E164">
        <v>3</v>
      </c>
      <c r="F164">
        <v>7415.0776999999998</v>
      </c>
      <c r="G164" t="s">
        <v>126</v>
      </c>
      <c r="H164" t="s">
        <v>35</v>
      </c>
      <c r="I164">
        <v>4586.6459999999997</v>
      </c>
      <c r="J164">
        <v>7644.41</v>
      </c>
      <c r="K164">
        <v>2</v>
      </c>
      <c r="L164">
        <v>9627.7104309692495</v>
      </c>
      <c r="M164">
        <v>6494.3074999999999</v>
      </c>
      <c r="N164">
        <v>14830.1554</v>
      </c>
      <c r="O164">
        <v>5656.8634000000002</v>
      </c>
      <c r="P164">
        <v>920.77019999999993</v>
      </c>
      <c r="Q164">
        <v>0.14178112138977095</v>
      </c>
      <c r="R164">
        <v>0.3814432989690722</v>
      </c>
    </row>
    <row r="165" spans="1:18" x14ac:dyDescent="0.2">
      <c r="A165">
        <v>494</v>
      </c>
      <c r="B165">
        <v>144</v>
      </c>
      <c r="C165" s="1">
        <v>45992</v>
      </c>
      <c r="D165">
        <v>20</v>
      </c>
      <c r="E165">
        <v>8</v>
      </c>
      <c r="F165">
        <v>1451.9624000000001</v>
      </c>
      <c r="G165" t="s">
        <v>156</v>
      </c>
      <c r="H165" t="s">
        <v>8</v>
      </c>
      <c r="I165">
        <v>946.93200000000002</v>
      </c>
      <c r="J165">
        <v>1578.22</v>
      </c>
      <c r="K165">
        <v>2</v>
      </c>
      <c r="L165">
        <v>1729.7128177032366</v>
      </c>
      <c r="M165">
        <v>6414.0239999999994</v>
      </c>
      <c r="N165">
        <v>29039.248000000003</v>
      </c>
      <c r="O165">
        <v>10100.608000000002</v>
      </c>
      <c r="P165">
        <v>-4962.0615999999991</v>
      </c>
      <c r="Q165">
        <v>-0.77362691502245695</v>
      </c>
      <c r="R165">
        <v>0.34782608695652178</v>
      </c>
    </row>
    <row r="166" spans="1:18" x14ac:dyDescent="0.2">
      <c r="A166">
        <v>487</v>
      </c>
      <c r="B166">
        <v>81</v>
      </c>
      <c r="C166" s="1">
        <v>44972</v>
      </c>
      <c r="D166">
        <v>36</v>
      </c>
      <c r="E166">
        <v>9</v>
      </c>
      <c r="F166">
        <v>7064.7030999999997</v>
      </c>
      <c r="G166" t="s">
        <v>93</v>
      </c>
      <c r="H166" t="s">
        <v>8</v>
      </c>
      <c r="I166">
        <v>4658.0459999999994</v>
      </c>
      <c r="J166">
        <v>7763.41</v>
      </c>
      <c r="K166">
        <v>2</v>
      </c>
      <c r="L166">
        <v>8525.3858914932152</v>
      </c>
      <c r="M166">
        <v>290.31399999999996</v>
      </c>
      <c r="N166">
        <v>254329.31159999999</v>
      </c>
      <c r="O166">
        <v>86639.655600000013</v>
      </c>
      <c r="P166">
        <v>6774.3890999999994</v>
      </c>
      <c r="Q166">
        <v>23.334696569920844</v>
      </c>
      <c r="R166">
        <v>0.34065934065934073</v>
      </c>
    </row>
    <row r="167" spans="1:18" x14ac:dyDescent="0.2">
      <c r="A167">
        <v>481</v>
      </c>
      <c r="B167">
        <v>101</v>
      </c>
      <c r="C167" s="1">
        <v>45416</v>
      </c>
      <c r="D167">
        <v>30</v>
      </c>
      <c r="E167">
        <v>9</v>
      </c>
      <c r="F167">
        <v>4295.4638999999997</v>
      </c>
      <c r="G167" t="s">
        <v>113</v>
      </c>
      <c r="H167" t="s">
        <v>17</v>
      </c>
      <c r="I167">
        <v>2832.174</v>
      </c>
      <c r="J167">
        <v>4720.29</v>
      </c>
      <c r="K167">
        <v>2</v>
      </c>
      <c r="L167">
        <v>6112.3139908549974</v>
      </c>
      <c r="M167">
        <v>6068.0179999999991</v>
      </c>
      <c r="N167">
        <v>128863.91699999999</v>
      </c>
      <c r="O167">
        <v>43898.696999999993</v>
      </c>
      <c r="P167">
        <v>-1772.5540999999994</v>
      </c>
      <c r="Q167">
        <v>-0.2921141796217479</v>
      </c>
      <c r="R167">
        <v>0.34065934065934061</v>
      </c>
    </row>
    <row r="168" spans="1:18" x14ac:dyDescent="0.2">
      <c r="A168">
        <v>167</v>
      </c>
      <c r="B168">
        <v>60</v>
      </c>
      <c r="C168" s="1">
        <v>45810</v>
      </c>
      <c r="D168">
        <v>29</v>
      </c>
      <c r="E168">
        <v>3</v>
      </c>
      <c r="F168">
        <v>2689.4317000000001</v>
      </c>
      <c r="G168" t="s">
        <v>72</v>
      </c>
      <c r="H168" t="s">
        <v>10</v>
      </c>
      <c r="I168">
        <v>1663.566</v>
      </c>
      <c r="J168">
        <v>2772.61</v>
      </c>
      <c r="K168">
        <v>2</v>
      </c>
      <c r="L168">
        <v>3097.3477592969634</v>
      </c>
      <c r="M168">
        <v>3047.7533333333336</v>
      </c>
      <c r="N168">
        <v>77993.5193</v>
      </c>
      <c r="O168">
        <v>29750.105300000003</v>
      </c>
      <c r="P168">
        <v>-358.32163333333347</v>
      </c>
      <c r="Q168">
        <v>-0.11756910554878679</v>
      </c>
      <c r="R168">
        <v>0.3814432989690722</v>
      </c>
    </row>
    <row r="169" spans="1:18" x14ac:dyDescent="0.2">
      <c r="A169">
        <v>475</v>
      </c>
      <c r="B169">
        <v>51</v>
      </c>
      <c r="C169" s="1">
        <v>45111</v>
      </c>
      <c r="D169">
        <v>5</v>
      </c>
      <c r="E169">
        <v>8</v>
      </c>
      <c r="F169">
        <v>968.64039999999989</v>
      </c>
      <c r="G169" t="s">
        <v>63</v>
      </c>
      <c r="H169" t="s">
        <v>35</v>
      </c>
      <c r="I169">
        <v>631.72199999999987</v>
      </c>
      <c r="J169">
        <v>1052.8699999999999</v>
      </c>
      <c r="K169">
        <v>2</v>
      </c>
      <c r="L169">
        <v>1094.0531697977397</v>
      </c>
      <c r="M169">
        <v>5383.6833333333334</v>
      </c>
      <c r="N169">
        <v>4843.2019999999993</v>
      </c>
      <c r="O169">
        <v>1684.5920000000001</v>
      </c>
      <c r="P169">
        <v>-4415.0429333333332</v>
      </c>
      <c r="Q169">
        <v>-0.82007849644450359</v>
      </c>
      <c r="R169">
        <v>0.34782608695652178</v>
      </c>
    </row>
    <row r="170" spans="1:18" x14ac:dyDescent="0.2">
      <c r="A170">
        <v>472</v>
      </c>
      <c r="B170">
        <v>68</v>
      </c>
      <c r="C170" s="1">
        <v>45568</v>
      </c>
      <c r="D170">
        <v>7</v>
      </c>
      <c r="E170">
        <v>6</v>
      </c>
      <c r="F170">
        <v>5680.8805999999995</v>
      </c>
      <c r="G170" t="s">
        <v>80</v>
      </c>
      <c r="H170" t="s">
        <v>14</v>
      </c>
      <c r="I170">
        <v>3626.0939999999996</v>
      </c>
      <c r="J170">
        <v>6043.49</v>
      </c>
      <c r="K170">
        <v>2</v>
      </c>
      <c r="L170">
        <v>6586.4088971854817</v>
      </c>
      <c r="M170">
        <v>796.21333333333325</v>
      </c>
      <c r="N170">
        <v>39766.164199999999</v>
      </c>
      <c r="O170">
        <v>14383.5062</v>
      </c>
      <c r="P170">
        <v>4884.6672666666664</v>
      </c>
      <c r="Q170">
        <v>6.1348724797374237</v>
      </c>
      <c r="R170">
        <v>0.36170212765957449</v>
      </c>
    </row>
    <row r="171" spans="1:18" x14ac:dyDescent="0.2">
      <c r="A171">
        <v>466</v>
      </c>
      <c r="B171">
        <v>114</v>
      </c>
      <c r="C171" s="1">
        <v>45330</v>
      </c>
      <c r="D171">
        <v>44</v>
      </c>
      <c r="E171">
        <v>3</v>
      </c>
      <c r="F171">
        <v>7415.0776999999998</v>
      </c>
      <c r="G171" t="s">
        <v>126</v>
      </c>
      <c r="H171" t="s">
        <v>35</v>
      </c>
      <c r="I171">
        <v>4586.6459999999997</v>
      </c>
      <c r="J171">
        <v>7644.41</v>
      </c>
      <c r="K171">
        <v>2</v>
      </c>
      <c r="L171">
        <v>8691.0331720041158</v>
      </c>
      <c r="M171">
        <v>6494.3074999999999</v>
      </c>
      <c r="N171">
        <v>326263.41879999998</v>
      </c>
      <c r="O171">
        <v>124450.9948</v>
      </c>
      <c r="P171">
        <v>920.77019999999993</v>
      </c>
      <c r="Q171">
        <v>0.14178112138977095</v>
      </c>
      <c r="R171">
        <v>0.3814432989690722</v>
      </c>
    </row>
    <row r="172" spans="1:18" x14ac:dyDescent="0.2">
      <c r="A172">
        <v>171</v>
      </c>
      <c r="B172">
        <v>19</v>
      </c>
      <c r="C172" s="1">
        <v>45965</v>
      </c>
      <c r="D172">
        <v>6</v>
      </c>
      <c r="E172">
        <v>9</v>
      </c>
      <c r="F172">
        <v>3103.8553000000002</v>
      </c>
      <c r="G172" t="s">
        <v>30</v>
      </c>
      <c r="H172" t="s">
        <v>8</v>
      </c>
      <c r="I172">
        <v>2046.4979999999998</v>
      </c>
      <c r="J172">
        <v>3410.83</v>
      </c>
      <c r="K172">
        <v>2</v>
      </c>
      <c r="L172">
        <v>3741.3016558698291</v>
      </c>
      <c r="M172">
        <v>1213.8383333333334</v>
      </c>
      <c r="N172">
        <v>18623.131800000003</v>
      </c>
      <c r="O172">
        <v>6344.1438000000016</v>
      </c>
      <c r="P172">
        <v>1890.0169666666668</v>
      </c>
      <c r="Q172">
        <v>1.557058229885089</v>
      </c>
      <c r="R172">
        <v>0.34065934065934067</v>
      </c>
    </row>
    <row r="173" spans="1:18" x14ac:dyDescent="0.2">
      <c r="A173">
        <v>459</v>
      </c>
      <c r="B173">
        <v>87</v>
      </c>
      <c r="C173" s="1">
        <v>45810</v>
      </c>
      <c r="D173">
        <v>35</v>
      </c>
      <c r="E173">
        <v>10</v>
      </c>
      <c r="F173">
        <v>3684.7080000000001</v>
      </c>
      <c r="G173" t="s">
        <v>99</v>
      </c>
      <c r="H173" t="s">
        <v>35</v>
      </c>
      <c r="I173">
        <v>2456.4719999999998</v>
      </c>
      <c r="J173">
        <v>4094.12</v>
      </c>
      <c r="K173">
        <v>2</v>
      </c>
      <c r="L173">
        <v>4257.5734259668307</v>
      </c>
      <c r="M173">
        <v>493.79250000000002</v>
      </c>
      <c r="N173">
        <v>128964.78</v>
      </c>
      <c r="O173">
        <v>42988.260000000009</v>
      </c>
      <c r="P173">
        <v>3190.9155000000001</v>
      </c>
      <c r="Q173">
        <v>6.4620574431567919</v>
      </c>
      <c r="R173">
        <v>0.33333333333333343</v>
      </c>
    </row>
    <row r="174" spans="1:18" x14ac:dyDescent="0.2">
      <c r="A174">
        <v>452</v>
      </c>
      <c r="B174">
        <v>29</v>
      </c>
      <c r="C174" s="1">
        <v>45714</v>
      </c>
      <c r="D174">
        <v>31</v>
      </c>
      <c r="E174">
        <v>7</v>
      </c>
      <c r="F174">
        <v>6949.8899999999994</v>
      </c>
      <c r="G174" t="s">
        <v>41</v>
      </c>
      <c r="H174" t="s">
        <v>35</v>
      </c>
      <c r="I174">
        <v>4483.8</v>
      </c>
      <c r="J174">
        <v>7473</v>
      </c>
      <c r="K174">
        <v>2</v>
      </c>
      <c r="L174">
        <v>7603.7982315635445</v>
      </c>
      <c r="M174">
        <v>1925.7060000000001</v>
      </c>
      <c r="N174">
        <v>215446.58999999997</v>
      </c>
      <c r="O174">
        <v>76448.789999999979</v>
      </c>
      <c r="P174">
        <v>5024.1839999999993</v>
      </c>
      <c r="Q174">
        <v>2.6090088518185013</v>
      </c>
      <c r="R174">
        <v>0.35483870967741932</v>
      </c>
    </row>
    <row r="175" spans="1:18" x14ac:dyDescent="0.2">
      <c r="A175">
        <v>449</v>
      </c>
      <c r="B175">
        <v>87</v>
      </c>
      <c r="C175" s="1">
        <v>45228</v>
      </c>
      <c r="D175">
        <v>48</v>
      </c>
      <c r="E175">
        <v>2</v>
      </c>
      <c r="F175">
        <v>4012.2375999999999</v>
      </c>
      <c r="G175" t="s">
        <v>99</v>
      </c>
      <c r="H175" t="s">
        <v>35</v>
      </c>
      <c r="I175">
        <v>2456.4719999999998</v>
      </c>
      <c r="J175">
        <v>4094.12</v>
      </c>
      <c r="K175">
        <v>2</v>
      </c>
      <c r="L175">
        <v>4447.1713078968569</v>
      </c>
      <c r="M175">
        <v>493.79250000000002</v>
      </c>
      <c r="N175">
        <v>192587.40479999999</v>
      </c>
      <c r="O175">
        <v>74676.748800000001</v>
      </c>
      <c r="P175">
        <v>3518.4450999999999</v>
      </c>
      <c r="Q175">
        <v>7.1253514381040617</v>
      </c>
      <c r="R175">
        <v>0.38775510204081637</v>
      </c>
    </row>
    <row r="176" spans="1:18" x14ac:dyDescent="0.2">
      <c r="A176">
        <v>448</v>
      </c>
      <c r="B176">
        <v>146</v>
      </c>
      <c r="C176" s="1">
        <v>44993</v>
      </c>
      <c r="D176">
        <v>30</v>
      </c>
      <c r="E176">
        <v>3</v>
      </c>
      <c r="F176">
        <v>4590.9032999999999</v>
      </c>
      <c r="G176" t="s">
        <v>158</v>
      </c>
      <c r="H176" t="s">
        <v>10</v>
      </c>
      <c r="I176">
        <v>2839.7339999999999</v>
      </c>
      <c r="J176">
        <v>4732.8900000000003</v>
      </c>
      <c r="K176">
        <v>2</v>
      </c>
      <c r="L176">
        <v>4856.9704554361842</v>
      </c>
      <c r="M176">
        <v>619.60249999999996</v>
      </c>
      <c r="N176">
        <v>137727.09899999999</v>
      </c>
      <c r="O176">
        <v>52535.078999999998</v>
      </c>
      <c r="P176">
        <v>3971.3008</v>
      </c>
      <c r="Q176">
        <v>6.4094331446370862</v>
      </c>
      <c r="R176">
        <v>0.3814432989690722</v>
      </c>
    </row>
    <row r="177" spans="1:18" x14ac:dyDescent="0.2">
      <c r="A177">
        <v>442</v>
      </c>
      <c r="B177">
        <v>114</v>
      </c>
      <c r="C177" s="1">
        <v>45471</v>
      </c>
      <c r="D177">
        <v>31</v>
      </c>
      <c r="E177">
        <v>8</v>
      </c>
      <c r="F177">
        <v>7032.8572000000004</v>
      </c>
      <c r="G177" t="s">
        <v>126</v>
      </c>
      <c r="H177" t="s">
        <v>35</v>
      </c>
      <c r="I177">
        <v>4586.6459999999997</v>
      </c>
      <c r="J177">
        <v>7644.41</v>
      </c>
      <c r="K177">
        <v>2</v>
      </c>
      <c r="L177">
        <v>7725.1861282894961</v>
      </c>
      <c r="M177">
        <v>6494.3074999999999</v>
      </c>
      <c r="N177">
        <v>218018.57320000001</v>
      </c>
      <c r="O177">
        <v>75832.547200000015</v>
      </c>
      <c r="P177">
        <v>538.54970000000048</v>
      </c>
      <c r="Q177">
        <v>8.2926424410916869E-2</v>
      </c>
      <c r="R177">
        <v>0.34782608695652178</v>
      </c>
    </row>
    <row r="178" spans="1:18" x14ac:dyDescent="0.2">
      <c r="A178">
        <v>177</v>
      </c>
      <c r="B178">
        <v>58</v>
      </c>
      <c r="C178" s="1">
        <v>45102</v>
      </c>
      <c r="D178">
        <v>34</v>
      </c>
      <c r="E178">
        <v>3</v>
      </c>
      <c r="F178">
        <v>1104.4225999999999</v>
      </c>
      <c r="G178" t="s">
        <v>70</v>
      </c>
      <c r="H178" t="s">
        <v>6</v>
      </c>
      <c r="I178">
        <v>683.14799999999991</v>
      </c>
      <c r="J178">
        <v>1138.58</v>
      </c>
      <c r="K178">
        <v>2</v>
      </c>
      <c r="L178">
        <v>1460.3516625506591</v>
      </c>
      <c r="M178">
        <v>1439.8525</v>
      </c>
      <c r="N178">
        <v>37550.368399999992</v>
      </c>
      <c r="O178">
        <v>14323.336399999998</v>
      </c>
      <c r="P178">
        <v>-335.42990000000009</v>
      </c>
      <c r="Q178">
        <v>-0.23296129291021136</v>
      </c>
      <c r="R178">
        <v>0.3814432989690722</v>
      </c>
    </row>
    <row r="179" spans="1:18" x14ac:dyDescent="0.2">
      <c r="A179">
        <v>178</v>
      </c>
      <c r="B179">
        <v>57</v>
      </c>
      <c r="C179" s="1">
        <v>45880</v>
      </c>
      <c r="D179">
        <v>25</v>
      </c>
      <c r="E179">
        <v>10</v>
      </c>
      <c r="F179">
        <v>6130.5749999999998</v>
      </c>
      <c r="G179" t="s">
        <v>69</v>
      </c>
      <c r="H179" t="s">
        <v>14</v>
      </c>
      <c r="I179">
        <v>4087.0499999999997</v>
      </c>
      <c r="J179">
        <v>6811.75</v>
      </c>
      <c r="K179">
        <v>2</v>
      </c>
      <c r="L179">
        <v>8475.124810229825</v>
      </c>
      <c r="M179">
        <v>1836.9825000000001</v>
      </c>
      <c r="N179">
        <v>153264.375</v>
      </c>
      <c r="O179">
        <v>51088.125</v>
      </c>
      <c r="P179">
        <v>4293.5924999999997</v>
      </c>
      <c r="Q179">
        <v>2.3373072416313163</v>
      </c>
      <c r="R179">
        <v>0.33333333333333331</v>
      </c>
    </row>
    <row r="180" spans="1:18" x14ac:dyDescent="0.2">
      <c r="A180">
        <v>440</v>
      </c>
      <c r="B180">
        <v>95</v>
      </c>
      <c r="C180" s="1">
        <v>45460</v>
      </c>
      <c r="D180">
        <v>49</v>
      </c>
      <c r="E180">
        <v>5</v>
      </c>
      <c r="F180">
        <v>6620.2365</v>
      </c>
      <c r="G180" t="s">
        <v>107</v>
      </c>
      <c r="H180" t="s">
        <v>6</v>
      </c>
      <c r="I180">
        <v>4181.2020000000002</v>
      </c>
      <c r="J180">
        <v>6968.67</v>
      </c>
      <c r="K180">
        <v>2</v>
      </c>
      <c r="L180">
        <v>7554.4673745461923</v>
      </c>
      <c r="M180">
        <v>2797.7239999999997</v>
      </c>
      <c r="N180">
        <v>324391.58850000001</v>
      </c>
      <c r="O180">
        <v>119512.69049999998</v>
      </c>
      <c r="P180">
        <v>3822.5125000000003</v>
      </c>
      <c r="Q180">
        <v>1.3662936372565702</v>
      </c>
      <c r="R180">
        <v>0.36842105263157887</v>
      </c>
    </row>
    <row r="181" spans="1:18" x14ac:dyDescent="0.2">
      <c r="A181">
        <v>423</v>
      </c>
      <c r="B181">
        <v>29</v>
      </c>
      <c r="C181" s="1">
        <v>45328</v>
      </c>
      <c r="D181">
        <v>41</v>
      </c>
      <c r="E181">
        <v>4</v>
      </c>
      <c r="F181">
        <v>7174.08</v>
      </c>
      <c r="G181" t="s">
        <v>41</v>
      </c>
      <c r="H181" t="s">
        <v>35</v>
      </c>
      <c r="I181">
        <v>4483.8</v>
      </c>
      <c r="J181">
        <v>7473</v>
      </c>
      <c r="K181">
        <v>2</v>
      </c>
      <c r="L181">
        <v>9437.1294236117046</v>
      </c>
      <c r="M181">
        <v>1925.7060000000001</v>
      </c>
      <c r="N181">
        <v>294137.27999999997</v>
      </c>
      <c r="O181">
        <v>110301.48</v>
      </c>
      <c r="P181">
        <v>5248.3739999999998</v>
      </c>
      <c r="Q181">
        <v>2.7254284921997436</v>
      </c>
      <c r="R181">
        <v>0.375</v>
      </c>
    </row>
    <row r="182" spans="1:18" x14ac:dyDescent="0.2">
      <c r="A182">
        <v>422</v>
      </c>
      <c r="B182">
        <v>101</v>
      </c>
      <c r="C182" s="1">
        <v>45949</v>
      </c>
      <c r="D182">
        <v>43</v>
      </c>
      <c r="E182">
        <v>2</v>
      </c>
      <c r="F182">
        <v>4625.8841999999995</v>
      </c>
      <c r="G182" t="s">
        <v>113</v>
      </c>
      <c r="H182" t="s">
        <v>17</v>
      </c>
      <c r="I182">
        <v>2832.174</v>
      </c>
      <c r="J182">
        <v>4720.29</v>
      </c>
      <c r="K182">
        <v>2</v>
      </c>
      <c r="L182">
        <v>5308.1130586419486</v>
      </c>
      <c r="M182">
        <v>6068.0179999999991</v>
      </c>
      <c r="N182">
        <v>198913.02059999999</v>
      </c>
      <c r="O182">
        <v>77129.538599999985</v>
      </c>
      <c r="P182">
        <v>-1442.1337999999996</v>
      </c>
      <c r="Q182">
        <v>-0.23766142420803626</v>
      </c>
      <c r="R182">
        <v>0.38775510204081626</v>
      </c>
    </row>
    <row r="183" spans="1:18" x14ac:dyDescent="0.2">
      <c r="A183">
        <v>182</v>
      </c>
      <c r="B183">
        <v>31</v>
      </c>
      <c r="C183" s="1">
        <v>45585</v>
      </c>
      <c r="D183">
        <v>18</v>
      </c>
      <c r="E183">
        <v>9</v>
      </c>
      <c r="F183">
        <v>931.14840000000004</v>
      </c>
      <c r="G183" t="s">
        <v>43</v>
      </c>
      <c r="H183" t="s">
        <v>35</v>
      </c>
      <c r="I183">
        <v>613.94399999999996</v>
      </c>
      <c r="J183">
        <v>1023.24</v>
      </c>
      <c r="K183">
        <v>2</v>
      </c>
      <c r="L183">
        <v>1108.4201121197073</v>
      </c>
      <c r="M183">
        <v>1065.8219999999999</v>
      </c>
      <c r="N183">
        <v>16760.671200000001</v>
      </c>
      <c r="O183">
        <v>5709.6792000000014</v>
      </c>
      <c r="P183">
        <v>-134.67359999999985</v>
      </c>
      <c r="Q183">
        <v>-0.12635655859984113</v>
      </c>
      <c r="R183">
        <v>0.34065934065934073</v>
      </c>
    </row>
    <row r="184" spans="1:18" x14ac:dyDescent="0.2">
      <c r="A184">
        <v>421</v>
      </c>
      <c r="B184">
        <v>57</v>
      </c>
      <c r="C184" s="1">
        <v>45361</v>
      </c>
      <c r="D184">
        <v>30</v>
      </c>
      <c r="E184">
        <v>7</v>
      </c>
      <c r="F184">
        <v>6334.9274999999998</v>
      </c>
      <c r="G184" t="s">
        <v>69</v>
      </c>
      <c r="H184" t="s">
        <v>14</v>
      </c>
      <c r="I184">
        <v>4087.0499999999997</v>
      </c>
      <c r="J184">
        <v>6811.75</v>
      </c>
      <c r="K184">
        <v>2</v>
      </c>
      <c r="L184">
        <v>7548.8195634868844</v>
      </c>
      <c r="M184">
        <v>1836.9825000000001</v>
      </c>
      <c r="N184">
        <v>190047.82499999998</v>
      </c>
      <c r="O184">
        <v>67436.324999999997</v>
      </c>
      <c r="P184">
        <v>4497.9449999999997</v>
      </c>
      <c r="Q184">
        <v>2.4485508163523604</v>
      </c>
      <c r="R184">
        <v>0.35483870967741937</v>
      </c>
    </row>
    <row r="185" spans="1:18" x14ac:dyDescent="0.2">
      <c r="A185">
        <v>184</v>
      </c>
      <c r="B185">
        <v>55</v>
      </c>
      <c r="C185" s="1">
        <v>45721</v>
      </c>
      <c r="D185">
        <v>23</v>
      </c>
      <c r="E185">
        <v>2</v>
      </c>
      <c r="F185">
        <v>945.00419999999997</v>
      </c>
      <c r="G185" t="s">
        <v>67</v>
      </c>
      <c r="H185" t="s">
        <v>14</v>
      </c>
      <c r="I185">
        <v>578.57399999999996</v>
      </c>
      <c r="J185">
        <v>964.29</v>
      </c>
      <c r="K185">
        <v>2</v>
      </c>
      <c r="L185">
        <v>1172.8198607116815</v>
      </c>
      <c r="M185">
        <v>1508.7675000000002</v>
      </c>
      <c r="N185">
        <v>21735.096600000001</v>
      </c>
      <c r="O185">
        <v>8427.8945999999996</v>
      </c>
      <c r="P185">
        <v>-563.76330000000019</v>
      </c>
      <c r="Q185">
        <v>-0.37365816800799334</v>
      </c>
      <c r="R185">
        <v>0.38775510204081631</v>
      </c>
    </row>
    <row r="186" spans="1:18" x14ac:dyDescent="0.2">
      <c r="A186">
        <v>415</v>
      </c>
      <c r="B186">
        <v>64</v>
      </c>
      <c r="C186" s="1">
        <v>45382</v>
      </c>
      <c r="D186">
        <v>36</v>
      </c>
      <c r="E186">
        <v>4</v>
      </c>
      <c r="F186">
        <v>3072</v>
      </c>
      <c r="G186" t="s">
        <v>76</v>
      </c>
      <c r="H186" t="s">
        <v>10</v>
      </c>
      <c r="I186">
        <v>1920</v>
      </c>
      <c r="J186">
        <v>3200</v>
      </c>
      <c r="K186">
        <v>2</v>
      </c>
      <c r="L186">
        <v>4149.384645211001</v>
      </c>
      <c r="M186">
        <v>3782.0099999999998</v>
      </c>
      <c r="N186">
        <v>110592</v>
      </c>
      <c r="O186">
        <v>41472</v>
      </c>
      <c r="P186">
        <v>-710.00999999999976</v>
      </c>
      <c r="Q186">
        <v>-0.18773350678607403</v>
      </c>
      <c r="R186">
        <v>0.375</v>
      </c>
    </row>
    <row r="187" spans="1:18" x14ac:dyDescent="0.2">
      <c r="A187">
        <v>410</v>
      </c>
      <c r="B187">
        <v>115</v>
      </c>
      <c r="C187" s="1">
        <v>45247</v>
      </c>
      <c r="D187">
        <v>11</v>
      </c>
      <c r="E187">
        <v>4</v>
      </c>
      <c r="F187">
        <v>4503.6287999999995</v>
      </c>
      <c r="G187" t="s">
        <v>127</v>
      </c>
      <c r="H187" t="s">
        <v>10</v>
      </c>
      <c r="I187">
        <v>2814.7679999999996</v>
      </c>
      <c r="J187">
        <v>4691.28</v>
      </c>
      <c r="K187">
        <v>2</v>
      </c>
      <c r="L187">
        <v>6047.3199764585188</v>
      </c>
      <c r="M187">
        <v>4456.5325000000003</v>
      </c>
      <c r="N187">
        <v>49539.916799999992</v>
      </c>
      <c r="O187">
        <v>18577.468799999999</v>
      </c>
      <c r="P187">
        <v>47.096299999999246</v>
      </c>
      <c r="Q187">
        <v>1.0567924726230369E-2</v>
      </c>
      <c r="R187">
        <v>0.37500000000000006</v>
      </c>
    </row>
    <row r="188" spans="1:18" x14ac:dyDescent="0.2">
      <c r="A188">
        <v>187</v>
      </c>
      <c r="B188">
        <v>99</v>
      </c>
      <c r="C188" s="1">
        <v>45769</v>
      </c>
      <c r="D188">
        <v>31</v>
      </c>
      <c r="E188">
        <v>3</v>
      </c>
      <c r="F188">
        <v>1982.6605999999999</v>
      </c>
      <c r="G188" t="s">
        <v>111</v>
      </c>
      <c r="H188" t="s">
        <v>17</v>
      </c>
      <c r="I188">
        <v>1226.3879999999999</v>
      </c>
      <c r="J188">
        <v>2043.98</v>
      </c>
      <c r="K188">
        <v>2</v>
      </c>
      <c r="L188">
        <v>2210.0889908481399</v>
      </c>
      <c r="M188">
        <v>958.76666666666654</v>
      </c>
      <c r="N188">
        <v>61462.478599999995</v>
      </c>
      <c r="O188">
        <v>23444.4506</v>
      </c>
      <c r="P188">
        <v>1023.8939333333334</v>
      </c>
      <c r="Q188">
        <v>1.0679281716093594</v>
      </c>
      <c r="R188">
        <v>0.3814432989690722</v>
      </c>
    </row>
    <row r="189" spans="1:18" x14ac:dyDescent="0.2">
      <c r="A189">
        <v>385</v>
      </c>
      <c r="B189">
        <v>107</v>
      </c>
      <c r="C189" s="1">
        <v>44973</v>
      </c>
      <c r="D189">
        <v>4</v>
      </c>
      <c r="E189">
        <v>3</v>
      </c>
      <c r="F189">
        <v>1520.8630000000001</v>
      </c>
      <c r="G189" t="s">
        <v>119</v>
      </c>
      <c r="H189" t="s">
        <v>14</v>
      </c>
      <c r="I189">
        <v>940.74</v>
      </c>
      <c r="J189">
        <v>1567.9</v>
      </c>
      <c r="K189">
        <v>2</v>
      </c>
      <c r="L189">
        <v>1765.688786297241</v>
      </c>
      <c r="M189">
        <v>979.96</v>
      </c>
      <c r="N189">
        <v>6083.4520000000002</v>
      </c>
      <c r="O189">
        <v>2320.4920000000002</v>
      </c>
      <c r="P189">
        <v>540.90300000000002</v>
      </c>
      <c r="Q189">
        <v>0.55196436589248543</v>
      </c>
      <c r="R189">
        <v>0.3814432989690722</v>
      </c>
    </row>
    <row r="190" spans="1:18" x14ac:dyDescent="0.2">
      <c r="A190">
        <v>384</v>
      </c>
      <c r="B190">
        <v>8</v>
      </c>
      <c r="C190" s="1">
        <v>45134</v>
      </c>
      <c r="D190">
        <v>44</v>
      </c>
      <c r="E190">
        <v>2</v>
      </c>
      <c r="F190">
        <v>5531.0611999999992</v>
      </c>
      <c r="G190" t="s">
        <v>18</v>
      </c>
      <c r="H190" t="s">
        <v>19</v>
      </c>
      <c r="I190">
        <v>3386.3639999999996</v>
      </c>
      <c r="J190">
        <v>5643.94</v>
      </c>
      <c r="K190">
        <v>2</v>
      </c>
      <c r="L190">
        <v>6172.4228866417725</v>
      </c>
      <c r="M190">
        <v>2853.6650000000004</v>
      </c>
      <c r="N190">
        <v>243366.69279999996</v>
      </c>
      <c r="O190">
        <v>94366.676799999987</v>
      </c>
      <c r="P190">
        <v>2677.3961999999988</v>
      </c>
      <c r="Q190">
        <v>0.9382307313577446</v>
      </c>
      <c r="R190">
        <v>0.38775510204081631</v>
      </c>
    </row>
    <row r="191" spans="1:18" x14ac:dyDescent="0.2">
      <c r="A191">
        <v>382</v>
      </c>
      <c r="B191">
        <v>68</v>
      </c>
      <c r="C191" s="1">
        <v>45733</v>
      </c>
      <c r="D191">
        <v>39</v>
      </c>
      <c r="E191">
        <v>10</v>
      </c>
      <c r="F191">
        <v>5439.1409999999996</v>
      </c>
      <c r="G191" t="s">
        <v>80</v>
      </c>
      <c r="H191" t="s">
        <v>14</v>
      </c>
      <c r="I191">
        <v>3626.0939999999996</v>
      </c>
      <c r="J191">
        <v>6043.49</v>
      </c>
      <c r="K191">
        <v>2</v>
      </c>
      <c r="L191">
        <v>6575.9906928018254</v>
      </c>
      <c r="M191">
        <v>796.21333333333325</v>
      </c>
      <c r="N191">
        <v>212126.49899999998</v>
      </c>
      <c r="O191">
        <v>70708.832999999999</v>
      </c>
      <c r="P191">
        <v>4642.9276666666665</v>
      </c>
      <c r="Q191">
        <v>5.8312608848549807</v>
      </c>
      <c r="R191">
        <v>0.33333333333333337</v>
      </c>
    </row>
    <row r="192" spans="1:18" x14ac:dyDescent="0.2">
      <c r="A192">
        <v>191</v>
      </c>
      <c r="B192">
        <v>87</v>
      </c>
      <c r="C192" s="1">
        <v>45125</v>
      </c>
      <c r="D192">
        <v>28</v>
      </c>
      <c r="E192">
        <v>7</v>
      </c>
      <c r="F192">
        <v>3807.5315999999998</v>
      </c>
      <c r="G192" t="s">
        <v>99</v>
      </c>
      <c r="H192" t="s">
        <v>35</v>
      </c>
      <c r="I192">
        <v>2456.4719999999998</v>
      </c>
      <c r="J192">
        <v>4094.12</v>
      </c>
      <c r="K192">
        <v>2</v>
      </c>
      <c r="L192">
        <v>4864.7093287218086</v>
      </c>
      <c r="M192">
        <v>493.79250000000002</v>
      </c>
      <c r="N192">
        <v>106610.8848</v>
      </c>
      <c r="O192">
        <v>37829.668799999999</v>
      </c>
      <c r="P192">
        <v>3313.7390999999998</v>
      </c>
      <c r="Q192">
        <v>6.7107926912620171</v>
      </c>
      <c r="R192">
        <v>0.35483870967741937</v>
      </c>
    </row>
    <row r="193" spans="1:18" x14ac:dyDescent="0.2">
      <c r="A193">
        <v>380</v>
      </c>
      <c r="B193">
        <v>19</v>
      </c>
      <c r="C193" s="1">
        <v>45213</v>
      </c>
      <c r="D193">
        <v>39</v>
      </c>
      <c r="E193">
        <v>4</v>
      </c>
      <c r="F193">
        <v>3274.3968</v>
      </c>
      <c r="G193" t="s">
        <v>30</v>
      </c>
      <c r="H193" t="s">
        <v>8</v>
      </c>
      <c r="I193">
        <v>2046.4979999999998</v>
      </c>
      <c r="J193">
        <v>3410.83</v>
      </c>
      <c r="K193">
        <v>2</v>
      </c>
      <c r="L193">
        <v>4048.8288681331974</v>
      </c>
      <c r="M193">
        <v>1213.8383333333334</v>
      </c>
      <c r="N193">
        <v>127701.4752</v>
      </c>
      <c r="O193">
        <v>47888.053200000009</v>
      </c>
      <c r="P193">
        <v>2060.5584666666664</v>
      </c>
      <c r="Q193">
        <v>1.6975559348238298</v>
      </c>
      <c r="R193">
        <v>0.37500000000000006</v>
      </c>
    </row>
    <row r="194" spans="1:18" x14ac:dyDescent="0.2">
      <c r="A194">
        <v>375</v>
      </c>
      <c r="B194">
        <v>107</v>
      </c>
      <c r="C194" s="1">
        <v>45501</v>
      </c>
      <c r="D194">
        <v>4</v>
      </c>
      <c r="E194">
        <v>3</v>
      </c>
      <c r="F194">
        <v>1520.8630000000001</v>
      </c>
      <c r="G194" t="s">
        <v>119</v>
      </c>
      <c r="H194" t="s">
        <v>14</v>
      </c>
      <c r="I194">
        <v>940.74</v>
      </c>
      <c r="J194">
        <v>1567.9</v>
      </c>
      <c r="K194">
        <v>2</v>
      </c>
      <c r="L194">
        <v>2002.6041040428408</v>
      </c>
      <c r="M194">
        <v>979.96</v>
      </c>
      <c r="N194">
        <v>6083.4520000000002</v>
      </c>
      <c r="O194">
        <v>2320.4920000000002</v>
      </c>
      <c r="P194">
        <v>540.90300000000002</v>
      </c>
      <c r="Q194">
        <v>0.55196436589248543</v>
      </c>
      <c r="R194">
        <v>0.3814432989690722</v>
      </c>
    </row>
    <row r="195" spans="1:18" x14ac:dyDescent="0.2">
      <c r="A195">
        <v>194</v>
      </c>
      <c r="B195">
        <v>109</v>
      </c>
      <c r="C195" s="1">
        <v>45283</v>
      </c>
      <c r="D195">
        <v>14</v>
      </c>
      <c r="E195">
        <v>7</v>
      </c>
      <c r="F195">
        <v>2059.4756999999995</v>
      </c>
      <c r="G195" t="s">
        <v>121</v>
      </c>
      <c r="H195" t="s">
        <v>10</v>
      </c>
      <c r="I195">
        <v>1328.6939999999997</v>
      </c>
      <c r="J195">
        <v>2214.4899999999998</v>
      </c>
      <c r="K195">
        <v>2</v>
      </c>
      <c r="L195">
        <v>2439.8238020674939</v>
      </c>
      <c r="M195">
        <v>6555.1760000000013</v>
      </c>
      <c r="N195">
        <v>28832.659799999994</v>
      </c>
      <c r="O195">
        <v>10230.943799999997</v>
      </c>
      <c r="P195">
        <v>-4495.7003000000022</v>
      </c>
      <c r="Q195">
        <v>-0.68582449960153646</v>
      </c>
      <c r="R195">
        <v>0.35483870967741932</v>
      </c>
    </row>
    <row r="196" spans="1:18" x14ac:dyDescent="0.2">
      <c r="A196">
        <v>368</v>
      </c>
      <c r="B196">
        <v>144</v>
      </c>
      <c r="C196" s="1">
        <v>45316</v>
      </c>
      <c r="D196">
        <v>24</v>
      </c>
      <c r="E196">
        <v>10</v>
      </c>
      <c r="F196">
        <v>1420.3980000000001</v>
      </c>
      <c r="G196" t="s">
        <v>156</v>
      </c>
      <c r="H196" t="s">
        <v>8</v>
      </c>
      <c r="I196">
        <v>946.93200000000002</v>
      </c>
      <c r="J196">
        <v>1578.22</v>
      </c>
      <c r="K196">
        <v>2</v>
      </c>
      <c r="L196">
        <v>1912.2883855219245</v>
      </c>
      <c r="M196">
        <v>6414.0239999999994</v>
      </c>
      <c r="N196">
        <v>34089.552000000003</v>
      </c>
      <c r="O196">
        <v>11363.184000000003</v>
      </c>
      <c r="P196">
        <v>-4993.6259999999993</v>
      </c>
      <c r="Q196">
        <v>-0.77854806904370788</v>
      </c>
      <c r="R196">
        <v>0.33333333333333337</v>
      </c>
    </row>
    <row r="197" spans="1:18" x14ac:dyDescent="0.2">
      <c r="A197">
        <v>367</v>
      </c>
      <c r="B197">
        <v>8</v>
      </c>
      <c r="C197" s="1">
        <v>45411</v>
      </c>
      <c r="D197">
        <v>13</v>
      </c>
      <c r="E197">
        <v>2</v>
      </c>
      <c r="F197">
        <v>5531.0611999999992</v>
      </c>
      <c r="G197" t="s">
        <v>18</v>
      </c>
      <c r="H197" t="s">
        <v>19</v>
      </c>
      <c r="I197">
        <v>3386.3639999999996</v>
      </c>
      <c r="J197">
        <v>5643.94</v>
      </c>
      <c r="K197">
        <v>2</v>
      </c>
      <c r="L197">
        <v>7068.9304026971458</v>
      </c>
      <c r="M197">
        <v>2853.6650000000004</v>
      </c>
      <c r="N197">
        <v>71903.795599999983</v>
      </c>
      <c r="O197">
        <v>27881.063599999994</v>
      </c>
      <c r="P197">
        <v>2677.3961999999988</v>
      </c>
      <c r="Q197">
        <v>0.9382307313577446</v>
      </c>
      <c r="R197">
        <v>0.38775510204081631</v>
      </c>
    </row>
    <row r="198" spans="1:18" x14ac:dyDescent="0.2">
      <c r="A198">
        <v>360</v>
      </c>
      <c r="B198">
        <v>42</v>
      </c>
      <c r="C198" s="1">
        <v>45465</v>
      </c>
      <c r="D198">
        <v>1</v>
      </c>
      <c r="E198">
        <v>4</v>
      </c>
      <c r="F198">
        <v>410.49599999999998</v>
      </c>
      <c r="G198" t="s">
        <v>54</v>
      </c>
      <c r="H198" t="s">
        <v>19</v>
      </c>
      <c r="I198">
        <v>256.56</v>
      </c>
      <c r="J198">
        <v>427.6</v>
      </c>
      <c r="K198">
        <v>2</v>
      </c>
      <c r="L198">
        <v>449.67471765432214</v>
      </c>
      <c r="M198">
        <v>513.45666666666671</v>
      </c>
      <c r="N198">
        <v>410.49599999999998</v>
      </c>
      <c r="O198">
        <v>153.93599999999998</v>
      </c>
      <c r="P198">
        <v>-102.96066666666673</v>
      </c>
      <c r="Q198">
        <v>-0.20052454929659766</v>
      </c>
      <c r="R198">
        <v>0.37499999999999994</v>
      </c>
    </row>
    <row r="199" spans="1:18" x14ac:dyDescent="0.2">
      <c r="A199">
        <v>198</v>
      </c>
      <c r="B199">
        <v>60</v>
      </c>
      <c r="C199" s="1">
        <v>45048</v>
      </c>
      <c r="D199">
        <v>34</v>
      </c>
      <c r="E199">
        <v>9</v>
      </c>
      <c r="F199">
        <v>2523.0751</v>
      </c>
      <c r="G199" t="s">
        <v>72</v>
      </c>
      <c r="H199" t="s">
        <v>10</v>
      </c>
      <c r="I199">
        <v>1663.566</v>
      </c>
      <c r="J199">
        <v>2772.61</v>
      </c>
      <c r="K199">
        <v>2</v>
      </c>
      <c r="L199">
        <v>3549.1361211709814</v>
      </c>
      <c r="M199">
        <v>3047.7533333333336</v>
      </c>
      <c r="N199">
        <v>85784.553400000004</v>
      </c>
      <c r="O199">
        <v>29223.309399999998</v>
      </c>
      <c r="P199">
        <v>-524.67823333333354</v>
      </c>
      <c r="Q199">
        <v>-0.17215245984473815</v>
      </c>
      <c r="R199">
        <v>0.34065934065934061</v>
      </c>
    </row>
    <row r="200" spans="1:18" x14ac:dyDescent="0.2">
      <c r="A200">
        <v>354</v>
      </c>
      <c r="B200">
        <v>34</v>
      </c>
      <c r="C200" s="1">
        <v>45018</v>
      </c>
      <c r="D200">
        <v>46</v>
      </c>
      <c r="E200">
        <v>4</v>
      </c>
      <c r="F200">
        <v>1251.2544</v>
      </c>
      <c r="G200" t="s">
        <v>46</v>
      </c>
      <c r="H200" t="s">
        <v>19</v>
      </c>
      <c r="I200">
        <v>782.03399999999999</v>
      </c>
      <c r="J200">
        <v>1303.3900000000001</v>
      </c>
      <c r="K200">
        <v>2</v>
      </c>
      <c r="L200">
        <v>1538.3115974362981</v>
      </c>
      <c r="M200">
        <v>4145.4440000000004</v>
      </c>
      <c r="N200">
        <v>57557.702400000002</v>
      </c>
      <c r="O200">
        <v>21584.138400000003</v>
      </c>
      <c r="P200">
        <v>-2894.1896000000006</v>
      </c>
      <c r="Q200">
        <v>-0.698161547954815</v>
      </c>
      <c r="R200">
        <v>0.37500000000000006</v>
      </c>
    </row>
    <row r="201" spans="1:18" x14ac:dyDescent="0.2">
      <c r="A201">
        <v>349</v>
      </c>
      <c r="B201">
        <v>17</v>
      </c>
      <c r="C201" s="1">
        <v>44985</v>
      </c>
      <c r="D201">
        <v>25</v>
      </c>
      <c r="E201">
        <v>6</v>
      </c>
      <c r="F201">
        <v>2800.4198000000001</v>
      </c>
      <c r="G201" t="s">
        <v>28</v>
      </c>
      <c r="H201" t="s">
        <v>12</v>
      </c>
      <c r="I201">
        <v>1787.502</v>
      </c>
      <c r="J201">
        <v>2979.17</v>
      </c>
      <c r="K201">
        <v>2</v>
      </c>
      <c r="L201">
        <v>3793.8870895671562</v>
      </c>
      <c r="M201">
        <v>1105.6675</v>
      </c>
      <c r="N201">
        <v>70010.49500000001</v>
      </c>
      <c r="O201">
        <v>25322.945000000003</v>
      </c>
      <c r="P201">
        <v>1694.7523000000001</v>
      </c>
      <c r="Q201">
        <v>1.5327865746257352</v>
      </c>
      <c r="R201">
        <v>0.36170212765957449</v>
      </c>
    </row>
    <row r="202" spans="1:18" x14ac:dyDescent="0.2">
      <c r="A202">
        <v>343</v>
      </c>
      <c r="B202">
        <v>64</v>
      </c>
      <c r="C202" s="1">
        <v>45380</v>
      </c>
      <c r="D202">
        <v>12</v>
      </c>
      <c r="E202">
        <v>10</v>
      </c>
      <c r="F202">
        <v>2880</v>
      </c>
      <c r="G202" t="s">
        <v>76</v>
      </c>
      <c r="H202" t="s">
        <v>10</v>
      </c>
      <c r="I202">
        <v>1920</v>
      </c>
      <c r="J202">
        <v>3200</v>
      </c>
      <c r="K202">
        <v>2</v>
      </c>
      <c r="L202">
        <v>3261.649672002005</v>
      </c>
      <c r="M202">
        <v>3782.0099999999998</v>
      </c>
      <c r="N202">
        <v>34560</v>
      </c>
      <c r="O202">
        <v>11520</v>
      </c>
      <c r="P202">
        <v>-902.00999999999976</v>
      </c>
      <c r="Q202">
        <v>-0.2385001626119444</v>
      </c>
      <c r="R202">
        <v>0.33333333333333331</v>
      </c>
    </row>
    <row r="203" spans="1:18" x14ac:dyDescent="0.2">
      <c r="A203">
        <v>341</v>
      </c>
      <c r="B203">
        <v>95</v>
      </c>
      <c r="C203" s="1">
        <v>45861</v>
      </c>
      <c r="D203">
        <v>7</v>
      </c>
      <c r="E203">
        <v>4</v>
      </c>
      <c r="F203">
        <v>6689.9232000000002</v>
      </c>
      <c r="G203" t="s">
        <v>107</v>
      </c>
      <c r="H203" t="s">
        <v>6</v>
      </c>
      <c r="I203">
        <v>4181.2020000000002</v>
      </c>
      <c r="J203">
        <v>6968.67</v>
      </c>
      <c r="K203">
        <v>2</v>
      </c>
      <c r="L203">
        <v>8117.3623558526688</v>
      </c>
      <c r="M203">
        <v>2797.7239999999997</v>
      </c>
      <c r="N203">
        <v>46829.462400000004</v>
      </c>
      <c r="O203">
        <v>17561.0484</v>
      </c>
      <c r="P203">
        <v>3892.1992000000005</v>
      </c>
      <c r="Q203">
        <v>1.3912019913329552</v>
      </c>
      <c r="R203">
        <v>0.37499999999999994</v>
      </c>
    </row>
    <row r="204" spans="1:18" x14ac:dyDescent="0.2">
      <c r="A204">
        <v>328</v>
      </c>
      <c r="B204">
        <v>57</v>
      </c>
      <c r="C204" s="1">
        <v>45942</v>
      </c>
      <c r="D204">
        <v>7</v>
      </c>
      <c r="E204">
        <v>2</v>
      </c>
      <c r="F204">
        <v>6675.5150000000003</v>
      </c>
      <c r="G204" t="s">
        <v>69</v>
      </c>
      <c r="H204" t="s">
        <v>14</v>
      </c>
      <c r="I204">
        <v>4087.0499999999997</v>
      </c>
      <c r="J204">
        <v>6811.75</v>
      </c>
      <c r="K204">
        <v>2</v>
      </c>
      <c r="L204">
        <v>6839.607875738584</v>
      </c>
      <c r="M204">
        <v>1836.9825000000001</v>
      </c>
      <c r="N204">
        <v>46728.605000000003</v>
      </c>
      <c r="O204">
        <v>18119.255000000005</v>
      </c>
      <c r="P204">
        <v>4838.5325000000003</v>
      </c>
      <c r="Q204">
        <v>2.633956774220767</v>
      </c>
      <c r="R204">
        <v>0.38775510204081642</v>
      </c>
    </row>
    <row r="205" spans="1:18" x14ac:dyDescent="0.2">
      <c r="A205">
        <v>327</v>
      </c>
      <c r="B205">
        <v>8</v>
      </c>
      <c r="C205" s="1">
        <v>45298</v>
      </c>
      <c r="D205">
        <v>36</v>
      </c>
      <c r="E205">
        <v>9</v>
      </c>
      <c r="F205">
        <v>5135.9853999999996</v>
      </c>
      <c r="G205" t="s">
        <v>18</v>
      </c>
      <c r="H205" t="s">
        <v>19</v>
      </c>
      <c r="I205">
        <v>3386.3639999999996</v>
      </c>
      <c r="J205">
        <v>5643.94</v>
      </c>
      <c r="K205">
        <v>2</v>
      </c>
      <c r="L205">
        <v>6414.1918547767673</v>
      </c>
      <c r="M205">
        <v>2853.6650000000004</v>
      </c>
      <c r="N205">
        <v>184895.47439999998</v>
      </c>
      <c r="O205">
        <v>62986.3704</v>
      </c>
      <c r="P205">
        <v>2282.3203999999992</v>
      </c>
      <c r="Q205">
        <v>0.79978567911790588</v>
      </c>
      <c r="R205">
        <v>0.34065934065934073</v>
      </c>
    </row>
    <row r="206" spans="1:18" x14ac:dyDescent="0.2">
      <c r="A206">
        <v>319</v>
      </c>
      <c r="B206">
        <v>42</v>
      </c>
      <c r="C206" s="1">
        <v>45245</v>
      </c>
      <c r="D206">
        <v>38</v>
      </c>
      <c r="E206">
        <v>2</v>
      </c>
      <c r="F206">
        <v>419.048</v>
      </c>
      <c r="G206" t="s">
        <v>54</v>
      </c>
      <c r="H206" t="s">
        <v>19</v>
      </c>
      <c r="I206">
        <v>256.56</v>
      </c>
      <c r="J206">
        <v>427.6</v>
      </c>
      <c r="K206">
        <v>2</v>
      </c>
      <c r="L206">
        <v>491.60483810484624</v>
      </c>
      <c r="M206">
        <v>513.45666666666671</v>
      </c>
      <c r="N206">
        <v>15923.824000000001</v>
      </c>
      <c r="O206">
        <v>6174.5439999999999</v>
      </c>
      <c r="P206">
        <v>-94.408666666666704</v>
      </c>
      <c r="Q206">
        <v>-0.18386881074027675</v>
      </c>
      <c r="R206">
        <v>0.38775510204081631</v>
      </c>
    </row>
    <row r="207" spans="1:18" x14ac:dyDescent="0.2">
      <c r="A207">
        <v>314</v>
      </c>
      <c r="B207">
        <v>34</v>
      </c>
      <c r="C207" s="1">
        <v>45227</v>
      </c>
      <c r="D207">
        <v>4</v>
      </c>
      <c r="E207">
        <v>4</v>
      </c>
      <c r="F207">
        <v>1251.2544</v>
      </c>
      <c r="G207" t="s">
        <v>46</v>
      </c>
      <c r="H207" t="s">
        <v>19</v>
      </c>
      <c r="I207">
        <v>782.03399999999999</v>
      </c>
      <c r="J207">
        <v>1303.3900000000001</v>
      </c>
      <c r="K207">
        <v>2</v>
      </c>
      <c r="L207">
        <v>1618.0989992639982</v>
      </c>
      <c r="M207">
        <v>4145.4440000000004</v>
      </c>
      <c r="N207">
        <v>5005.0176000000001</v>
      </c>
      <c r="O207">
        <v>1876.8816000000002</v>
      </c>
      <c r="P207">
        <v>-2894.1896000000006</v>
      </c>
      <c r="Q207">
        <v>-0.698161547954815</v>
      </c>
      <c r="R207">
        <v>0.375</v>
      </c>
    </row>
    <row r="208" spans="1:18" x14ac:dyDescent="0.2">
      <c r="A208">
        <v>207</v>
      </c>
      <c r="B208">
        <v>29</v>
      </c>
      <c r="C208" s="1">
        <v>45942</v>
      </c>
      <c r="D208">
        <v>39</v>
      </c>
      <c r="E208">
        <v>3</v>
      </c>
      <c r="F208">
        <v>7248.8099999999995</v>
      </c>
      <c r="G208" t="s">
        <v>41</v>
      </c>
      <c r="H208" t="s">
        <v>35</v>
      </c>
      <c r="I208">
        <v>4483.8</v>
      </c>
      <c r="J208">
        <v>7473</v>
      </c>
      <c r="K208">
        <v>2</v>
      </c>
      <c r="L208">
        <v>8457.8988700228074</v>
      </c>
      <c r="M208">
        <v>1925.7060000000001</v>
      </c>
      <c r="N208">
        <v>282703.58999999997</v>
      </c>
      <c r="O208">
        <v>107835.38999999997</v>
      </c>
      <c r="P208">
        <v>5323.1039999999994</v>
      </c>
      <c r="Q208">
        <v>2.7642350389934909</v>
      </c>
      <c r="R208">
        <v>0.38144329896907209</v>
      </c>
    </row>
    <row r="209" spans="1:18" x14ac:dyDescent="0.2">
      <c r="A209">
        <v>309</v>
      </c>
      <c r="B209">
        <v>31</v>
      </c>
      <c r="C209" s="1">
        <v>45447</v>
      </c>
      <c r="D209">
        <v>41</v>
      </c>
      <c r="E209">
        <v>2</v>
      </c>
      <c r="F209">
        <v>1002.7752</v>
      </c>
      <c r="G209" t="s">
        <v>43</v>
      </c>
      <c r="H209" t="s">
        <v>35</v>
      </c>
      <c r="I209">
        <v>613.94399999999996</v>
      </c>
      <c r="J209">
        <v>1023.24</v>
      </c>
      <c r="K209">
        <v>2</v>
      </c>
      <c r="L209">
        <v>1234.7644396556386</v>
      </c>
      <c r="M209">
        <v>1065.8219999999999</v>
      </c>
      <c r="N209">
        <v>41113.783200000005</v>
      </c>
      <c r="O209">
        <v>15942.079200000004</v>
      </c>
      <c r="P209">
        <v>-63.046799999999848</v>
      </c>
      <c r="Q209">
        <v>-5.9153216953675057E-2</v>
      </c>
      <c r="R209">
        <v>0.38775510204081637</v>
      </c>
    </row>
    <row r="210" spans="1:18" x14ac:dyDescent="0.2">
      <c r="A210">
        <v>209</v>
      </c>
      <c r="B210">
        <v>31</v>
      </c>
      <c r="C210" s="1">
        <v>45537</v>
      </c>
      <c r="D210">
        <v>35</v>
      </c>
      <c r="E210">
        <v>7</v>
      </c>
      <c r="F210">
        <v>951.61319999999989</v>
      </c>
      <c r="G210" t="s">
        <v>43</v>
      </c>
      <c r="H210" t="s">
        <v>35</v>
      </c>
      <c r="I210">
        <v>613.94399999999996</v>
      </c>
      <c r="J210">
        <v>1023.24</v>
      </c>
      <c r="K210">
        <v>2</v>
      </c>
      <c r="L210">
        <v>1319.9739145070002</v>
      </c>
      <c r="M210">
        <v>1065.8219999999999</v>
      </c>
      <c r="N210">
        <v>33306.462</v>
      </c>
      <c r="O210">
        <v>11818.421999999997</v>
      </c>
      <c r="P210">
        <v>-114.2088</v>
      </c>
      <c r="Q210">
        <v>-0.10715560384379381</v>
      </c>
      <c r="R210">
        <v>0.35483870967741926</v>
      </c>
    </row>
    <row r="211" spans="1:18" x14ac:dyDescent="0.2">
      <c r="A211">
        <v>305</v>
      </c>
      <c r="B211">
        <v>120</v>
      </c>
      <c r="C211" s="1">
        <v>45080</v>
      </c>
      <c r="D211">
        <v>13</v>
      </c>
      <c r="E211">
        <v>6</v>
      </c>
      <c r="F211">
        <v>1858.0039999999999</v>
      </c>
      <c r="G211" t="s">
        <v>132</v>
      </c>
      <c r="H211" t="s">
        <v>8</v>
      </c>
      <c r="I211">
        <v>1185.9599999999998</v>
      </c>
      <c r="J211">
        <v>1976.6</v>
      </c>
      <c r="K211">
        <v>2</v>
      </c>
      <c r="L211">
        <v>1999.5702792704981</v>
      </c>
      <c r="M211">
        <v>1688.8574999999998</v>
      </c>
      <c r="N211">
        <v>24154.052</v>
      </c>
      <c r="O211">
        <v>8736.5720000000019</v>
      </c>
      <c r="P211">
        <v>169.14650000000006</v>
      </c>
      <c r="Q211">
        <v>0.10015439431686811</v>
      </c>
      <c r="R211">
        <v>0.36170212765957455</v>
      </c>
    </row>
    <row r="212" spans="1:18" x14ac:dyDescent="0.2">
      <c r="A212">
        <v>304</v>
      </c>
      <c r="B212">
        <v>95</v>
      </c>
      <c r="C212" s="1">
        <v>45389</v>
      </c>
      <c r="D212">
        <v>43</v>
      </c>
      <c r="E212">
        <v>4</v>
      </c>
      <c r="F212">
        <v>6689.9232000000002</v>
      </c>
      <c r="G212" t="s">
        <v>107</v>
      </c>
      <c r="H212" t="s">
        <v>6</v>
      </c>
      <c r="I212">
        <v>4181.2020000000002</v>
      </c>
      <c r="J212">
        <v>6968.67</v>
      </c>
      <c r="K212">
        <v>2</v>
      </c>
      <c r="L212">
        <v>8025.5526705916272</v>
      </c>
      <c r="M212">
        <v>2797.7239999999997</v>
      </c>
      <c r="N212">
        <v>287666.69760000001</v>
      </c>
      <c r="O212">
        <v>107875.0116</v>
      </c>
      <c r="P212">
        <v>3892.1992000000005</v>
      </c>
      <c r="Q212">
        <v>1.3912019913329552</v>
      </c>
      <c r="R212">
        <v>0.375</v>
      </c>
    </row>
    <row r="213" spans="1:18" x14ac:dyDescent="0.2">
      <c r="A213">
        <v>300</v>
      </c>
      <c r="B213">
        <v>82</v>
      </c>
      <c r="C213" s="1">
        <v>45064</v>
      </c>
      <c r="D213">
        <v>39</v>
      </c>
      <c r="E213">
        <v>5</v>
      </c>
      <c r="F213">
        <v>1207.6589999999999</v>
      </c>
      <c r="G213" t="s">
        <v>94</v>
      </c>
      <c r="H213" t="s">
        <v>12</v>
      </c>
      <c r="I213">
        <v>762.73199999999997</v>
      </c>
      <c r="J213">
        <v>1271.22</v>
      </c>
      <c r="K213">
        <v>2</v>
      </c>
      <c r="L213">
        <v>1285.5660290835631</v>
      </c>
      <c r="M213">
        <v>2617.7080000000001</v>
      </c>
      <c r="N213">
        <v>47098.700999999994</v>
      </c>
      <c r="O213">
        <v>17352.152999999995</v>
      </c>
      <c r="P213">
        <v>-1410.0490000000002</v>
      </c>
      <c r="Q213">
        <v>-0.53865786405512006</v>
      </c>
      <c r="R213">
        <v>0.36842105263157887</v>
      </c>
    </row>
    <row r="214" spans="1:18" x14ac:dyDescent="0.2">
      <c r="A214">
        <v>294</v>
      </c>
      <c r="B214">
        <v>68</v>
      </c>
      <c r="C214" s="1">
        <v>44939</v>
      </c>
      <c r="D214">
        <v>22</v>
      </c>
      <c r="E214">
        <v>6</v>
      </c>
      <c r="F214">
        <v>5680.8805999999995</v>
      </c>
      <c r="G214" t="s">
        <v>80</v>
      </c>
      <c r="H214" t="s">
        <v>14</v>
      </c>
      <c r="I214">
        <v>3626.0939999999996</v>
      </c>
      <c r="J214">
        <v>6043.49</v>
      </c>
      <c r="K214">
        <v>2</v>
      </c>
      <c r="L214">
        <v>7734.3864020628143</v>
      </c>
      <c r="M214">
        <v>796.21333333333325</v>
      </c>
      <c r="N214">
        <v>124979.37319999999</v>
      </c>
      <c r="O214">
        <v>45205.305199999995</v>
      </c>
      <c r="P214">
        <v>4884.6672666666664</v>
      </c>
      <c r="Q214">
        <v>6.1348724797374237</v>
      </c>
      <c r="R214">
        <v>0.36170212765957449</v>
      </c>
    </row>
    <row r="215" spans="1:18" x14ac:dyDescent="0.2">
      <c r="A215">
        <v>290</v>
      </c>
      <c r="B215">
        <v>64</v>
      </c>
      <c r="C215" s="1">
        <v>45289</v>
      </c>
      <c r="D215">
        <v>35</v>
      </c>
      <c r="E215">
        <v>2</v>
      </c>
      <c r="F215">
        <v>3136</v>
      </c>
      <c r="G215" t="s">
        <v>76</v>
      </c>
      <c r="H215" t="s">
        <v>10</v>
      </c>
      <c r="I215">
        <v>1920</v>
      </c>
      <c r="J215">
        <v>3200</v>
      </c>
      <c r="K215">
        <v>2</v>
      </c>
      <c r="L215">
        <v>3547.4937693832649</v>
      </c>
      <c r="M215">
        <v>3782.0099999999998</v>
      </c>
      <c r="N215">
        <v>109760</v>
      </c>
      <c r="O215">
        <v>42560</v>
      </c>
      <c r="P215">
        <v>-646.00999999999976</v>
      </c>
      <c r="Q215">
        <v>-0.17081128817745056</v>
      </c>
      <c r="R215">
        <v>0.38775510204081631</v>
      </c>
    </row>
    <row r="216" spans="1:18" x14ac:dyDescent="0.2">
      <c r="A216">
        <v>287</v>
      </c>
      <c r="B216">
        <v>109</v>
      </c>
      <c r="C216" s="1">
        <v>45104</v>
      </c>
      <c r="D216">
        <v>16</v>
      </c>
      <c r="E216">
        <v>9</v>
      </c>
      <c r="F216">
        <v>2015.1858999999999</v>
      </c>
      <c r="G216" t="s">
        <v>121</v>
      </c>
      <c r="H216" t="s">
        <v>10</v>
      </c>
      <c r="I216">
        <v>1328.6939999999997</v>
      </c>
      <c r="J216">
        <v>2214.4899999999998</v>
      </c>
      <c r="K216">
        <v>2</v>
      </c>
      <c r="L216">
        <v>2831.4695301258935</v>
      </c>
      <c r="M216">
        <v>6555.1760000000013</v>
      </c>
      <c r="N216">
        <v>32242.974399999999</v>
      </c>
      <c r="O216">
        <v>10983.870400000003</v>
      </c>
      <c r="P216">
        <v>-4539.9901000000009</v>
      </c>
      <c r="Q216">
        <v>-0.69258096197569674</v>
      </c>
      <c r="R216">
        <v>0.34065934065934078</v>
      </c>
    </row>
    <row r="217" spans="1:18" x14ac:dyDescent="0.2">
      <c r="A217">
        <v>285</v>
      </c>
      <c r="B217">
        <v>57</v>
      </c>
      <c r="C217" s="1">
        <v>45390</v>
      </c>
      <c r="D217">
        <v>8</v>
      </c>
      <c r="E217">
        <v>9</v>
      </c>
      <c r="F217">
        <v>6198.6925000000001</v>
      </c>
      <c r="G217" t="s">
        <v>69</v>
      </c>
      <c r="H217" t="s">
        <v>14</v>
      </c>
      <c r="I217">
        <v>4087.0499999999997</v>
      </c>
      <c r="J217">
        <v>6811.75</v>
      </c>
      <c r="K217">
        <v>2</v>
      </c>
      <c r="L217">
        <v>8731.2817868813654</v>
      </c>
      <c r="M217">
        <v>1836.9825000000001</v>
      </c>
      <c r="N217">
        <v>49589.54</v>
      </c>
      <c r="O217">
        <v>16893.140000000003</v>
      </c>
      <c r="P217">
        <v>4361.71</v>
      </c>
      <c r="Q217">
        <v>2.3743884332049978</v>
      </c>
      <c r="R217">
        <v>0.34065934065934073</v>
      </c>
    </row>
    <row r="218" spans="1:18" x14ac:dyDescent="0.2">
      <c r="A218">
        <v>281</v>
      </c>
      <c r="B218">
        <v>64</v>
      </c>
      <c r="C218" s="1">
        <v>45937</v>
      </c>
      <c r="D218">
        <v>42</v>
      </c>
      <c r="E218">
        <v>6</v>
      </c>
      <c r="F218">
        <v>3008</v>
      </c>
      <c r="G218" t="s">
        <v>76</v>
      </c>
      <c r="H218" t="s">
        <v>10</v>
      </c>
      <c r="I218">
        <v>1920</v>
      </c>
      <c r="J218">
        <v>3200</v>
      </c>
      <c r="K218">
        <v>2</v>
      </c>
      <c r="L218">
        <v>3490.8879387964466</v>
      </c>
      <c r="M218">
        <v>3782.0099999999998</v>
      </c>
      <c r="N218">
        <v>126336</v>
      </c>
      <c r="O218">
        <v>45696</v>
      </c>
      <c r="P218">
        <v>-774.00999999999976</v>
      </c>
      <c r="Q218">
        <v>-0.20465572539469748</v>
      </c>
      <c r="R218">
        <v>0.36170212765957449</v>
      </c>
    </row>
    <row r="219" spans="1:18" x14ac:dyDescent="0.2">
      <c r="A219">
        <v>218</v>
      </c>
      <c r="B219">
        <v>8</v>
      </c>
      <c r="C219" s="1">
        <v>45709</v>
      </c>
      <c r="D219">
        <v>13</v>
      </c>
      <c r="E219">
        <v>6</v>
      </c>
      <c r="F219">
        <v>5305.3035999999993</v>
      </c>
      <c r="G219" t="s">
        <v>18</v>
      </c>
      <c r="H219" t="s">
        <v>19</v>
      </c>
      <c r="I219">
        <v>3386.3639999999996</v>
      </c>
      <c r="J219">
        <v>5643.94</v>
      </c>
      <c r="K219">
        <v>2</v>
      </c>
      <c r="L219">
        <v>5685.2141897654346</v>
      </c>
      <c r="M219">
        <v>2853.6650000000004</v>
      </c>
      <c r="N219">
        <v>68968.946799999991</v>
      </c>
      <c r="O219">
        <v>24946.214799999994</v>
      </c>
      <c r="P219">
        <v>2451.6385999999989</v>
      </c>
      <c r="Q219">
        <v>0.85911927293497958</v>
      </c>
      <c r="R219">
        <v>0.36170212765957444</v>
      </c>
    </row>
    <row r="220" spans="1:18" x14ac:dyDescent="0.2">
      <c r="A220">
        <v>276</v>
      </c>
      <c r="B220">
        <v>109</v>
      </c>
      <c r="C220" s="1">
        <v>45028</v>
      </c>
      <c r="D220">
        <v>42</v>
      </c>
      <c r="E220">
        <v>3</v>
      </c>
      <c r="F220">
        <v>2148.0552999999995</v>
      </c>
      <c r="G220" t="s">
        <v>121</v>
      </c>
      <c r="H220" t="s">
        <v>10</v>
      </c>
      <c r="I220">
        <v>1328.6939999999997</v>
      </c>
      <c r="J220">
        <v>2214.4899999999998</v>
      </c>
      <c r="K220">
        <v>2</v>
      </c>
      <c r="L220">
        <v>2646.0388331027134</v>
      </c>
      <c r="M220">
        <v>6555.1760000000013</v>
      </c>
      <c r="N220">
        <v>90218.322599999985</v>
      </c>
      <c r="O220">
        <v>34413.174599999991</v>
      </c>
      <c r="P220">
        <v>-4407.1207000000013</v>
      </c>
      <c r="Q220">
        <v>-0.67231157485321524</v>
      </c>
      <c r="R220">
        <v>0.38144329896907214</v>
      </c>
    </row>
    <row r="221" spans="1:18" x14ac:dyDescent="0.2">
      <c r="A221">
        <v>270</v>
      </c>
      <c r="B221">
        <v>120</v>
      </c>
      <c r="C221" s="1">
        <v>45315</v>
      </c>
      <c r="D221">
        <v>31</v>
      </c>
      <c r="E221">
        <v>7</v>
      </c>
      <c r="F221">
        <v>1838.2379999999998</v>
      </c>
      <c r="G221" t="s">
        <v>132</v>
      </c>
      <c r="H221" t="s">
        <v>8</v>
      </c>
      <c r="I221">
        <v>1185.9599999999998</v>
      </c>
      <c r="J221">
        <v>1976.6</v>
      </c>
      <c r="K221">
        <v>2</v>
      </c>
      <c r="L221">
        <v>2491.4266661925253</v>
      </c>
      <c r="M221">
        <v>1688.8574999999998</v>
      </c>
      <c r="N221">
        <v>56985.377999999997</v>
      </c>
      <c r="O221">
        <v>20220.618000000002</v>
      </c>
      <c r="P221">
        <v>149.38049999999998</v>
      </c>
      <c r="Q221">
        <v>8.8450624164560954E-2</v>
      </c>
      <c r="R221">
        <v>0.35483870967741943</v>
      </c>
    </row>
    <row r="222" spans="1:18" x14ac:dyDescent="0.2">
      <c r="A222">
        <v>268</v>
      </c>
      <c r="B222">
        <v>64</v>
      </c>
      <c r="C222" s="1">
        <v>45220</v>
      </c>
      <c r="D222">
        <v>9</v>
      </c>
      <c r="E222">
        <v>7</v>
      </c>
      <c r="F222">
        <v>2976</v>
      </c>
      <c r="G222" t="s">
        <v>76</v>
      </c>
      <c r="H222" t="s">
        <v>10</v>
      </c>
      <c r="I222">
        <v>1920</v>
      </c>
      <c r="J222">
        <v>3200</v>
      </c>
      <c r="K222">
        <v>2</v>
      </c>
      <c r="L222">
        <v>3842.6646124163567</v>
      </c>
      <c r="M222">
        <v>3782.0099999999998</v>
      </c>
      <c r="N222">
        <v>26784</v>
      </c>
      <c r="O222">
        <v>9504</v>
      </c>
      <c r="P222">
        <v>-806.00999999999976</v>
      </c>
      <c r="Q222">
        <v>-0.21311683469900922</v>
      </c>
      <c r="R222">
        <v>0.35483870967741937</v>
      </c>
    </row>
    <row r="223" spans="1:18" x14ac:dyDescent="0.2">
      <c r="A223">
        <v>267</v>
      </c>
      <c r="B223">
        <v>120</v>
      </c>
      <c r="C223" s="1">
        <v>45508</v>
      </c>
      <c r="D223">
        <v>37</v>
      </c>
      <c r="E223">
        <v>9</v>
      </c>
      <c r="F223">
        <v>1798.7059999999999</v>
      </c>
      <c r="G223" t="s">
        <v>132</v>
      </c>
      <c r="H223" t="s">
        <v>8</v>
      </c>
      <c r="I223">
        <v>1185.9599999999998</v>
      </c>
      <c r="J223">
        <v>1976.6</v>
      </c>
      <c r="K223">
        <v>2</v>
      </c>
      <c r="L223">
        <v>2411.3682819691203</v>
      </c>
      <c r="M223">
        <v>1688.8574999999998</v>
      </c>
      <c r="N223">
        <v>66552.122000000003</v>
      </c>
      <c r="O223">
        <v>22671.602000000003</v>
      </c>
      <c r="P223">
        <v>109.84850000000006</v>
      </c>
      <c r="Q223">
        <v>6.5043083859946782E-2</v>
      </c>
      <c r="R223">
        <v>0.34065934065934067</v>
      </c>
    </row>
    <row r="224" spans="1:18" x14ac:dyDescent="0.2">
      <c r="A224">
        <v>253</v>
      </c>
      <c r="B224">
        <v>64</v>
      </c>
      <c r="C224" s="1">
        <v>45749</v>
      </c>
      <c r="D224">
        <v>49</v>
      </c>
      <c r="E224">
        <v>10</v>
      </c>
      <c r="F224">
        <v>2880</v>
      </c>
      <c r="G224" t="s">
        <v>76</v>
      </c>
      <c r="H224" t="s">
        <v>10</v>
      </c>
      <c r="I224">
        <v>1920</v>
      </c>
      <c r="J224">
        <v>3200</v>
      </c>
      <c r="K224">
        <v>2</v>
      </c>
      <c r="L224">
        <v>3924.7262595109519</v>
      </c>
      <c r="M224">
        <v>3782.0099999999998</v>
      </c>
      <c r="N224">
        <v>141120</v>
      </c>
      <c r="O224">
        <v>47040</v>
      </c>
      <c r="P224">
        <v>-902.00999999999976</v>
      </c>
      <c r="Q224">
        <v>-0.2385001626119444</v>
      </c>
      <c r="R224">
        <v>0.33333333333333331</v>
      </c>
    </row>
    <row r="225" spans="1:18" x14ac:dyDescent="0.2">
      <c r="A225">
        <v>251</v>
      </c>
      <c r="B225">
        <v>8</v>
      </c>
      <c r="C225" s="1">
        <v>46017</v>
      </c>
      <c r="D225">
        <v>39</v>
      </c>
      <c r="E225">
        <v>10</v>
      </c>
      <c r="F225">
        <v>5079.5459999999994</v>
      </c>
      <c r="G225" t="s">
        <v>18</v>
      </c>
      <c r="H225" t="s">
        <v>19</v>
      </c>
      <c r="I225">
        <v>3386.3639999999996</v>
      </c>
      <c r="J225">
        <v>5643.94</v>
      </c>
      <c r="K225">
        <v>2</v>
      </c>
      <c r="L225">
        <v>6157.0373921784594</v>
      </c>
      <c r="M225">
        <v>2853.6650000000004</v>
      </c>
      <c r="N225">
        <v>198102.29399999997</v>
      </c>
      <c r="O225">
        <v>66034.097999999998</v>
      </c>
      <c r="P225">
        <v>2225.8809999999989</v>
      </c>
      <c r="Q225">
        <v>0.78000781451221446</v>
      </c>
      <c r="R225">
        <v>0.33333333333333337</v>
      </c>
    </row>
    <row r="226" spans="1:18" x14ac:dyDescent="0.2">
      <c r="A226">
        <v>247</v>
      </c>
      <c r="B226">
        <v>58</v>
      </c>
      <c r="C226" s="1">
        <v>45151</v>
      </c>
      <c r="D226">
        <v>27</v>
      </c>
      <c r="E226">
        <v>8</v>
      </c>
      <c r="F226">
        <v>1047.4936</v>
      </c>
      <c r="G226" t="s">
        <v>70</v>
      </c>
      <c r="H226" t="s">
        <v>6</v>
      </c>
      <c r="I226">
        <v>683.14799999999991</v>
      </c>
      <c r="J226">
        <v>1138.58</v>
      </c>
      <c r="K226">
        <v>2</v>
      </c>
      <c r="L226">
        <v>1467.6313532475879</v>
      </c>
      <c r="M226">
        <v>1439.8525</v>
      </c>
      <c r="N226">
        <v>28282.3272</v>
      </c>
      <c r="O226">
        <v>9837.3312000000024</v>
      </c>
      <c r="P226">
        <v>-392.35889999999995</v>
      </c>
      <c r="Q226">
        <v>-0.27249937059525192</v>
      </c>
      <c r="R226">
        <v>0.34782608695652184</v>
      </c>
    </row>
    <row r="227" spans="1:18" x14ac:dyDescent="0.2">
      <c r="A227">
        <v>246</v>
      </c>
      <c r="B227">
        <v>106</v>
      </c>
      <c r="C227" s="1">
        <v>45226</v>
      </c>
      <c r="D227">
        <v>7</v>
      </c>
      <c r="E227">
        <v>7</v>
      </c>
      <c r="F227">
        <v>1333.6478999999999</v>
      </c>
      <c r="G227" t="s">
        <v>118</v>
      </c>
      <c r="H227" t="s">
        <v>19</v>
      </c>
      <c r="I227">
        <v>860.41800000000001</v>
      </c>
      <c r="J227">
        <v>1434.03</v>
      </c>
      <c r="K227">
        <v>2</v>
      </c>
      <c r="L227">
        <v>1724.3612793567027</v>
      </c>
      <c r="M227">
        <v>695.38400000000001</v>
      </c>
      <c r="N227">
        <v>9335.5352999999996</v>
      </c>
      <c r="O227">
        <v>3312.6092999999996</v>
      </c>
      <c r="P227">
        <v>638.26389999999992</v>
      </c>
      <c r="Q227">
        <v>0.91785819058246942</v>
      </c>
      <c r="R227">
        <v>0.35483870967741932</v>
      </c>
    </row>
    <row r="228" spans="1:18" x14ac:dyDescent="0.2">
      <c r="A228">
        <v>244</v>
      </c>
      <c r="B228">
        <v>43</v>
      </c>
      <c r="C228" s="1">
        <v>45955</v>
      </c>
      <c r="D228">
        <v>32</v>
      </c>
      <c r="E228">
        <v>6</v>
      </c>
      <c r="F228">
        <v>3031.4811999999997</v>
      </c>
      <c r="G228" t="s">
        <v>55</v>
      </c>
      <c r="H228" t="s">
        <v>17</v>
      </c>
      <c r="I228">
        <v>1934.9879999999998</v>
      </c>
      <c r="J228">
        <v>3224.98</v>
      </c>
      <c r="K228">
        <v>2</v>
      </c>
      <c r="L228">
        <v>3606.5409780835362</v>
      </c>
      <c r="M228">
        <v>445.53000000000003</v>
      </c>
      <c r="N228">
        <v>97007.398399999991</v>
      </c>
      <c r="O228">
        <v>35087.782399999996</v>
      </c>
      <c r="P228">
        <v>2585.9511999999995</v>
      </c>
      <c r="Q228">
        <v>5.8042134087491286</v>
      </c>
      <c r="R228">
        <v>0.36170212765957449</v>
      </c>
    </row>
    <row r="229" spans="1:18" x14ac:dyDescent="0.2">
      <c r="A229">
        <v>242</v>
      </c>
      <c r="B229">
        <v>101</v>
      </c>
      <c r="C229" s="1">
        <v>45761</v>
      </c>
      <c r="D229">
        <v>28</v>
      </c>
      <c r="E229">
        <v>8</v>
      </c>
      <c r="F229">
        <v>4342.6668</v>
      </c>
      <c r="G229" t="s">
        <v>113</v>
      </c>
      <c r="H229" t="s">
        <v>17</v>
      </c>
      <c r="I229">
        <v>2832.174</v>
      </c>
      <c r="J229">
        <v>4720.29</v>
      </c>
      <c r="K229">
        <v>2</v>
      </c>
      <c r="L229">
        <v>5928.0438624918979</v>
      </c>
      <c r="M229">
        <v>6068.0179999999991</v>
      </c>
      <c r="N229">
        <v>121594.6704</v>
      </c>
      <c r="O229">
        <v>42293.7984</v>
      </c>
      <c r="P229">
        <v>-1725.3511999999992</v>
      </c>
      <c r="Q229">
        <v>-0.28433521456264621</v>
      </c>
      <c r="R229">
        <v>0.34782608695652173</v>
      </c>
    </row>
    <row r="230" spans="1:18" x14ac:dyDescent="0.2">
      <c r="A230">
        <v>240</v>
      </c>
      <c r="B230">
        <v>8</v>
      </c>
      <c r="C230" s="1">
        <v>45819</v>
      </c>
      <c r="D230">
        <v>41</v>
      </c>
      <c r="E230">
        <v>6</v>
      </c>
      <c r="F230">
        <v>5305.3035999999993</v>
      </c>
      <c r="G230" t="s">
        <v>18</v>
      </c>
      <c r="H230" t="s">
        <v>19</v>
      </c>
      <c r="I230">
        <v>3386.3639999999996</v>
      </c>
      <c r="J230">
        <v>5643.94</v>
      </c>
      <c r="K230">
        <v>2</v>
      </c>
      <c r="L230">
        <v>6659.4547452889592</v>
      </c>
      <c r="M230">
        <v>2853.6650000000004</v>
      </c>
      <c r="N230">
        <v>217517.44759999996</v>
      </c>
      <c r="O230">
        <v>78676.523599999986</v>
      </c>
      <c r="P230">
        <v>2451.6385999999989</v>
      </c>
      <c r="Q230">
        <v>0.85911927293497958</v>
      </c>
      <c r="R230">
        <v>0.36170212765957449</v>
      </c>
    </row>
    <row r="231" spans="1:18" x14ac:dyDescent="0.2">
      <c r="A231">
        <v>235</v>
      </c>
      <c r="B231">
        <v>68</v>
      </c>
      <c r="C231" s="1">
        <v>45980</v>
      </c>
      <c r="D231">
        <v>17</v>
      </c>
      <c r="E231">
        <v>3</v>
      </c>
      <c r="F231">
        <v>5862.1852999999992</v>
      </c>
      <c r="G231" t="s">
        <v>80</v>
      </c>
      <c r="H231" t="s">
        <v>14</v>
      </c>
      <c r="I231">
        <v>3626.0939999999996</v>
      </c>
      <c r="J231">
        <v>6043.49</v>
      </c>
      <c r="K231">
        <v>2</v>
      </c>
      <c r="L231">
        <v>6445.1162490784254</v>
      </c>
      <c r="M231">
        <v>796.21333333333325</v>
      </c>
      <c r="N231">
        <v>99657.150099999984</v>
      </c>
      <c r="O231">
        <v>38013.552099999994</v>
      </c>
      <c r="P231">
        <v>5065.971966666666</v>
      </c>
      <c r="Q231">
        <v>6.3625811758992565</v>
      </c>
      <c r="R231">
        <v>0.38144329896907214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0" zoomScaleNormal="80" workbookViewId="0">
      <selection activeCell="Z41" sqref="Z41"/>
    </sheetView>
  </sheetViews>
  <sheetFormatPr defaultRowHeight="12.75" x14ac:dyDescent="0.2"/>
  <cols>
    <col min="1" max="16384" width="9.140625" style="91"/>
  </cols>
  <sheetData/>
  <sheetProtection pivotTables="0"/>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71"/>
  <sheetViews>
    <sheetView zoomScale="70" zoomScaleNormal="70" workbookViewId="0"/>
  </sheetViews>
  <sheetFormatPr defaultRowHeight="12.75" x14ac:dyDescent="0.2"/>
  <cols>
    <col min="1" max="1" width="21.42578125" customWidth="1"/>
    <col min="2" max="2" width="20.140625" customWidth="1"/>
    <col min="3" max="3" width="25.140625" bestFit="1" customWidth="1"/>
    <col min="4" max="4" width="21.42578125" customWidth="1"/>
    <col min="5" max="5" width="20.140625" customWidth="1"/>
    <col min="6" max="6" width="16" customWidth="1"/>
    <col min="7" max="7" width="20.140625" customWidth="1"/>
    <col min="8" max="8" width="16.28515625" customWidth="1"/>
    <col min="9" max="9" width="24.5703125" customWidth="1"/>
    <col min="10" max="10" width="25.42578125" customWidth="1"/>
    <col min="11" max="11" width="26.85546875" customWidth="1"/>
    <col min="12" max="12" width="20.140625" customWidth="1"/>
    <col min="13" max="13" width="12.42578125" customWidth="1"/>
    <col min="14" max="14" width="16.28515625" customWidth="1"/>
    <col min="15" max="15" width="16.85546875" customWidth="1"/>
    <col min="16" max="16" width="21.42578125" customWidth="1"/>
    <col min="17" max="17" width="20.140625" customWidth="1"/>
    <col min="18" max="25" width="18.7109375" customWidth="1"/>
    <col min="26" max="26" width="2" style="90" customWidth="1"/>
    <col min="27" max="27" width="19.140625" customWidth="1"/>
    <col min="28" max="28" width="17.42578125" customWidth="1"/>
    <col min="29" max="29" width="17.42578125" bestFit="1" customWidth="1"/>
    <col min="30" max="30" width="16" customWidth="1"/>
    <col min="31" max="31" width="14.28515625" customWidth="1"/>
    <col min="33" max="33" width="16.7109375" customWidth="1"/>
    <col min="35" max="35" width="28.140625" customWidth="1"/>
    <col min="36" max="36" width="25.85546875" customWidth="1"/>
    <col min="37" max="37" width="16.85546875" customWidth="1"/>
    <col min="38" max="38" width="16" customWidth="1"/>
    <col min="39" max="39" width="19.140625" customWidth="1"/>
    <col min="40" max="40" width="14.28515625" customWidth="1"/>
    <col min="42" max="42" width="19.140625" customWidth="1"/>
    <col min="43" max="43" width="20.5703125" bestFit="1" customWidth="1"/>
    <col min="44" max="44" width="13" customWidth="1"/>
    <col min="45" max="45" width="13.5703125" customWidth="1"/>
    <col min="46" max="46" width="12.5703125" customWidth="1"/>
    <col min="47" max="47" width="13" customWidth="1"/>
    <col min="48" max="48" width="20.28515625" bestFit="1" customWidth="1"/>
    <col min="49" max="49" width="11.140625" customWidth="1"/>
    <col min="50" max="50" width="13" customWidth="1"/>
    <col min="51" max="51" width="14.28515625" customWidth="1"/>
    <col min="52" max="52" width="12.42578125" bestFit="1" customWidth="1"/>
    <col min="53" max="54" width="11.42578125" customWidth="1"/>
    <col min="55" max="55" width="18.7109375" bestFit="1" customWidth="1"/>
    <col min="56" max="56" width="9.85546875" customWidth="1"/>
    <col min="57" max="57" width="11.42578125" customWidth="1"/>
    <col min="58" max="58" width="8" customWidth="1"/>
    <col min="59" max="59" width="12.42578125" bestFit="1" customWidth="1"/>
  </cols>
  <sheetData>
    <row r="1" spans="1:39" ht="16.5" thickBot="1" x14ac:dyDescent="0.3">
      <c r="E1" s="17"/>
      <c r="F1" s="17"/>
      <c r="I1" s="17"/>
      <c r="J1" s="17"/>
    </row>
    <row r="2" spans="1:39" ht="16.5" customHeight="1" thickBot="1" x14ac:dyDescent="0.35">
      <c r="A2" s="114" t="s">
        <v>192</v>
      </c>
      <c r="B2" s="115"/>
      <c r="C2" s="16"/>
      <c r="D2" s="104" t="s">
        <v>190</v>
      </c>
      <c r="E2" s="105"/>
      <c r="G2" s="92" t="s">
        <v>193</v>
      </c>
      <c r="H2" s="94"/>
      <c r="J2" s="118" t="s">
        <v>196</v>
      </c>
      <c r="K2" s="119"/>
      <c r="M2" s="132" t="s">
        <v>223</v>
      </c>
      <c r="N2" s="133"/>
      <c r="P2" s="98" t="s">
        <v>211</v>
      </c>
      <c r="Q2" s="99"/>
    </row>
    <row r="3" spans="1:39" ht="12.75" customHeight="1" thickBot="1" x14ac:dyDescent="0.25">
      <c r="A3" s="116"/>
      <c r="B3" s="117"/>
      <c r="D3" s="106"/>
      <c r="E3" s="107"/>
      <c r="G3" s="102"/>
      <c r="H3" s="103"/>
      <c r="J3" s="120"/>
      <c r="K3" s="121"/>
      <c r="M3" s="134"/>
      <c r="N3" s="135"/>
      <c r="P3" s="100"/>
      <c r="Q3" s="101"/>
    </row>
    <row r="4" spans="1:39" ht="16.5" thickBot="1" x14ac:dyDescent="0.3">
      <c r="A4" s="48" t="s">
        <v>1</v>
      </c>
      <c r="B4" s="49" t="s">
        <v>191</v>
      </c>
      <c r="D4" s="48" t="s">
        <v>2</v>
      </c>
      <c r="E4" s="49" t="s">
        <v>191</v>
      </c>
      <c r="G4" s="25" t="s">
        <v>2</v>
      </c>
      <c r="H4" s="34" t="s">
        <v>194</v>
      </c>
      <c r="J4" s="25" t="s">
        <v>2</v>
      </c>
      <c r="K4" s="31" t="s">
        <v>197</v>
      </c>
      <c r="M4" s="41" t="s">
        <v>2</v>
      </c>
      <c r="N4" s="42" t="s">
        <v>217</v>
      </c>
      <c r="P4" s="25" t="s">
        <v>1</v>
      </c>
      <c r="Q4" s="31" t="s">
        <v>191</v>
      </c>
    </row>
    <row r="5" spans="1:39" ht="15.75" x14ac:dyDescent="0.25">
      <c r="A5" s="80" t="s">
        <v>29</v>
      </c>
      <c r="B5" s="35">
        <v>1581824.9845</v>
      </c>
      <c r="D5" s="26" t="s">
        <v>14</v>
      </c>
      <c r="E5" s="50">
        <v>6825576.2171000019</v>
      </c>
      <c r="G5" s="26" t="s">
        <v>14</v>
      </c>
      <c r="H5" s="75">
        <v>7.8133835095031176E-2</v>
      </c>
      <c r="J5" s="26" t="s">
        <v>14</v>
      </c>
      <c r="K5" s="66">
        <v>2.4090909090909092</v>
      </c>
      <c r="M5" s="42" t="s">
        <v>14</v>
      </c>
      <c r="N5" s="47">
        <v>88</v>
      </c>
      <c r="P5" s="26" t="s">
        <v>54</v>
      </c>
      <c r="Q5" s="29">
        <v>42717.240000000005</v>
      </c>
    </row>
    <row r="6" spans="1:39" ht="15.75" x14ac:dyDescent="0.25">
      <c r="A6" s="80" t="s">
        <v>105</v>
      </c>
      <c r="B6" s="36">
        <v>1672585.7795999998</v>
      </c>
      <c r="D6" s="27" t="s">
        <v>10</v>
      </c>
      <c r="E6" s="51">
        <v>12553509.003000002</v>
      </c>
      <c r="G6" s="27" t="s">
        <v>10</v>
      </c>
      <c r="H6" s="76">
        <v>0.14302175827598282</v>
      </c>
      <c r="J6" s="27" t="s">
        <v>10</v>
      </c>
      <c r="K6" s="67">
        <v>2.7762237762237763</v>
      </c>
      <c r="M6" s="43" t="s">
        <v>10</v>
      </c>
      <c r="N6" s="44">
        <v>143</v>
      </c>
      <c r="P6" s="27" t="s">
        <v>56</v>
      </c>
      <c r="Q6" s="30">
        <v>45363.343999999997</v>
      </c>
    </row>
    <row r="7" spans="1:39" ht="15.75" x14ac:dyDescent="0.25">
      <c r="A7" s="80" t="s">
        <v>16</v>
      </c>
      <c r="B7" s="36">
        <v>1521222.5279999999</v>
      </c>
      <c r="D7" s="27" t="s">
        <v>35</v>
      </c>
      <c r="E7" s="51">
        <v>12715150.024</v>
      </c>
      <c r="G7" s="27" t="s">
        <v>35</v>
      </c>
      <c r="H7" s="76">
        <v>0.14570776483502534</v>
      </c>
      <c r="J7" s="27" t="s">
        <v>35</v>
      </c>
      <c r="K7" s="67">
        <v>3.0377358490566038</v>
      </c>
      <c r="M7" s="43" t="s">
        <v>35</v>
      </c>
      <c r="N7" s="44">
        <v>106</v>
      </c>
      <c r="P7" s="27" t="s">
        <v>52</v>
      </c>
      <c r="Q7" s="30">
        <v>55862.799599999998</v>
      </c>
    </row>
    <row r="8" spans="1:39" ht="15.75" x14ac:dyDescent="0.25">
      <c r="A8" s="80" t="s">
        <v>99</v>
      </c>
      <c r="B8" s="36">
        <v>1471877.0811999999</v>
      </c>
      <c r="D8" s="27" t="s">
        <v>17</v>
      </c>
      <c r="E8" s="51">
        <v>10136043.288100002</v>
      </c>
      <c r="G8" s="27" t="s">
        <v>17</v>
      </c>
      <c r="H8" s="76">
        <v>0.11634171230911362</v>
      </c>
      <c r="J8" s="27" t="s">
        <v>17</v>
      </c>
      <c r="K8" s="67">
        <v>2.7040000000000002</v>
      </c>
      <c r="M8" s="43" t="s">
        <v>17</v>
      </c>
      <c r="N8" s="44">
        <v>125</v>
      </c>
      <c r="P8" s="27" t="s">
        <v>160</v>
      </c>
      <c r="Q8" s="30">
        <v>3948.4395999999997</v>
      </c>
    </row>
    <row r="9" spans="1:39" ht="15.75" x14ac:dyDescent="0.25">
      <c r="A9" s="80" t="s">
        <v>153</v>
      </c>
      <c r="B9" s="36">
        <v>2194859.9213999999</v>
      </c>
      <c r="D9" s="27" t="s">
        <v>6</v>
      </c>
      <c r="E9" s="51">
        <v>10870391.844000002</v>
      </c>
      <c r="G9" s="27" t="s">
        <v>6</v>
      </c>
      <c r="H9" s="76">
        <v>0.12431987047462753</v>
      </c>
      <c r="J9" s="27" t="s">
        <v>6</v>
      </c>
      <c r="K9" s="67">
        <v>2.7250000000000001</v>
      </c>
      <c r="M9" s="43" t="s">
        <v>6</v>
      </c>
      <c r="N9" s="44">
        <v>120</v>
      </c>
      <c r="P9" s="27" t="s">
        <v>146</v>
      </c>
      <c r="Q9" s="30">
        <v>60075.407700000011</v>
      </c>
    </row>
    <row r="10" spans="1:39" ht="15.75" x14ac:dyDescent="0.25">
      <c r="A10" s="80" t="s">
        <v>18</v>
      </c>
      <c r="B10" s="36">
        <v>1423853.1831999996</v>
      </c>
      <c r="D10" s="27" t="s">
        <v>8</v>
      </c>
      <c r="E10" s="51">
        <v>11792264.705899999</v>
      </c>
      <c r="G10" s="27" t="s">
        <v>8</v>
      </c>
      <c r="H10" s="76">
        <v>0.1346501286739947</v>
      </c>
      <c r="J10" s="27" t="s">
        <v>8</v>
      </c>
      <c r="K10" s="67">
        <v>3.5</v>
      </c>
      <c r="M10" s="43" t="s">
        <v>8</v>
      </c>
      <c r="N10" s="44">
        <v>154</v>
      </c>
      <c r="P10" s="27" t="s">
        <v>149</v>
      </c>
      <c r="Q10" s="30">
        <v>38973.082200000004</v>
      </c>
    </row>
    <row r="11" spans="1:39" ht="15.75" x14ac:dyDescent="0.25">
      <c r="A11" s="80" t="s">
        <v>161</v>
      </c>
      <c r="B11" s="36">
        <v>1672271.162</v>
      </c>
      <c r="D11" s="27" t="s">
        <v>12</v>
      </c>
      <c r="E11" s="51">
        <v>8099913.9098000024</v>
      </c>
      <c r="G11" s="27" t="s">
        <v>12</v>
      </c>
      <c r="H11" s="76">
        <v>9.3168324882228121E-2</v>
      </c>
      <c r="J11" s="27" t="s">
        <v>12</v>
      </c>
      <c r="K11" s="67">
        <v>3.0679611650485437</v>
      </c>
      <c r="M11" s="43" t="s">
        <v>12</v>
      </c>
      <c r="N11" s="44">
        <v>103</v>
      </c>
      <c r="P11" s="27" t="s">
        <v>48</v>
      </c>
      <c r="Q11" s="30">
        <v>45699.896000000001</v>
      </c>
    </row>
    <row r="12" spans="1:39" ht="16.5" thickBot="1" x14ac:dyDescent="0.3">
      <c r="A12" s="80" t="s">
        <v>126</v>
      </c>
      <c r="B12" s="36">
        <v>1833205.9620999999</v>
      </c>
      <c r="D12" s="27" t="s">
        <v>19</v>
      </c>
      <c r="E12" s="51">
        <v>14339663.069600012</v>
      </c>
      <c r="G12" s="27" t="s">
        <v>19</v>
      </c>
      <c r="H12" s="76">
        <v>0.1646566054539968</v>
      </c>
      <c r="J12" s="28" t="s">
        <v>19</v>
      </c>
      <c r="K12" s="68">
        <v>3.0745341614906834</v>
      </c>
      <c r="M12" s="43" t="s">
        <v>19</v>
      </c>
      <c r="N12" s="44">
        <v>161</v>
      </c>
      <c r="P12" s="27" t="s">
        <v>155</v>
      </c>
      <c r="Q12" s="30">
        <v>7642.3805000000011</v>
      </c>
    </row>
    <row r="13" spans="1:39" ht="16.5" thickBot="1" x14ac:dyDescent="0.3">
      <c r="A13" s="80" t="s">
        <v>68</v>
      </c>
      <c r="B13" s="36">
        <v>1995928.9080000001</v>
      </c>
      <c r="D13" s="28" t="s">
        <v>228</v>
      </c>
      <c r="E13" s="52"/>
      <c r="G13" s="28" t="s">
        <v>228</v>
      </c>
      <c r="H13" s="77">
        <v>0</v>
      </c>
      <c r="M13" s="45" t="s">
        <v>228</v>
      </c>
      <c r="N13" s="46"/>
      <c r="P13" s="28" t="s">
        <v>47</v>
      </c>
      <c r="Q13" s="30">
        <v>31946.748899999999</v>
      </c>
    </row>
    <row r="14" spans="1:39" ht="16.5" thickBot="1" x14ac:dyDescent="0.3">
      <c r="A14" s="81" t="s">
        <v>40</v>
      </c>
      <c r="B14" s="37">
        <v>1763920.2671999999</v>
      </c>
      <c r="P14" s="136" t="s">
        <v>228</v>
      </c>
      <c r="Q14" s="37"/>
    </row>
    <row r="15" spans="1:39" x14ac:dyDescent="0.2">
      <c r="AA15" s="84">
        <f>GETPIVOTDATA("Revenue",$AA$17)</f>
        <v>87332512.061500043</v>
      </c>
      <c r="AB15" s="84"/>
      <c r="AD15" s="84">
        <f>GETPIVOTDATA("Profit",$AD$17)</f>
        <v>31497338.945500001</v>
      </c>
      <c r="AE15" s="84"/>
      <c r="AG15" s="11">
        <f>GETPIVOTDATA("rating  ",$AG$17)</f>
        <v>2.9460000000000002</v>
      </c>
      <c r="AI15" s="11">
        <f>GETPIVOTDATA("discount_percent",$AI$17)</f>
        <v>6.0990000000000002</v>
      </c>
      <c r="AJ15" s="11"/>
      <c r="AK15" s="79" t="s">
        <v>220</v>
      </c>
      <c r="AL15" t="s">
        <v>194</v>
      </c>
      <c r="AM15" t="s">
        <v>191</v>
      </c>
    </row>
    <row r="16" spans="1:39" x14ac:dyDescent="0.2">
      <c r="AK16" s="8" t="s">
        <v>228</v>
      </c>
      <c r="AL16" s="78"/>
      <c r="AM16" s="78"/>
    </row>
    <row r="17" spans="1:51" x14ac:dyDescent="0.2">
      <c r="AA17" t="s">
        <v>191</v>
      </c>
      <c r="AD17" t="s">
        <v>194</v>
      </c>
      <c r="AG17" t="s">
        <v>219</v>
      </c>
      <c r="AI17" t="s">
        <v>214</v>
      </c>
      <c r="AK17" s="8" t="s">
        <v>199</v>
      </c>
      <c r="AL17" s="78">
        <v>2769767.0810999996</v>
      </c>
      <c r="AM17" s="78">
        <v>7743648.1491000019</v>
      </c>
      <c r="AP17" s="79" t="s">
        <v>191</v>
      </c>
      <c r="AQ17" s="79" t="s">
        <v>222</v>
      </c>
    </row>
    <row r="18" spans="1:51" ht="16.5" customHeight="1" thickBot="1" x14ac:dyDescent="0.25">
      <c r="AA18" s="78">
        <v>87332512.061500043</v>
      </c>
      <c r="AB18" s="78"/>
      <c r="AD18" s="78">
        <v>31497338.945500001</v>
      </c>
      <c r="AE18" s="78"/>
      <c r="AG18" s="11">
        <v>2.9460000000000002</v>
      </c>
      <c r="AI18" s="11">
        <v>6.0990000000000002</v>
      </c>
      <c r="AJ18" s="11"/>
      <c r="AK18" s="8" t="s">
        <v>200</v>
      </c>
      <c r="AL18" s="78">
        <v>2649894.4804999996</v>
      </c>
      <c r="AM18" s="78">
        <v>7330432.182500002</v>
      </c>
      <c r="AN18" s="78"/>
      <c r="AP18" s="79" t="s">
        <v>220</v>
      </c>
      <c r="AQ18" s="82" t="s">
        <v>14</v>
      </c>
      <c r="AR18" s="82" t="s">
        <v>10</v>
      </c>
      <c r="AS18" s="82" t="s">
        <v>35</v>
      </c>
      <c r="AT18" s="82" t="s">
        <v>17</v>
      </c>
      <c r="AU18" s="82" t="s">
        <v>6</v>
      </c>
      <c r="AV18" s="82" t="s">
        <v>8</v>
      </c>
      <c r="AW18" s="82" t="s">
        <v>12</v>
      </c>
      <c r="AX18" s="82" t="s">
        <v>19</v>
      </c>
      <c r="AY18" s="82" t="s">
        <v>221</v>
      </c>
    </row>
    <row r="19" spans="1:51" ht="16.5" customHeight="1" x14ac:dyDescent="0.2">
      <c r="A19" s="92" t="s">
        <v>198</v>
      </c>
      <c r="B19" s="93"/>
      <c r="C19" s="94"/>
      <c r="E19" s="122" t="s">
        <v>216</v>
      </c>
      <c r="F19" s="123"/>
      <c r="G19" s="124"/>
      <c r="I19" s="108" t="s">
        <v>195</v>
      </c>
      <c r="J19" s="109"/>
      <c r="K19" s="110"/>
      <c r="M19" s="128" t="s">
        <v>218</v>
      </c>
      <c r="N19" s="129"/>
      <c r="AK19" s="8" t="s">
        <v>201</v>
      </c>
      <c r="AL19" s="78">
        <v>2428541.6594000007</v>
      </c>
      <c r="AM19" s="78">
        <v>6748753.0933999997</v>
      </c>
      <c r="AN19" s="78"/>
      <c r="AP19" s="8" t="s">
        <v>225</v>
      </c>
      <c r="AQ19" s="83"/>
      <c r="AR19" s="83"/>
      <c r="AS19" s="83"/>
      <c r="AT19" s="83"/>
      <c r="AU19" s="83"/>
      <c r="AV19" s="83"/>
      <c r="AW19" s="83"/>
      <c r="AX19" s="83"/>
      <c r="AY19" s="83"/>
    </row>
    <row r="20" spans="1:51" ht="12.75" customHeight="1" thickBot="1" x14ac:dyDescent="0.25">
      <c r="A20" s="95"/>
      <c r="B20" s="96"/>
      <c r="C20" s="97"/>
      <c r="E20" s="125"/>
      <c r="F20" s="126"/>
      <c r="G20" s="127"/>
      <c r="I20" s="111"/>
      <c r="J20" s="112"/>
      <c r="K20" s="113"/>
      <c r="M20" s="130"/>
      <c r="N20" s="131"/>
      <c r="AK20" s="8" t="s">
        <v>202</v>
      </c>
      <c r="AL20" s="78">
        <v>2896754.2323999992</v>
      </c>
      <c r="AM20" s="78">
        <v>8062264.0984000005</v>
      </c>
      <c r="AN20" s="78"/>
      <c r="AP20" s="89" t="s">
        <v>199</v>
      </c>
      <c r="AQ20" s="83">
        <v>259187.00679999997</v>
      </c>
      <c r="AR20" s="83">
        <v>1029218.6945</v>
      </c>
      <c r="AS20" s="83">
        <v>275668.60800000001</v>
      </c>
      <c r="AT20" s="83">
        <v>285017.625</v>
      </c>
      <c r="AU20" s="83">
        <v>475109.32679999998</v>
      </c>
      <c r="AV20" s="83"/>
      <c r="AW20" s="83">
        <v>372363.65330000001</v>
      </c>
      <c r="AX20" s="83">
        <v>225987.20300000001</v>
      </c>
      <c r="AY20" s="83">
        <v>2922552.1173999999</v>
      </c>
    </row>
    <row r="21" spans="1:51" ht="16.5" thickBot="1" x14ac:dyDescent="0.3">
      <c r="A21" s="32" t="s">
        <v>1</v>
      </c>
      <c r="B21" s="32" t="s">
        <v>213</v>
      </c>
      <c r="C21" s="32" t="s">
        <v>212</v>
      </c>
      <c r="E21" s="53" t="s">
        <v>224</v>
      </c>
      <c r="F21" s="86" t="s">
        <v>165</v>
      </c>
      <c r="G21" s="54" t="s">
        <v>191</v>
      </c>
      <c r="I21" s="25" t="s">
        <v>1</v>
      </c>
      <c r="J21" s="63" t="s">
        <v>214</v>
      </c>
      <c r="K21" s="64" t="s">
        <v>191</v>
      </c>
      <c r="L21" s="39"/>
      <c r="M21" s="25" t="s">
        <v>170</v>
      </c>
      <c r="N21" s="31" t="s">
        <v>194</v>
      </c>
      <c r="AK21" s="8" t="s">
        <v>203</v>
      </c>
      <c r="AL21" s="78">
        <v>1982666.1367000004</v>
      </c>
      <c r="AM21" s="78">
        <v>5496969.2587000029</v>
      </c>
      <c r="AN21" s="78"/>
      <c r="AP21" s="89" t="s">
        <v>200</v>
      </c>
      <c r="AQ21" s="83">
        <v>106142.9218</v>
      </c>
      <c r="AR21" s="83">
        <v>656934.13400000008</v>
      </c>
      <c r="AS21" s="83">
        <v>163501.88639999999</v>
      </c>
      <c r="AT21" s="83">
        <v>125059.9376</v>
      </c>
      <c r="AU21" s="83">
        <v>95382.197999999989</v>
      </c>
      <c r="AV21" s="83">
        <v>573849.00650000002</v>
      </c>
      <c r="AW21" s="83">
        <v>394402.31659999996</v>
      </c>
      <c r="AX21" s="83">
        <v>444698.00040000002</v>
      </c>
      <c r="AY21" s="83">
        <v>2559970.4013</v>
      </c>
    </row>
    <row r="22" spans="1:51" ht="16.5" thickBot="1" x14ac:dyDescent="0.3">
      <c r="A22" s="26" t="s">
        <v>114</v>
      </c>
      <c r="B22" s="69">
        <v>3881.4904666666666</v>
      </c>
      <c r="C22" s="70">
        <v>2740.84</v>
      </c>
      <c r="E22" s="80" t="s">
        <v>225</v>
      </c>
      <c r="F22" s="87" t="s">
        <v>199</v>
      </c>
      <c r="G22" s="85">
        <v>2922552.1173999999</v>
      </c>
      <c r="I22" s="26" t="s">
        <v>114</v>
      </c>
      <c r="J22" s="65">
        <v>6.333333333333333</v>
      </c>
      <c r="K22" s="33">
        <v>492009.99619999994</v>
      </c>
      <c r="L22" s="40"/>
      <c r="M22" s="57">
        <v>1</v>
      </c>
      <c r="N22" s="60">
        <v>5812228.0028999988</v>
      </c>
      <c r="AK22" s="8" t="s">
        <v>204</v>
      </c>
      <c r="AL22" s="78">
        <v>3002222.8954000012</v>
      </c>
      <c r="AM22" s="78">
        <v>8331287.5953999981</v>
      </c>
      <c r="AN22" s="78"/>
      <c r="AP22" s="89" t="s">
        <v>201</v>
      </c>
      <c r="AQ22" s="83">
        <v>194082.00739999997</v>
      </c>
      <c r="AR22" s="83">
        <v>646617.39399999997</v>
      </c>
      <c r="AS22" s="83"/>
      <c r="AT22" s="83">
        <v>144672.0502</v>
      </c>
      <c r="AU22" s="83">
        <v>166476.98449999996</v>
      </c>
      <c r="AV22" s="83">
        <v>456839.46090000001</v>
      </c>
      <c r="AW22" s="83">
        <v>386853.45379999996</v>
      </c>
      <c r="AX22" s="83">
        <v>265322.84619999997</v>
      </c>
      <c r="AY22" s="83">
        <v>2260864.1970000002</v>
      </c>
    </row>
    <row r="23" spans="1:51" ht="16.5" thickBot="1" x14ac:dyDescent="0.3">
      <c r="A23" s="27" t="s">
        <v>117</v>
      </c>
      <c r="B23" s="71">
        <v>3977.3567999999996</v>
      </c>
      <c r="C23" s="72">
        <v>4778.8849999999993</v>
      </c>
      <c r="E23" s="80"/>
      <c r="F23" s="87" t="s">
        <v>200</v>
      </c>
      <c r="G23" s="55">
        <v>2559970.4013</v>
      </c>
      <c r="I23" s="27" t="s">
        <v>117</v>
      </c>
      <c r="J23" s="65">
        <v>4</v>
      </c>
      <c r="K23" s="33">
        <v>485154.66800000001</v>
      </c>
      <c r="L23" s="40"/>
      <c r="M23" s="58">
        <v>2</v>
      </c>
      <c r="N23" s="61">
        <v>7270348.5741000017</v>
      </c>
      <c r="AK23" s="8" t="s">
        <v>205</v>
      </c>
      <c r="AL23" s="78">
        <v>2524592.3851999994</v>
      </c>
      <c r="AM23" s="78">
        <v>7000676.1331999982</v>
      </c>
      <c r="AN23" s="78"/>
      <c r="AP23" s="89" t="s">
        <v>202</v>
      </c>
      <c r="AQ23" s="83">
        <v>47970.345000000001</v>
      </c>
      <c r="AR23" s="83">
        <v>695733.30960000004</v>
      </c>
      <c r="AS23" s="83">
        <v>276122.12309999997</v>
      </c>
      <c r="AT23" s="83">
        <v>41206.6368</v>
      </c>
      <c r="AU23" s="83">
        <v>25200.244400000003</v>
      </c>
      <c r="AV23" s="83">
        <v>899649.72669999988</v>
      </c>
      <c r="AW23" s="83">
        <v>777149.24599999993</v>
      </c>
      <c r="AX23" s="83">
        <v>369038.30820000003</v>
      </c>
      <c r="AY23" s="83">
        <v>3132069.9397999994</v>
      </c>
    </row>
    <row r="24" spans="1:51" ht="16.5" thickBot="1" x14ac:dyDescent="0.3">
      <c r="A24" s="27" t="s">
        <v>39</v>
      </c>
      <c r="B24" s="71">
        <v>1545.8122500000002</v>
      </c>
      <c r="C24" s="72">
        <v>4440.416666666667</v>
      </c>
      <c r="E24" s="80"/>
      <c r="F24" s="87" t="s">
        <v>201</v>
      </c>
      <c r="G24" s="55">
        <v>2260864.1969999997</v>
      </c>
      <c r="I24" s="27" t="s">
        <v>39</v>
      </c>
      <c r="J24" s="65">
        <v>4.75</v>
      </c>
      <c r="K24" s="33">
        <v>169755.34000000003</v>
      </c>
      <c r="L24" s="40"/>
      <c r="M24" s="58">
        <v>3</v>
      </c>
      <c r="N24" s="61">
        <v>5989084.0791000016</v>
      </c>
      <c r="AK24" s="8" t="s">
        <v>206</v>
      </c>
      <c r="AL24" s="78">
        <v>2689529.8741000001</v>
      </c>
      <c r="AM24" s="78">
        <v>7422425.8201000029</v>
      </c>
      <c r="AN24" s="78"/>
      <c r="AP24" s="89" t="s">
        <v>203</v>
      </c>
      <c r="AQ24" s="83">
        <v>28745.532899999998</v>
      </c>
      <c r="AR24" s="83">
        <v>417647.79360000003</v>
      </c>
      <c r="AS24" s="83">
        <v>478925.72639999993</v>
      </c>
      <c r="AT24" s="83">
        <v>87146.4902</v>
      </c>
      <c r="AU24" s="83">
        <v>394246.73340000003</v>
      </c>
      <c r="AV24" s="83">
        <v>193620.38500000001</v>
      </c>
      <c r="AW24" s="83">
        <v>117820.95699999999</v>
      </c>
      <c r="AX24" s="83">
        <v>446421.78509999998</v>
      </c>
      <c r="AY24" s="83">
        <v>2164575.4035999998</v>
      </c>
    </row>
    <row r="25" spans="1:51" ht="16.5" thickBot="1" x14ac:dyDescent="0.3">
      <c r="A25" s="27" t="s">
        <v>54</v>
      </c>
      <c r="B25" s="71">
        <v>408.78560000000004</v>
      </c>
      <c r="C25" s="72">
        <v>513.45666666666671</v>
      </c>
      <c r="E25" s="80"/>
      <c r="F25" s="87" t="s">
        <v>202</v>
      </c>
      <c r="G25" s="55">
        <v>3132069.9397999994</v>
      </c>
      <c r="I25" s="27" t="s">
        <v>54</v>
      </c>
      <c r="J25" s="65">
        <v>4.4000000000000004</v>
      </c>
      <c r="K25" s="33">
        <v>42717.240000000005</v>
      </c>
      <c r="L25" s="40"/>
      <c r="M25" s="58">
        <v>4</v>
      </c>
      <c r="N25" s="61">
        <v>5907714.6209000023</v>
      </c>
      <c r="AK25" s="8" t="s">
        <v>207</v>
      </c>
      <c r="AL25" s="78">
        <v>1615677.8313000004</v>
      </c>
      <c r="AM25" s="78">
        <v>4435348.1193000004</v>
      </c>
      <c r="AN25" s="78"/>
      <c r="AP25" s="89" t="s">
        <v>204</v>
      </c>
      <c r="AQ25" s="83">
        <v>65203.218000000001</v>
      </c>
      <c r="AR25" s="83">
        <v>60877.031999999999</v>
      </c>
      <c r="AS25" s="83">
        <v>88425.741999999998</v>
      </c>
      <c r="AT25" s="83">
        <v>339117.56279999996</v>
      </c>
      <c r="AU25" s="83">
        <v>660910.51370000001</v>
      </c>
      <c r="AV25" s="83">
        <v>298568.11939999997</v>
      </c>
      <c r="AW25" s="83">
        <v>415114.89159999992</v>
      </c>
      <c r="AX25" s="83">
        <v>207462.89049999998</v>
      </c>
      <c r="AY25" s="83">
        <v>2135679.9699999997</v>
      </c>
    </row>
    <row r="26" spans="1:51" ht="16.5" thickBot="1" x14ac:dyDescent="0.3">
      <c r="A26" s="27" t="s">
        <v>58</v>
      </c>
      <c r="B26" s="71">
        <v>1505.3538000000001</v>
      </c>
      <c r="C26" s="72">
        <v>4497.6779999999999</v>
      </c>
      <c r="E26" s="80"/>
      <c r="F26" s="87" t="s">
        <v>203</v>
      </c>
      <c r="G26" s="55">
        <v>2164575.4035999998</v>
      </c>
      <c r="I26" s="27" t="s">
        <v>58</v>
      </c>
      <c r="J26" s="65">
        <v>7</v>
      </c>
      <c r="K26" s="33">
        <v>211834.03420000002</v>
      </c>
      <c r="L26" s="40"/>
      <c r="M26" s="59">
        <v>5</v>
      </c>
      <c r="N26" s="62">
        <v>6517963.6685000006</v>
      </c>
      <c r="AK26" s="8" t="s">
        <v>208</v>
      </c>
      <c r="AL26" s="78">
        <v>3585977.7150999997</v>
      </c>
      <c r="AM26" s="78">
        <v>9870492.2911000047</v>
      </c>
      <c r="AN26" s="78"/>
      <c r="AP26" s="89" t="s">
        <v>205</v>
      </c>
      <c r="AQ26" s="83">
        <v>117020.06159999999</v>
      </c>
      <c r="AR26" s="83">
        <v>279875.00660000002</v>
      </c>
      <c r="AS26" s="83">
        <v>504639.80209999991</v>
      </c>
      <c r="AT26" s="83">
        <v>401889.04889999999</v>
      </c>
      <c r="AU26" s="83">
        <v>359560.16760000004</v>
      </c>
      <c r="AV26" s="83">
        <v>707642.49809999997</v>
      </c>
      <c r="AW26" s="83">
        <v>160815.42819999999</v>
      </c>
      <c r="AX26" s="83">
        <v>399624.68159999995</v>
      </c>
      <c r="AY26" s="83">
        <v>2931066.6946999999</v>
      </c>
    </row>
    <row r="27" spans="1:51" ht="16.5" thickBot="1" x14ac:dyDescent="0.3">
      <c r="A27" s="27" t="s">
        <v>85</v>
      </c>
      <c r="B27" s="71">
        <v>4218.0987000000005</v>
      </c>
      <c r="C27" s="72">
        <v>5380.9516666666668</v>
      </c>
      <c r="E27" s="80"/>
      <c r="F27" s="87" t="s">
        <v>204</v>
      </c>
      <c r="G27" s="55">
        <v>2135679.9699999997</v>
      </c>
      <c r="I27" s="27" t="s">
        <v>85</v>
      </c>
      <c r="J27" s="65">
        <v>7</v>
      </c>
      <c r="K27" s="33">
        <v>289824.201</v>
      </c>
      <c r="L27" s="40"/>
      <c r="AK27" s="8" t="s">
        <v>209</v>
      </c>
      <c r="AL27" s="78">
        <v>2480683.4196000006</v>
      </c>
      <c r="AM27" s="78">
        <v>6791751.9816000005</v>
      </c>
      <c r="AN27" s="78"/>
      <c r="AP27" s="89" t="s">
        <v>206</v>
      </c>
      <c r="AQ27" s="83">
        <v>12555.055799999998</v>
      </c>
      <c r="AR27" s="83">
        <v>404185.28759999998</v>
      </c>
      <c r="AS27" s="83">
        <v>750429.29679999989</v>
      </c>
      <c r="AT27" s="83"/>
      <c r="AU27" s="83">
        <v>512832.68699999998</v>
      </c>
      <c r="AV27" s="83">
        <v>561583.80929999996</v>
      </c>
      <c r="AW27" s="83">
        <v>320416.93940000003</v>
      </c>
      <c r="AX27" s="83">
        <v>22367.872800000001</v>
      </c>
      <c r="AY27" s="83">
        <v>2584370.9486999996</v>
      </c>
    </row>
    <row r="28" spans="1:51" ht="16.5" thickBot="1" x14ac:dyDescent="0.3">
      <c r="A28" s="27" t="s">
        <v>137</v>
      </c>
      <c r="B28" s="71">
        <v>4060.9986666666664</v>
      </c>
      <c r="C28" s="72">
        <v>5094.8040000000001</v>
      </c>
      <c r="E28" s="80"/>
      <c r="F28" s="87" t="s">
        <v>205</v>
      </c>
      <c r="G28" s="55">
        <v>2931066.6947000003</v>
      </c>
      <c r="I28" s="27" t="s">
        <v>137</v>
      </c>
      <c r="J28" s="65">
        <v>6.666666666666667</v>
      </c>
      <c r="K28" s="33">
        <v>1027505.1804999999</v>
      </c>
      <c r="L28" s="40"/>
      <c r="AK28" s="8" t="s">
        <v>210</v>
      </c>
      <c r="AL28" s="78">
        <v>2871031.2346999999</v>
      </c>
      <c r="AM28" s="78">
        <v>8098463.3386999993</v>
      </c>
      <c r="AN28" s="78"/>
      <c r="AP28" s="89" t="s">
        <v>207</v>
      </c>
      <c r="AQ28" s="83"/>
      <c r="AR28" s="83">
        <v>504722.84700000001</v>
      </c>
      <c r="AS28" s="83">
        <v>117085.88710000001</v>
      </c>
      <c r="AT28" s="83">
        <v>52035.731099999997</v>
      </c>
      <c r="AU28" s="83">
        <v>377735.69320000004</v>
      </c>
      <c r="AV28" s="83">
        <v>84085.181599999996</v>
      </c>
      <c r="AW28" s="83">
        <v>262939.071</v>
      </c>
      <c r="AX28" s="83">
        <v>77140.573999999993</v>
      </c>
      <c r="AY28" s="83">
        <v>1475744.9850000001</v>
      </c>
    </row>
    <row r="29" spans="1:51" ht="16.5" thickBot="1" x14ac:dyDescent="0.3">
      <c r="A29" s="27" t="s">
        <v>156</v>
      </c>
      <c r="B29" s="71">
        <v>1494.5743399999999</v>
      </c>
      <c r="C29" s="72">
        <v>6414.0239999999985</v>
      </c>
      <c r="E29" s="80"/>
      <c r="F29" s="87" t="s">
        <v>206</v>
      </c>
      <c r="G29" s="55">
        <v>2584370.948700001</v>
      </c>
      <c r="I29" s="27" t="s">
        <v>156</v>
      </c>
      <c r="J29" s="65">
        <v>5.3</v>
      </c>
      <c r="K29" s="33">
        <v>415466.41499999998</v>
      </c>
      <c r="L29" s="40"/>
      <c r="AK29" s="8" t="s">
        <v>221</v>
      </c>
      <c r="AL29" s="78">
        <v>31497338.945500009</v>
      </c>
      <c r="AM29" s="78">
        <v>87332512.061500013</v>
      </c>
      <c r="AN29" s="78"/>
      <c r="AP29" s="89" t="s">
        <v>208</v>
      </c>
      <c r="AQ29" s="83">
        <v>386350.36379999993</v>
      </c>
      <c r="AR29" s="83">
        <v>572816.30339999998</v>
      </c>
      <c r="AS29" s="83">
        <v>1112705.7093</v>
      </c>
      <c r="AT29" s="83">
        <v>307223.5612</v>
      </c>
      <c r="AU29" s="83">
        <v>271562.07339999999</v>
      </c>
      <c r="AV29" s="83">
        <v>366014.30379999994</v>
      </c>
      <c r="AW29" s="83">
        <v>135991.33679999999</v>
      </c>
      <c r="AX29" s="83">
        <v>408976.3959</v>
      </c>
      <c r="AY29" s="83">
        <v>3561640.0475999997</v>
      </c>
    </row>
    <row r="30" spans="1:51" ht="16.5" thickBot="1" x14ac:dyDescent="0.3">
      <c r="A30" s="27" t="s">
        <v>30</v>
      </c>
      <c r="B30" s="71">
        <v>3189.1260499999994</v>
      </c>
      <c r="C30" s="72">
        <v>1213.8383333333334</v>
      </c>
      <c r="E30" s="80"/>
      <c r="F30" s="87" t="s">
        <v>207</v>
      </c>
      <c r="G30" s="55">
        <v>1475744.9850000001</v>
      </c>
      <c r="I30" s="27" t="s">
        <v>30</v>
      </c>
      <c r="J30" s="65">
        <v>6.5</v>
      </c>
      <c r="K30" s="33">
        <v>375088.97510000004</v>
      </c>
      <c r="L30" s="40"/>
      <c r="AN30" s="78"/>
      <c r="AP30" s="89" t="s">
        <v>209</v>
      </c>
      <c r="AQ30" s="83">
        <v>175143.10520000002</v>
      </c>
      <c r="AR30" s="83">
        <v>390239.22400000005</v>
      </c>
      <c r="AS30" s="83">
        <v>115810.2726</v>
      </c>
      <c r="AT30" s="83">
        <v>564436.9243999999</v>
      </c>
      <c r="AU30" s="83">
        <v>461469.44290000002</v>
      </c>
      <c r="AV30" s="83">
        <v>224688.0018</v>
      </c>
      <c r="AW30" s="83"/>
      <c r="AX30" s="83">
        <v>149919.31289999999</v>
      </c>
      <c r="AY30" s="83">
        <v>2081706.2837999999</v>
      </c>
    </row>
    <row r="31" spans="1:51" ht="16.5" thickBot="1" x14ac:dyDescent="0.3">
      <c r="A31" s="27" t="s">
        <v>7</v>
      </c>
      <c r="B31" s="71">
        <v>4083.4398285714278</v>
      </c>
      <c r="C31" s="72">
        <v>1807.2999999999997</v>
      </c>
      <c r="E31" s="80"/>
      <c r="F31" s="87" t="s">
        <v>208</v>
      </c>
      <c r="G31" s="55">
        <v>3561640.0475999988</v>
      </c>
      <c r="I31" s="27" t="s">
        <v>7</v>
      </c>
      <c r="J31" s="65">
        <v>7.7142857142857144</v>
      </c>
      <c r="K31" s="33">
        <v>816150.67099999997</v>
      </c>
      <c r="L31" s="40"/>
      <c r="AN31" s="78"/>
      <c r="AP31" s="89" t="s">
        <v>210</v>
      </c>
      <c r="AQ31" s="83">
        <v>156939.01019999999</v>
      </c>
      <c r="AR31" s="83">
        <v>621038.31220000004</v>
      </c>
      <c r="AS31" s="83">
        <v>79043.199399999998</v>
      </c>
      <c r="AT31" s="83">
        <v>213848.0784</v>
      </c>
      <c r="AU31" s="83">
        <v>493503.50100000005</v>
      </c>
      <c r="AV31" s="83"/>
      <c r="AW31" s="83">
        <v>57391.578000000009</v>
      </c>
      <c r="AX31" s="83">
        <v>1092132.3899999997</v>
      </c>
      <c r="AY31" s="83">
        <v>2713896.0691999998</v>
      </c>
    </row>
    <row r="32" spans="1:51" ht="16.5" thickBot="1" x14ac:dyDescent="0.3">
      <c r="A32" s="27" t="s">
        <v>20</v>
      </c>
      <c r="B32" s="71">
        <v>2709.9180624999999</v>
      </c>
      <c r="C32" s="72">
        <v>6325.1699999999992</v>
      </c>
      <c r="E32" s="80"/>
      <c r="F32" s="87" t="s">
        <v>209</v>
      </c>
      <c r="G32" s="55">
        <v>2081706.2837999996</v>
      </c>
      <c r="I32" s="27" t="s">
        <v>20</v>
      </c>
      <c r="J32" s="65">
        <v>5.375</v>
      </c>
      <c r="K32" s="33">
        <v>336846.03699999995</v>
      </c>
      <c r="L32" s="40"/>
      <c r="AN32" s="78"/>
      <c r="AP32" s="8" t="s">
        <v>226</v>
      </c>
      <c r="AQ32" s="83"/>
      <c r="AR32" s="83"/>
      <c r="AS32" s="83"/>
      <c r="AT32" s="83"/>
      <c r="AU32" s="83"/>
      <c r="AV32" s="83"/>
      <c r="AW32" s="83"/>
      <c r="AX32" s="83"/>
      <c r="AY32" s="83"/>
    </row>
    <row r="33" spans="1:51" ht="16.5" thickBot="1" x14ac:dyDescent="0.3">
      <c r="A33" s="27" t="s">
        <v>9</v>
      </c>
      <c r="B33" s="71">
        <v>4830.9393</v>
      </c>
      <c r="C33" s="72">
        <v>7049.42</v>
      </c>
      <c r="E33" s="80"/>
      <c r="F33" s="87" t="s">
        <v>210</v>
      </c>
      <c r="G33" s="55">
        <v>2713896.0691999998</v>
      </c>
      <c r="I33" s="27" t="s">
        <v>9</v>
      </c>
      <c r="J33" s="65">
        <v>6.5</v>
      </c>
      <c r="K33" s="33">
        <v>634170.57719999994</v>
      </c>
      <c r="L33" s="40"/>
      <c r="AL33" s="8"/>
      <c r="AM33" s="78"/>
      <c r="AN33" s="78"/>
      <c r="AP33" s="89" t="s">
        <v>199</v>
      </c>
      <c r="AQ33" s="83">
        <v>197150.04499999998</v>
      </c>
      <c r="AR33" s="83">
        <v>502400.29719999997</v>
      </c>
      <c r="AS33" s="83">
        <v>452657.66639999999</v>
      </c>
      <c r="AT33" s="83">
        <v>18568.4244</v>
      </c>
      <c r="AU33" s="83">
        <v>182542.24799999999</v>
      </c>
      <c r="AV33" s="83">
        <v>430097.04360000003</v>
      </c>
      <c r="AW33" s="83">
        <v>491805.68959999993</v>
      </c>
      <c r="AX33" s="83">
        <v>808898.39159999997</v>
      </c>
      <c r="AY33" s="83">
        <v>3084119.8057999993</v>
      </c>
    </row>
    <row r="34" spans="1:51" ht="16.5" thickBot="1" x14ac:dyDescent="0.3">
      <c r="A34" s="27" t="s">
        <v>72</v>
      </c>
      <c r="B34" s="71">
        <v>2566.2045888888888</v>
      </c>
      <c r="C34" s="72">
        <v>3047.7533333333336</v>
      </c>
      <c r="E34" s="80" t="s">
        <v>226</v>
      </c>
      <c r="F34" s="87" t="s">
        <v>199</v>
      </c>
      <c r="G34" s="55">
        <v>3084119.8058000002</v>
      </c>
      <c r="I34" s="27" t="s">
        <v>72</v>
      </c>
      <c r="J34" s="65">
        <v>7.4444444444444446</v>
      </c>
      <c r="K34" s="33">
        <v>521389.31050000002</v>
      </c>
      <c r="L34" s="40"/>
      <c r="AL34" s="89"/>
      <c r="AM34" s="78"/>
      <c r="AN34" s="78"/>
      <c r="AP34" s="89" t="s">
        <v>200</v>
      </c>
      <c r="AQ34" s="83">
        <v>66879.864000000001</v>
      </c>
      <c r="AR34" s="83">
        <v>221360.24220000001</v>
      </c>
      <c r="AS34" s="83">
        <v>631655.41479999991</v>
      </c>
      <c r="AT34" s="83">
        <v>128914.57980000001</v>
      </c>
      <c r="AU34" s="83">
        <v>610394.1398</v>
      </c>
      <c r="AV34" s="83">
        <v>192352.2616</v>
      </c>
      <c r="AW34" s="83">
        <v>75655.387499999997</v>
      </c>
      <c r="AX34" s="83">
        <v>202966.47379999998</v>
      </c>
      <c r="AY34" s="83">
        <v>2130178.3635</v>
      </c>
    </row>
    <row r="35" spans="1:51" ht="16.5" thickBot="1" x14ac:dyDescent="0.3">
      <c r="A35" s="27" t="s">
        <v>77</v>
      </c>
      <c r="B35" s="71">
        <v>4270.7541333333329</v>
      </c>
      <c r="C35" s="72">
        <v>1786.8475000000001</v>
      </c>
      <c r="E35" s="80"/>
      <c r="F35" s="87" t="s">
        <v>200</v>
      </c>
      <c r="G35" s="55">
        <v>2130178.3635</v>
      </c>
      <c r="I35" s="27" t="s">
        <v>77</v>
      </c>
      <c r="J35" s="65">
        <v>5.333333333333333</v>
      </c>
      <c r="K35" s="33">
        <v>661184.92159999989</v>
      </c>
      <c r="L35" s="40"/>
      <c r="AL35" s="89"/>
      <c r="AM35" s="78"/>
      <c r="AN35" s="78"/>
      <c r="AP35" s="89" t="s">
        <v>201</v>
      </c>
      <c r="AQ35" s="83">
        <v>305298.59999999998</v>
      </c>
      <c r="AR35" s="83">
        <v>192287.06780000002</v>
      </c>
      <c r="AS35" s="83">
        <v>99656.553400000004</v>
      </c>
      <c r="AT35" s="83">
        <v>140169.25939999998</v>
      </c>
      <c r="AU35" s="83">
        <v>56064.027999999991</v>
      </c>
      <c r="AV35" s="83">
        <v>242971.9914</v>
      </c>
      <c r="AW35" s="83">
        <v>246662.44200000001</v>
      </c>
      <c r="AX35" s="83">
        <v>204082.40539999999</v>
      </c>
      <c r="AY35" s="83">
        <v>1487192.3474000001</v>
      </c>
    </row>
    <row r="36" spans="1:51" ht="16.5" thickBot="1" x14ac:dyDescent="0.3">
      <c r="A36" s="27" t="s">
        <v>90</v>
      </c>
      <c r="B36" s="71">
        <v>814.58263636363631</v>
      </c>
      <c r="C36" s="72">
        <v>398.39199999999988</v>
      </c>
      <c r="E36" s="80"/>
      <c r="F36" s="87" t="s">
        <v>201</v>
      </c>
      <c r="G36" s="55">
        <v>1487192.3474000001</v>
      </c>
      <c r="I36" s="27" t="s">
        <v>90</v>
      </c>
      <c r="J36" s="65">
        <v>5.9090909090909092</v>
      </c>
      <c r="K36" s="33">
        <v>216054.07439999998</v>
      </c>
      <c r="L36" s="40"/>
      <c r="AL36" s="89"/>
      <c r="AM36" s="78"/>
      <c r="AN36" s="78"/>
      <c r="AP36" s="89" t="s">
        <v>202</v>
      </c>
      <c r="AQ36" s="83">
        <v>343706.19160000002</v>
      </c>
      <c r="AR36" s="83">
        <v>16121.215799999998</v>
      </c>
      <c r="AS36" s="83">
        <v>378297.30689999997</v>
      </c>
      <c r="AT36" s="83">
        <v>650877.5564</v>
      </c>
      <c r="AU36" s="83">
        <v>389726.5282</v>
      </c>
      <c r="AV36" s="83">
        <v>170727.46679999999</v>
      </c>
      <c r="AW36" s="83">
        <v>495513.56880000001</v>
      </c>
      <c r="AX36" s="83">
        <v>185042.18959999998</v>
      </c>
      <c r="AY36" s="83">
        <v>2630012.0241</v>
      </c>
    </row>
    <row r="37" spans="1:51" ht="16.5" thickBot="1" x14ac:dyDescent="0.3">
      <c r="A37" s="27" t="s">
        <v>91</v>
      </c>
      <c r="B37" s="71">
        <v>2060.7346666666667</v>
      </c>
      <c r="C37" s="72">
        <v>197.005</v>
      </c>
      <c r="E37" s="80"/>
      <c r="F37" s="87" t="s">
        <v>202</v>
      </c>
      <c r="G37" s="55">
        <v>2630012.0241</v>
      </c>
      <c r="I37" s="27" t="s">
        <v>91</v>
      </c>
      <c r="J37" s="65">
        <v>6.666666666666667</v>
      </c>
      <c r="K37" s="33">
        <v>247111.52559999999</v>
      </c>
      <c r="L37" s="40"/>
      <c r="AL37" s="89"/>
      <c r="AM37" s="78"/>
      <c r="AN37" s="78"/>
      <c r="AP37" s="89" t="s">
        <v>203</v>
      </c>
      <c r="AQ37" s="83">
        <v>327715.19799999997</v>
      </c>
      <c r="AR37" s="83"/>
      <c r="AS37" s="83">
        <v>419942.57999999996</v>
      </c>
      <c r="AT37" s="83">
        <v>375300.19529999996</v>
      </c>
      <c r="AU37" s="83">
        <v>30717.33</v>
      </c>
      <c r="AV37" s="83">
        <v>49188.2022</v>
      </c>
      <c r="AW37" s="83"/>
      <c r="AX37" s="83">
        <v>604223.49450000003</v>
      </c>
      <c r="AY37" s="83">
        <v>1807087</v>
      </c>
    </row>
    <row r="38" spans="1:51" ht="16.5" thickBot="1" x14ac:dyDescent="0.3">
      <c r="A38" s="27" t="s">
        <v>34</v>
      </c>
      <c r="B38" s="71">
        <v>3781.0836000000004</v>
      </c>
      <c r="C38" s="72">
        <v>5343.3279999999995</v>
      </c>
      <c r="E38" s="80"/>
      <c r="F38" s="87" t="s">
        <v>203</v>
      </c>
      <c r="G38" s="55">
        <v>1807087.0000000002</v>
      </c>
      <c r="I38" s="27" t="s">
        <v>34</v>
      </c>
      <c r="J38" s="65">
        <v>4.5999999999999996</v>
      </c>
      <c r="K38" s="33">
        <v>424995.38200000004</v>
      </c>
      <c r="L38" s="40"/>
      <c r="AL38" s="89"/>
      <c r="AM38" s="78"/>
      <c r="AN38" s="78"/>
      <c r="AP38" s="89" t="s">
        <v>204</v>
      </c>
      <c r="AQ38" s="83">
        <v>13676.087100000001</v>
      </c>
      <c r="AR38" s="83">
        <v>157894.4472</v>
      </c>
      <c r="AS38" s="83">
        <v>977502.60339999991</v>
      </c>
      <c r="AT38" s="83">
        <v>357205.75939999998</v>
      </c>
      <c r="AU38" s="83">
        <v>822971.81179999991</v>
      </c>
      <c r="AV38" s="83">
        <v>559878.12079999992</v>
      </c>
      <c r="AW38" s="83">
        <v>111148.60560000001</v>
      </c>
      <c r="AX38" s="83">
        <v>307817.73259999999</v>
      </c>
      <c r="AY38" s="83">
        <v>3308095.1678999998</v>
      </c>
    </row>
    <row r="39" spans="1:51" ht="16.5" thickBot="1" x14ac:dyDescent="0.3">
      <c r="A39" s="27" t="s">
        <v>43</v>
      </c>
      <c r="B39" s="71">
        <v>946.49699999999996</v>
      </c>
      <c r="C39" s="72">
        <v>1065.8219999999999</v>
      </c>
      <c r="E39" s="80"/>
      <c r="F39" s="87" t="s">
        <v>204</v>
      </c>
      <c r="G39" s="55">
        <v>3308095.1679000002</v>
      </c>
      <c r="I39" s="27" t="s">
        <v>43</v>
      </c>
      <c r="J39" s="65">
        <v>7.5</v>
      </c>
      <c r="K39" s="33">
        <v>190281.71040000004</v>
      </c>
      <c r="L39" s="40"/>
      <c r="AL39" s="89"/>
      <c r="AM39" s="78"/>
      <c r="AN39" s="78"/>
      <c r="AP39" s="89" t="s">
        <v>205</v>
      </c>
      <c r="AQ39" s="83">
        <v>6083.4520000000002</v>
      </c>
      <c r="AR39" s="83">
        <v>237192.9547</v>
      </c>
      <c r="AS39" s="83">
        <v>244243.08</v>
      </c>
      <c r="AT39" s="83">
        <v>84883.780799999993</v>
      </c>
      <c r="AU39" s="83">
        <v>167760.288</v>
      </c>
      <c r="AV39" s="83">
        <v>409685.36279999994</v>
      </c>
      <c r="AW39" s="83">
        <v>95730.063099999999</v>
      </c>
      <c r="AX39" s="83">
        <v>235259.01699999999</v>
      </c>
      <c r="AY39" s="83">
        <v>1480837.9983999999</v>
      </c>
    </row>
    <row r="40" spans="1:51" ht="16.5" thickBot="1" x14ac:dyDescent="0.3">
      <c r="A40" s="27" t="s">
        <v>63</v>
      </c>
      <c r="B40" s="71">
        <v>958.11169999999993</v>
      </c>
      <c r="C40" s="72">
        <v>5383.6833333333334</v>
      </c>
      <c r="E40" s="80"/>
      <c r="F40" s="87" t="s">
        <v>205</v>
      </c>
      <c r="G40" s="55">
        <v>1480837.9983999999</v>
      </c>
      <c r="I40" s="27" t="s">
        <v>63</v>
      </c>
      <c r="J40" s="65">
        <v>9</v>
      </c>
      <c r="K40" s="33">
        <v>61898.227299999999</v>
      </c>
      <c r="L40" s="40"/>
      <c r="AL40" s="89"/>
      <c r="AM40" s="78"/>
      <c r="AN40" s="78"/>
      <c r="AP40" s="89" t="s">
        <v>206</v>
      </c>
      <c r="AQ40" s="83">
        <v>381413.14559999999</v>
      </c>
      <c r="AR40" s="83">
        <v>673886.99049999996</v>
      </c>
      <c r="AS40" s="83">
        <v>11533.494000000001</v>
      </c>
      <c r="AT40" s="83">
        <v>542634.75959999999</v>
      </c>
      <c r="AU40" s="83">
        <v>550905.94539999997</v>
      </c>
      <c r="AV40" s="83">
        <v>302297.25199999998</v>
      </c>
      <c r="AW40" s="83">
        <v>226512.51070000001</v>
      </c>
      <c r="AX40" s="83">
        <v>530869.32199999993</v>
      </c>
      <c r="AY40" s="83">
        <v>3220053.4197999993</v>
      </c>
    </row>
    <row r="41" spans="1:51" ht="16.5" thickBot="1" x14ac:dyDescent="0.3">
      <c r="A41" s="27" t="s">
        <v>128</v>
      </c>
      <c r="B41" s="71">
        <v>2207.8572857142858</v>
      </c>
      <c r="C41" s="72">
        <v>4469.4999999999991</v>
      </c>
      <c r="E41" s="80"/>
      <c r="F41" s="87" t="s">
        <v>206</v>
      </c>
      <c r="G41" s="55">
        <v>3220053.4197999998</v>
      </c>
      <c r="I41" s="27" t="s">
        <v>128</v>
      </c>
      <c r="J41" s="65">
        <v>6.5714285714285712</v>
      </c>
      <c r="K41" s="33">
        <v>383775.56000000006</v>
      </c>
      <c r="L41" s="40"/>
      <c r="AL41" s="89"/>
      <c r="AM41" s="78"/>
      <c r="AN41" s="78"/>
      <c r="AP41" s="89" t="s">
        <v>207</v>
      </c>
      <c r="AQ41" s="83">
        <v>17588.649600000001</v>
      </c>
      <c r="AR41" s="83">
        <v>58030.727299999999</v>
      </c>
      <c r="AS41" s="83">
        <v>33306.462</v>
      </c>
      <c r="AT41" s="83">
        <v>119842.92899999999</v>
      </c>
      <c r="AU41" s="83">
        <v>32154.055200000003</v>
      </c>
      <c r="AV41" s="83">
        <v>42645.636799999993</v>
      </c>
      <c r="AW41" s="83">
        <v>209044.99199999997</v>
      </c>
      <c r="AX41" s="83">
        <v>240992.9406</v>
      </c>
      <c r="AY41" s="83">
        <v>753606.39249999996</v>
      </c>
    </row>
    <row r="42" spans="1:51" ht="16.5" thickBot="1" x14ac:dyDescent="0.3">
      <c r="A42" s="27" t="s">
        <v>98</v>
      </c>
      <c r="B42" s="71">
        <v>2923.04376</v>
      </c>
      <c r="C42" s="72">
        <v>2919.076</v>
      </c>
      <c r="E42" s="80"/>
      <c r="F42" s="87" t="s">
        <v>207</v>
      </c>
      <c r="G42" s="55">
        <v>753606.39250000007</v>
      </c>
      <c r="I42" s="27" t="s">
        <v>98</v>
      </c>
      <c r="J42" s="65">
        <v>6.4</v>
      </c>
      <c r="K42" s="33">
        <v>279531.67409999995</v>
      </c>
      <c r="L42" s="40"/>
      <c r="AL42" s="89"/>
      <c r="AM42" s="78"/>
      <c r="AN42" s="78"/>
      <c r="AP42" s="89" t="s">
        <v>208</v>
      </c>
      <c r="AQ42" s="83">
        <v>266828.44579999999</v>
      </c>
      <c r="AR42" s="83">
        <v>330033.57120000001</v>
      </c>
      <c r="AS42" s="83">
        <v>277626.02</v>
      </c>
      <c r="AT42" s="83">
        <v>577488.12069999997</v>
      </c>
      <c r="AU42" s="83">
        <v>25273.843199999999</v>
      </c>
      <c r="AV42" s="83">
        <v>326823.5748</v>
      </c>
      <c r="AW42" s="83">
        <v>431893.52599999995</v>
      </c>
      <c r="AX42" s="83">
        <v>170407.31519999998</v>
      </c>
      <c r="AY42" s="83">
        <v>2406374.4169000001</v>
      </c>
    </row>
    <row r="43" spans="1:51" ht="16.5" thickBot="1" x14ac:dyDescent="0.3">
      <c r="A43" s="27" t="s">
        <v>116</v>
      </c>
      <c r="B43" s="71">
        <v>3023.3692500000002</v>
      </c>
      <c r="C43" s="72">
        <v>5121.3466666666654</v>
      </c>
      <c r="E43" s="80"/>
      <c r="F43" s="87" t="s">
        <v>208</v>
      </c>
      <c r="G43" s="55">
        <v>2406374.4168999996</v>
      </c>
      <c r="I43" s="27" t="s">
        <v>116</v>
      </c>
      <c r="J43" s="65">
        <v>6.5</v>
      </c>
      <c r="K43" s="33">
        <v>1007703.5220000001</v>
      </c>
      <c r="L43" s="40"/>
      <c r="AL43" s="89"/>
      <c r="AM43" s="78"/>
      <c r="AN43" s="78"/>
      <c r="AP43" s="89" t="s">
        <v>209</v>
      </c>
      <c r="AQ43" s="83">
        <v>71723.001799999998</v>
      </c>
      <c r="AR43" s="83">
        <v>85118.476999999999</v>
      </c>
      <c r="AS43" s="83">
        <v>148461.47999999998</v>
      </c>
      <c r="AT43" s="83">
        <v>440184.65039999998</v>
      </c>
      <c r="AU43" s="83">
        <v>293046.48780000006</v>
      </c>
      <c r="AV43" s="83">
        <v>478721.80180000002</v>
      </c>
      <c r="AW43" s="83">
        <v>208589.71379999997</v>
      </c>
      <c r="AX43" s="83">
        <v>877330.15769999998</v>
      </c>
      <c r="AY43" s="83">
        <v>2603175.7703</v>
      </c>
    </row>
    <row r="44" spans="1:51" ht="16.5" thickBot="1" x14ac:dyDescent="0.3">
      <c r="A44" s="27" t="s">
        <v>127</v>
      </c>
      <c r="B44" s="71">
        <v>4416.5050285714287</v>
      </c>
      <c r="C44" s="72">
        <v>4456.5325000000003</v>
      </c>
      <c r="E44" s="80"/>
      <c r="F44" s="87" t="s">
        <v>209</v>
      </c>
      <c r="G44" s="55">
        <v>2603175.7703000009</v>
      </c>
      <c r="I44" s="27" t="s">
        <v>127</v>
      </c>
      <c r="J44" s="65">
        <v>5.8571428571428568</v>
      </c>
      <c r="K44" s="33">
        <v>915925.50719999988</v>
      </c>
      <c r="L44" s="40"/>
      <c r="AL44" s="89"/>
      <c r="AM44" s="78"/>
      <c r="AN44" s="78"/>
      <c r="AP44" s="89" t="s">
        <v>210</v>
      </c>
      <c r="AQ44" s="83">
        <v>72606.388799999986</v>
      </c>
      <c r="AR44" s="83">
        <v>175959.10140000001</v>
      </c>
      <c r="AS44" s="83">
        <v>276240.3224</v>
      </c>
      <c r="AT44" s="83">
        <v>566915.65359999996</v>
      </c>
      <c r="AU44" s="83">
        <v>445758.8798</v>
      </c>
      <c r="AV44" s="83">
        <v>118740.86099999998</v>
      </c>
      <c r="AW44" s="83">
        <v>109407.20980000001</v>
      </c>
      <c r="AX44" s="83">
        <v>500967.24779999995</v>
      </c>
      <c r="AY44" s="83">
        <v>2266595.6646000003</v>
      </c>
    </row>
    <row r="45" spans="1:51" ht="16.5" thickBot="1" x14ac:dyDescent="0.3">
      <c r="A45" s="27" t="s">
        <v>76</v>
      </c>
      <c r="B45" s="71">
        <v>3005.3333333333335</v>
      </c>
      <c r="C45" s="72">
        <v>3782.01</v>
      </c>
      <c r="E45" s="80"/>
      <c r="F45" s="87" t="s">
        <v>210</v>
      </c>
      <c r="G45" s="55">
        <v>2266595.6646000003</v>
      </c>
      <c r="I45" s="27" t="s">
        <v>76</v>
      </c>
      <c r="J45" s="65">
        <v>6.083333333333333</v>
      </c>
      <c r="K45" s="33">
        <v>850464</v>
      </c>
      <c r="L45" s="40"/>
      <c r="AL45" s="89"/>
      <c r="AM45" s="78"/>
      <c r="AN45" s="78"/>
      <c r="AP45" s="8" t="s">
        <v>227</v>
      </c>
      <c r="AQ45" s="83"/>
      <c r="AR45" s="83"/>
      <c r="AS45" s="83"/>
      <c r="AT45" s="83"/>
      <c r="AU45" s="83"/>
      <c r="AV45" s="83"/>
      <c r="AW45" s="83"/>
      <c r="AX45" s="83"/>
      <c r="AY45" s="83"/>
    </row>
    <row r="46" spans="1:51" ht="16.5" thickBot="1" x14ac:dyDescent="0.3">
      <c r="A46" s="27" t="s">
        <v>140</v>
      </c>
      <c r="B46" s="71">
        <v>4981.9280000000008</v>
      </c>
      <c r="C46" s="72">
        <v>1349.8883333333335</v>
      </c>
      <c r="E46" s="80" t="s">
        <v>227</v>
      </c>
      <c r="F46" s="87" t="s">
        <v>199</v>
      </c>
      <c r="G46" s="55">
        <v>1736976.2259000002</v>
      </c>
      <c r="I46" s="27" t="s">
        <v>140</v>
      </c>
      <c r="J46" s="65">
        <v>5.333333333333333</v>
      </c>
      <c r="K46" s="33">
        <v>120829.29600000002</v>
      </c>
      <c r="L46" s="40"/>
      <c r="AL46" s="8"/>
      <c r="AM46" s="78"/>
      <c r="AN46" s="78"/>
      <c r="AP46" s="89" t="s">
        <v>199</v>
      </c>
      <c r="AQ46" s="83">
        <v>9942.134399999999</v>
      </c>
      <c r="AR46" s="83">
        <v>162760.45140000002</v>
      </c>
      <c r="AS46" s="83">
        <v>187111.56340000004</v>
      </c>
      <c r="AT46" s="83">
        <v>432382.65120000002</v>
      </c>
      <c r="AU46" s="83">
        <v>79932.429000000004</v>
      </c>
      <c r="AV46" s="83">
        <v>371582.37710000004</v>
      </c>
      <c r="AW46" s="83">
        <v>103728.4742</v>
      </c>
      <c r="AX46" s="83">
        <v>389536.14519999997</v>
      </c>
      <c r="AY46" s="83">
        <v>1736976.2259000002</v>
      </c>
    </row>
    <row r="47" spans="1:51" ht="16.5" thickBot="1" x14ac:dyDescent="0.3">
      <c r="A47" s="27" t="s">
        <v>25</v>
      </c>
      <c r="B47" s="71">
        <v>5599.1765999999998</v>
      </c>
      <c r="C47" s="72">
        <v>3652.5316666666672</v>
      </c>
      <c r="E47" s="80"/>
      <c r="F47" s="87" t="s">
        <v>200</v>
      </c>
      <c r="G47" s="55">
        <v>2640283.4177000001</v>
      </c>
      <c r="I47" s="27" t="s">
        <v>25</v>
      </c>
      <c r="J47" s="65">
        <v>7</v>
      </c>
      <c r="K47" s="33">
        <v>285558.00659999996</v>
      </c>
      <c r="L47" s="40"/>
      <c r="AL47" s="89"/>
      <c r="AM47" s="78"/>
      <c r="AN47" s="78"/>
      <c r="AP47" s="89" t="s">
        <v>200</v>
      </c>
      <c r="AQ47" s="83">
        <v>66446.163</v>
      </c>
      <c r="AR47" s="83">
        <v>276473.21189999999</v>
      </c>
      <c r="AS47" s="83">
        <v>617103.31219999993</v>
      </c>
      <c r="AT47" s="83">
        <v>480130.75559999997</v>
      </c>
      <c r="AU47" s="83">
        <v>191812.87899999999</v>
      </c>
      <c r="AV47" s="83">
        <v>531827.54260000004</v>
      </c>
      <c r="AW47" s="83"/>
      <c r="AX47" s="83">
        <v>476489.55339999998</v>
      </c>
      <c r="AY47" s="83">
        <v>2640283.4177000001</v>
      </c>
    </row>
    <row r="48" spans="1:51" ht="16.5" thickBot="1" x14ac:dyDescent="0.3">
      <c r="A48" s="27" t="s">
        <v>29</v>
      </c>
      <c r="B48" s="71">
        <v>7869.5362142857148</v>
      </c>
      <c r="C48" s="72">
        <v>1552.9240000000004</v>
      </c>
      <c r="E48" s="80"/>
      <c r="F48" s="87" t="s">
        <v>201</v>
      </c>
      <c r="G48" s="55">
        <v>3000696.5490000006</v>
      </c>
      <c r="I48" s="27" t="s">
        <v>29</v>
      </c>
      <c r="J48" s="65">
        <v>6.7142857142857144</v>
      </c>
      <c r="K48" s="33">
        <v>1581824.9845</v>
      </c>
      <c r="L48" s="40"/>
      <c r="AL48" s="89"/>
      <c r="AM48" s="78"/>
      <c r="AN48" s="78"/>
      <c r="AP48" s="89" t="s">
        <v>201</v>
      </c>
      <c r="AQ48" s="83">
        <v>592271.05859999999</v>
      </c>
      <c r="AR48" s="83"/>
      <c r="AS48" s="83"/>
      <c r="AT48" s="83">
        <v>247288.07620000001</v>
      </c>
      <c r="AU48" s="83">
        <v>446949.04749999999</v>
      </c>
      <c r="AV48" s="83">
        <v>734229.03909999994</v>
      </c>
      <c r="AW48" s="83">
        <v>71769.532200000001</v>
      </c>
      <c r="AX48" s="83">
        <v>908189.79540000006</v>
      </c>
      <c r="AY48" s="83">
        <v>3000696.5490000001</v>
      </c>
    </row>
    <row r="49" spans="1:51" ht="16.5" thickBot="1" x14ac:dyDescent="0.3">
      <c r="A49" s="27" t="s">
        <v>56</v>
      </c>
      <c r="B49" s="71">
        <v>332.38400000000001</v>
      </c>
      <c r="C49" s="72">
        <v>4064.8233333333333</v>
      </c>
      <c r="E49" s="80"/>
      <c r="F49" s="87" t="s">
        <v>202</v>
      </c>
      <c r="G49" s="55">
        <v>2300182.1344999997</v>
      </c>
      <c r="I49" s="27" t="s">
        <v>56</v>
      </c>
      <c r="J49" s="65">
        <v>6</v>
      </c>
      <c r="K49" s="33">
        <v>45363.343999999997</v>
      </c>
      <c r="L49" s="40"/>
      <c r="AL49" s="89"/>
      <c r="AM49" s="78"/>
      <c r="AN49" s="78"/>
      <c r="AP49" s="89" t="s">
        <v>202</v>
      </c>
      <c r="AQ49" s="83">
        <v>132036.64079999999</v>
      </c>
      <c r="AR49" s="83">
        <v>648307.78700000001</v>
      </c>
      <c r="AS49" s="83">
        <v>739927.89939999988</v>
      </c>
      <c r="AT49" s="83">
        <v>213557.29730000001</v>
      </c>
      <c r="AU49" s="83">
        <v>202171.83199999999</v>
      </c>
      <c r="AV49" s="83">
        <v>148078.95879999999</v>
      </c>
      <c r="AW49" s="83">
        <v>25101.750599999999</v>
      </c>
      <c r="AX49" s="83">
        <v>190999.96859999996</v>
      </c>
      <c r="AY49" s="83">
        <v>2300182.1344999992</v>
      </c>
    </row>
    <row r="50" spans="1:51" ht="16.5" thickBot="1" x14ac:dyDescent="0.3">
      <c r="A50" s="27" t="s">
        <v>89</v>
      </c>
      <c r="B50" s="71">
        <v>1852.1881999999998</v>
      </c>
      <c r="C50" s="72">
        <v>4139.2699999999995</v>
      </c>
      <c r="E50" s="80"/>
      <c r="F50" s="87" t="s">
        <v>203</v>
      </c>
      <c r="G50" s="55">
        <v>1525306.8550999998</v>
      </c>
      <c r="I50" s="27" t="s">
        <v>89</v>
      </c>
      <c r="J50" s="65">
        <v>7.666666666666667</v>
      </c>
      <c r="K50" s="33">
        <v>326132.22839999996</v>
      </c>
      <c r="L50" s="40"/>
      <c r="AL50" s="89"/>
      <c r="AM50" s="78"/>
      <c r="AN50" s="78"/>
      <c r="AP50" s="89" t="s">
        <v>203</v>
      </c>
      <c r="AQ50" s="83">
        <v>117240.72959999999</v>
      </c>
      <c r="AR50" s="83">
        <v>192271.89449999999</v>
      </c>
      <c r="AS50" s="83">
        <v>48090.073199999999</v>
      </c>
      <c r="AT50" s="83">
        <v>235629.53579999998</v>
      </c>
      <c r="AU50" s="83">
        <v>113597.56839999999</v>
      </c>
      <c r="AV50" s="83">
        <v>200678.68299999999</v>
      </c>
      <c r="AW50" s="83">
        <v>381489.31180000002</v>
      </c>
      <c r="AX50" s="83">
        <v>236309.0588</v>
      </c>
      <c r="AY50" s="83">
        <v>1525306.8551</v>
      </c>
    </row>
    <row r="51" spans="1:51" ht="16.5" thickBot="1" x14ac:dyDescent="0.3">
      <c r="A51" s="27" t="s">
        <v>107</v>
      </c>
      <c r="B51" s="71">
        <v>6620.2364999999991</v>
      </c>
      <c r="C51" s="72">
        <v>2797.7239999999997</v>
      </c>
      <c r="E51" s="80"/>
      <c r="F51" s="87" t="s">
        <v>204</v>
      </c>
      <c r="G51" s="55">
        <v>2887512.4574999986</v>
      </c>
      <c r="I51" s="27" t="s">
        <v>107</v>
      </c>
      <c r="J51" s="65">
        <v>5</v>
      </c>
      <c r="K51" s="33">
        <v>857076.72329999995</v>
      </c>
      <c r="L51" s="40"/>
      <c r="AL51" s="89"/>
      <c r="AM51" s="78"/>
      <c r="AN51" s="78"/>
      <c r="AP51" s="89" t="s">
        <v>204</v>
      </c>
      <c r="AQ51" s="83">
        <v>255633.23199999999</v>
      </c>
      <c r="AR51" s="83">
        <v>182580.85769999999</v>
      </c>
      <c r="AS51" s="83">
        <v>608888.48200000008</v>
      </c>
      <c r="AT51" s="83">
        <v>138491.44519999999</v>
      </c>
      <c r="AU51" s="83">
        <v>203816.19280000002</v>
      </c>
      <c r="AV51" s="83">
        <v>212653.8651</v>
      </c>
      <c r="AW51" s="83">
        <v>375254.11809999996</v>
      </c>
      <c r="AX51" s="83">
        <v>910194.26459999999</v>
      </c>
      <c r="AY51" s="83">
        <v>2887512.4575</v>
      </c>
    </row>
    <row r="52" spans="1:51" ht="16.5" thickBot="1" x14ac:dyDescent="0.3">
      <c r="A52" s="27" t="s">
        <v>122</v>
      </c>
      <c r="B52" s="71">
        <v>1445.4152999999997</v>
      </c>
      <c r="C52" s="72">
        <v>764.66499999999996</v>
      </c>
      <c r="E52" s="80"/>
      <c r="F52" s="87" t="s">
        <v>205</v>
      </c>
      <c r="G52" s="55">
        <v>2588771.4400999998</v>
      </c>
      <c r="I52" s="27" t="s">
        <v>122</v>
      </c>
      <c r="J52" s="65">
        <v>7</v>
      </c>
      <c r="K52" s="33">
        <v>372326.54759999999</v>
      </c>
      <c r="L52" s="40"/>
      <c r="AL52" s="89"/>
      <c r="AM52" s="78"/>
      <c r="AN52" s="78"/>
      <c r="AP52" s="89" t="s">
        <v>205</v>
      </c>
      <c r="AQ52" s="83">
        <v>218354.9025</v>
      </c>
      <c r="AR52" s="83">
        <v>368089.92000000004</v>
      </c>
      <c r="AS52" s="83">
        <v>201573.65409999999</v>
      </c>
      <c r="AT52" s="83">
        <v>201222.86660000001</v>
      </c>
      <c r="AU52" s="83">
        <v>530783.4375</v>
      </c>
      <c r="AV52" s="83">
        <v>256607.52899999998</v>
      </c>
      <c r="AW52" s="83">
        <v>383920.11840000004</v>
      </c>
      <c r="AX52" s="83">
        <v>428219.01199999999</v>
      </c>
      <c r="AY52" s="83">
        <v>2588771.4401000002</v>
      </c>
    </row>
    <row r="53" spans="1:51" ht="16.5" thickBot="1" x14ac:dyDescent="0.3">
      <c r="A53" s="27" t="s">
        <v>158</v>
      </c>
      <c r="B53" s="71">
        <v>4590.9032999999999</v>
      </c>
      <c r="C53" s="72">
        <v>619.60249999999996</v>
      </c>
      <c r="E53" s="80"/>
      <c r="F53" s="87" t="s">
        <v>206</v>
      </c>
      <c r="G53" s="55">
        <v>1618001.4516000003</v>
      </c>
      <c r="I53" s="27" t="s">
        <v>158</v>
      </c>
      <c r="J53" s="65">
        <v>3</v>
      </c>
      <c r="K53" s="33">
        <v>137727.09899999999</v>
      </c>
      <c r="L53" s="40"/>
      <c r="AL53" s="89"/>
      <c r="AM53" s="78"/>
      <c r="AN53" s="78"/>
      <c r="AP53" s="89" t="s">
        <v>206</v>
      </c>
      <c r="AQ53" s="83">
        <v>240355.33350000001</v>
      </c>
      <c r="AR53" s="83">
        <v>260298.76449999999</v>
      </c>
      <c r="AS53" s="83">
        <v>329656.78980000003</v>
      </c>
      <c r="AT53" s="83">
        <v>200563.10820000002</v>
      </c>
      <c r="AU53" s="83">
        <v>80600.276400000002</v>
      </c>
      <c r="AV53" s="83">
        <v>360350.3602</v>
      </c>
      <c r="AW53" s="83">
        <v>6101.8559999999998</v>
      </c>
      <c r="AX53" s="83">
        <v>140074.96299999999</v>
      </c>
      <c r="AY53" s="83">
        <v>1618001.4516</v>
      </c>
    </row>
    <row r="54" spans="1:51" ht="16.5" thickBot="1" x14ac:dyDescent="0.3">
      <c r="A54" s="27" t="s">
        <v>27</v>
      </c>
      <c r="B54" s="71">
        <v>6236.9752500000004</v>
      </c>
      <c r="C54" s="72">
        <v>6827.7940000000008</v>
      </c>
      <c r="E54" s="80"/>
      <c r="F54" s="87" t="s">
        <v>207</v>
      </c>
      <c r="G54" s="55">
        <v>2205996.7417999995</v>
      </c>
      <c r="I54" s="27" t="s">
        <v>27</v>
      </c>
      <c r="J54" s="65">
        <v>7.625</v>
      </c>
      <c r="K54" s="33">
        <v>1119515.9580000001</v>
      </c>
      <c r="L54" s="40"/>
      <c r="AL54" s="89"/>
      <c r="AM54" s="78"/>
      <c r="AN54" s="78"/>
      <c r="AP54" s="89" t="s">
        <v>207</v>
      </c>
      <c r="AQ54" s="83">
        <v>237795.07199999999</v>
      </c>
      <c r="AR54" s="83">
        <v>431006.18109999999</v>
      </c>
      <c r="AS54" s="83">
        <v>237145.08599999998</v>
      </c>
      <c r="AT54" s="83">
        <v>502960.60299999989</v>
      </c>
      <c r="AU54" s="83">
        <v>201858.88799999998</v>
      </c>
      <c r="AV54" s="83">
        <v>48939.328199999996</v>
      </c>
      <c r="AW54" s="83">
        <v>244889.28459999998</v>
      </c>
      <c r="AX54" s="83">
        <v>301402.29890000005</v>
      </c>
      <c r="AY54" s="83">
        <v>2205996.7418</v>
      </c>
    </row>
    <row r="55" spans="1:51" ht="16.5" thickBot="1" x14ac:dyDescent="0.3">
      <c r="A55" s="27" t="s">
        <v>59</v>
      </c>
      <c r="B55" s="71">
        <v>3242.9009999999994</v>
      </c>
      <c r="C55" s="72">
        <v>2051.0440000000003</v>
      </c>
      <c r="E55" s="80"/>
      <c r="F55" s="87" t="s">
        <v>208</v>
      </c>
      <c r="G55" s="55">
        <v>3902477.8266000003</v>
      </c>
      <c r="I55" s="27" t="s">
        <v>59</v>
      </c>
      <c r="J55" s="65">
        <v>5</v>
      </c>
      <c r="K55" s="33">
        <v>519478.60440000001</v>
      </c>
      <c r="L55" s="40"/>
      <c r="AL55" s="89"/>
      <c r="AM55" s="78"/>
      <c r="AN55" s="78"/>
      <c r="AP55" s="89" t="s">
        <v>208</v>
      </c>
      <c r="AQ55" s="83">
        <v>528836.01639999996</v>
      </c>
      <c r="AR55" s="83">
        <v>329092.554</v>
      </c>
      <c r="AS55" s="83">
        <v>997514.34160000004</v>
      </c>
      <c r="AT55" s="83">
        <v>550092.0737999999</v>
      </c>
      <c r="AU55" s="83">
        <v>717364.70010000002</v>
      </c>
      <c r="AV55" s="83">
        <v>315622.05849999998</v>
      </c>
      <c r="AW55" s="83">
        <v>8251.7759999999998</v>
      </c>
      <c r="AX55" s="83">
        <v>455704.30619999999</v>
      </c>
      <c r="AY55" s="83">
        <v>3902477.8265999998</v>
      </c>
    </row>
    <row r="56" spans="1:51" ht="16.5" thickBot="1" x14ac:dyDescent="0.3">
      <c r="A56" s="27" t="s">
        <v>64</v>
      </c>
      <c r="B56" s="71">
        <v>4218.3842800000002</v>
      </c>
      <c r="C56" s="72">
        <v>6258.0899999999992</v>
      </c>
      <c r="E56" s="80"/>
      <c r="F56" s="87" t="s">
        <v>209</v>
      </c>
      <c r="G56" s="55">
        <v>2106869.9274999998</v>
      </c>
      <c r="I56" s="27" t="s">
        <v>64</v>
      </c>
      <c r="J56" s="65">
        <v>5.4</v>
      </c>
      <c r="K56" s="33">
        <v>902092.11400000006</v>
      </c>
      <c r="L56" s="40"/>
      <c r="AL56" s="89"/>
      <c r="AM56" s="78"/>
      <c r="AN56" s="78"/>
      <c r="AP56" s="89" t="s">
        <v>209</v>
      </c>
      <c r="AQ56" s="83">
        <v>389389.40509999997</v>
      </c>
      <c r="AR56" s="83">
        <v>275830.12709999998</v>
      </c>
      <c r="AS56" s="83">
        <v>420773.91</v>
      </c>
      <c r="AT56" s="83">
        <v>3068.11</v>
      </c>
      <c r="AU56" s="83">
        <v>16018.080000000002</v>
      </c>
      <c r="AV56" s="83">
        <v>195715.93979999999</v>
      </c>
      <c r="AW56" s="83">
        <v>306783.9880999999</v>
      </c>
      <c r="AX56" s="83">
        <v>499290.36739999993</v>
      </c>
      <c r="AY56" s="83">
        <v>2106869.9275000002</v>
      </c>
    </row>
    <row r="57" spans="1:51" ht="16.5" thickBot="1" x14ac:dyDescent="0.3">
      <c r="A57" s="27" t="s">
        <v>65</v>
      </c>
      <c r="B57" s="71">
        <v>3265.2064249999999</v>
      </c>
      <c r="C57" s="72">
        <v>954.33</v>
      </c>
      <c r="E57" s="81"/>
      <c r="F57" s="88" t="s">
        <v>210</v>
      </c>
      <c r="G57" s="56">
        <v>3117971.6048999997</v>
      </c>
      <c r="I57" s="27" t="s">
        <v>65</v>
      </c>
      <c r="J57" s="65">
        <v>5.75</v>
      </c>
      <c r="K57" s="33">
        <v>817392.8953999998</v>
      </c>
      <c r="L57" s="40"/>
      <c r="AL57" s="89"/>
      <c r="AM57" s="78"/>
      <c r="AN57" s="78"/>
      <c r="AP57" s="89" t="s">
        <v>210</v>
      </c>
      <c r="AQ57" s="83">
        <v>417267.83139999997</v>
      </c>
      <c r="AR57" s="83">
        <v>496606.82299999997</v>
      </c>
      <c r="AS57" s="83">
        <v>413883.67579999997</v>
      </c>
      <c r="AT57" s="83">
        <v>366017.4498</v>
      </c>
      <c r="AU57" s="83">
        <v>184181.3622</v>
      </c>
      <c r="AV57" s="83">
        <v>725308.95579999988</v>
      </c>
      <c r="AW57" s="83">
        <v>89401.119199999986</v>
      </c>
      <c r="AX57" s="83">
        <v>425304.38769999996</v>
      </c>
      <c r="AY57" s="83">
        <v>3117971.6048999997</v>
      </c>
    </row>
    <row r="58" spans="1:51" ht="16.5" thickBot="1" x14ac:dyDescent="0.3">
      <c r="A58" s="27" t="s">
        <v>66</v>
      </c>
      <c r="B58" s="71">
        <v>862.62239999999997</v>
      </c>
      <c r="C58" s="72">
        <v>2958.2974999999997</v>
      </c>
      <c r="I58" s="27" t="s">
        <v>66</v>
      </c>
      <c r="J58" s="65">
        <v>7.2</v>
      </c>
      <c r="K58" s="33">
        <v>120162.92850000001</v>
      </c>
      <c r="L58" s="40"/>
      <c r="AL58" s="89"/>
      <c r="AM58" s="78"/>
      <c r="AN58" s="78"/>
      <c r="AP58" s="8" t="s">
        <v>221</v>
      </c>
      <c r="AQ58" s="83">
        <v>6825576.2170999991</v>
      </c>
      <c r="AR58" s="83">
        <v>12553509.003</v>
      </c>
      <c r="AS58" s="83">
        <v>12715150.024000002</v>
      </c>
      <c r="AT58" s="83">
        <v>10136043.288099997</v>
      </c>
      <c r="AU58" s="83">
        <v>10870391.843999999</v>
      </c>
      <c r="AV58" s="83">
        <v>11792264.705899999</v>
      </c>
      <c r="AW58" s="83">
        <v>8099913.9097999986</v>
      </c>
      <c r="AX58" s="83">
        <v>14339663.069599997</v>
      </c>
      <c r="AY58" s="83">
        <v>87332512.061499998</v>
      </c>
    </row>
    <row r="59" spans="1:51" ht="16.5" thickBot="1" x14ac:dyDescent="0.3">
      <c r="A59" s="27" t="s">
        <v>105</v>
      </c>
      <c r="B59" s="71">
        <v>7188.8838545454546</v>
      </c>
      <c r="C59" s="72">
        <v>991.00333333333356</v>
      </c>
      <c r="I59" s="27" t="s">
        <v>105</v>
      </c>
      <c r="J59" s="65">
        <v>6.1818181818181817</v>
      </c>
      <c r="K59" s="33">
        <v>1672585.7795999998</v>
      </c>
      <c r="L59" s="40"/>
      <c r="AL59" s="8"/>
      <c r="AM59" s="78"/>
      <c r="AN59" s="78"/>
    </row>
    <row r="60" spans="1:51" ht="16.5" thickBot="1" x14ac:dyDescent="0.3">
      <c r="A60" s="27" t="s">
        <v>138</v>
      </c>
      <c r="B60" s="71">
        <v>953.70273750000001</v>
      </c>
      <c r="C60" s="72">
        <v>7593.0025000000014</v>
      </c>
      <c r="I60" s="27" t="s">
        <v>138</v>
      </c>
      <c r="J60" s="65">
        <v>5.875</v>
      </c>
      <c r="K60" s="33">
        <v>153484.08040000001</v>
      </c>
      <c r="L60" s="40"/>
    </row>
    <row r="61" spans="1:51" ht="16.5" thickBot="1" x14ac:dyDescent="0.3">
      <c r="A61" s="27" t="s">
        <v>144</v>
      </c>
      <c r="B61" s="71">
        <v>5232.2079333333331</v>
      </c>
      <c r="C61" s="72">
        <v>3374.6533333333332</v>
      </c>
      <c r="I61" s="27" t="s">
        <v>144</v>
      </c>
      <c r="J61" s="65">
        <v>4.666666666666667</v>
      </c>
      <c r="K61" s="33">
        <v>418759.57900000003</v>
      </c>
      <c r="L61" s="40"/>
    </row>
    <row r="62" spans="1:51" ht="16.5" thickBot="1" x14ac:dyDescent="0.3">
      <c r="A62" s="27" t="s">
        <v>159</v>
      </c>
      <c r="B62" s="71">
        <v>4335.4569142857135</v>
      </c>
      <c r="C62" s="72">
        <v>769.1400000000001</v>
      </c>
      <c r="I62" s="27" t="s">
        <v>159</v>
      </c>
      <c r="J62" s="65">
        <v>5.4285714285714288</v>
      </c>
      <c r="K62" s="33">
        <v>581704.36479999998</v>
      </c>
      <c r="L62" s="40"/>
    </row>
    <row r="63" spans="1:51" ht="16.5" thickBot="1" x14ac:dyDescent="0.3">
      <c r="A63" s="27" t="s">
        <v>106</v>
      </c>
      <c r="B63" s="71">
        <v>4431.7729499999996</v>
      </c>
      <c r="C63" s="72">
        <v>6485.5883333333331</v>
      </c>
      <c r="I63" s="27" t="s">
        <v>106</v>
      </c>
      <c r="J63" s="65">
        <v>4.75</v>
      </c>
      <c r="K63" s="33">
        <v>928229.61</v>
      </c>
      <c r="L63" s="40"/>
    </row>
    <row r="64" spans="1:51" ht="16.5" thickBot="1" x14ac:dyDescent="0.3">
      <c r="A64" s="27" t="s">
        <v>118</v>
      </c>
      <c r="B64" s="71">
        <v>1342.2520799999998</v>
      </c>
      <c r="C64" s="72">
        <v>695.38400000000001</v>
      </c>
      <c r="I64" s="27" t="s">
        <v>118</v>
      </c>
      <c r="J64" s="65">
        <v>6.4</v>
      </c>
      <c r="K64" s="33">
        <v>168455.50409999999</v>
      </c>
      <c r="L64" s="40"/>
    </row>
    <row r="65" spans="1:12" ht="16.5" thickBot="1" x14ac:dyDescent="0.3">
      <c r="A65" s="27" t="s">
        <v>130</v>
      </c>
      <c r="B65" s="71">
        <v>2955.0462499999999</v>
      </c>
      <c r="C65" s="72">
        <v>224.52399999999997</v>
      </c>
      <c r="I65" s="27" t="s">
        <v>130</v>
      </c>
      <c r="J65" s="65">
        <v>6.166666666666667</v>
      </c>
      <c r="K65" s="33">
        <v>503785.52250000002</v>
      </c>
      <c r="L65" s="40"/>
    </row>
    <row r="66" spans="1:12" ht="16.5" thickBot="1" x14ac:dyDescent="0.3">
      <c r="A66" s="27" t="s">
        <v>42</v>
      </c>
      <c r="B66" s="71">
        <v>1899.8353500000001</v>
      </c>
      <c r="C66" s="72">
        <v>4153.6074999999992</v>
      </c>
      <c r="I66" s="27" t="s">
        <v>42</v>
      </c>
      <c r="J66" s="65">
        <v>7.25</v>
      </c>
      <c r="K66" s="33">
        <v>441601.62060000002</v>
      </c>
      <c r="L66" s="40"/>
    </row>
    <row r="67" spans="1:12" ht="16.5" thickBot="1" x14ac:dyDescent="0.3">
      <c r="A67" s="27" t="s">
        <v>46</v>
      </c>
      <c r="B67" s="71">
        <v>1219.9730400000003</v>
      </c>
      <c r="C67" s="72">
        <v>4145.4440000000013</v>
      </c>
      <c r="I67" s="27" t="s">
        <v>46</v>
      </c>
      <c r="J67" s="65">
        <v>6.4</v>
      </c>
      <c r="K67" s="33">
        <v>434876.0735</v>
      </c>
      <c r="L67" s="40"/>
    </row>
    <row r="68" spans="1:12" ht="16.5" thickBot="1" x14ac:dyDescent="0.3">
      <c r="A68" s="27" t="s">
        <v>57</v>
      </c>
      <c r="B68" s="71">
        <v>5033.4385499999999</v>
      </c>
      <c r="C68" s="72">
        <v>4436.1279999999997</v>
      </c>
      <c r="I68" s="27" t="s">
        <v>57</v>
      </c>
      <c r="J68" s="65">
        <v>5.5</v>
      </c>
      <c r="K68" s="33">
        <v>834485.52129999991</v>
      </c>
      <c r="L68" s="40"/>
    </row>
    <row r="69" spans="1:12" ht="16.5" thickBot="1" x14ac:dyDescent="0.3">
      <c r="A69" s="27" t="s">
        <v>62</v>
      </c>
      <c r="B69" s="71">
        <v>1257.8547142857144</v>
      </c>
      <c r="C69" s="72">
        <v>4909.6483333333335</v>
      </c>
      <c r="I69" s="27" t="s">
        <v>62</v>
      </c>
      <c r="J69" s="65">
        <v>7.2857142857142856</v>
      </c>
      <c r="K69" s="33">
        <v>257976.505</v>
      </c>
      <c r="L69" s="40"/>
    </row>
    <row r="70" spans="1:12" ht="16.5" thickBot="1" x14ac:dyDescent="0.3">
      <c r="A70" s="27" t="s">
        <v>81</v>
      </c>
      <c r="B70" s="71">
        <v>7023.6091666666662</v>
      </c>
      <c r="C70" s="72">
        <v>809.57599999999991</v>
      </c>
      <c r="I70" s="27" t="s">
        <v>81</v>
      </c>
      <c r="J70" s="65">
        <v>5.833333333333333</v>
      </c>
      <c r="K70" s="33">
        <v>1144910.45</v>
      </c>
      <c r="L70" s="40"/>
    </row>
    <row r="71" spans="1:12" ht="16.5" thickBot="1" x14ac:dyDescent="0.3">
      <c r="A71" s="28" t="s">
        <v>33</v>
      </c>
      <c r="B71" s="71">
        <v>1527.09</v>
      </c>
      <c r="C71" s="72">
        <v>3187.4450000000002</v>
      </c>
      <c r="I71" s="28" t="s">
        <v>33</v>
      </c>
      <c r="J71" s="65">
        <v>6.5714285714285712</v>
      </c>
      <c r="K71" s="33">
        <v>276688.16000000003</v>
      </c>
      <c r="L71" s="40"/>
    </row>
    <row r="72" spans="1:12" ht="16.5" thickBot="1" x14ac:dyDescent="0.3">
      <c r="A72" s="26" t="s">
        <v>52</v>
      </c>
      <c r="B72" s="71">
        <v>456.99064999999996</v>
      </c>
      <c r="C72" s="72">
        <v>603.70600000000002</v>
      </c>
      <c r="I72" s="26" t="s">
        <v>52</v>
      </c>
      <c r="J72" s="65">
        <v>7.166666666666667</v>
      </c>
      <c r="K72" s="33">
        <v>55862.799599999998</v>
      </c>
      <c r="L72" s="40"/>
    </row>
    <row r="73" spans="1:12" ht="16.5" thickBot="1" x14ac:dyDescent="0.3">
      <c r="A73" s="27" t="s">
        <v>119</v>
      </c>
      <c r="B73" s="71">
        <v>1510.4103333333333</v>
      </c>
      <c r="C73" s="72">
        <v>979.96</v>
      </c>
      <c r="I73" s="27" t="s">
        <v>119</v>
      </c>
      <c r="J73" s="65">
        <v>3.6666666666666665</v>
      </c>
      <c r="K73" s="33">
        <v>106366.336</v>
      </c>
      <c r="L73" s="40"/>
    </row>
    <row r="74" spans="1:12" ht="16.5" thickBot="1" x14ac:dyDescent="0.3">
      <c r="A74" s="27" t="s">
        <v>67</v>
      </c>
      <c r="B74" s="71">
        <v>925.71839999999997</v>
      </c>
      <c r="C74" s="72">
        <v>1508.7675000000002</v>
      </c>
      <c r="I74" s="27" t="s">
        <v>67</v>
      </c>
      <c r="J74" s="65">
        <v>4</v>
      </c>
      <c r="K74" s="33">
        <v>89968.256999999998</v>
      </c>
      <c r="L74" s="40"/>
    </row>
    <row r="75" spans="1:12" ht="16.5" thickBot="1" x14ac:dyDescent="0.3">
      <c r="A75" s="27" t="s">
        <v>69</v>
      </c>
      <c r="B75" s="71">
        <v>6471.1624999999995</v>
      </c>
      <c r="C75" s="72">
        <v>1836.9824999999998</v>
      </c>
      <c r="I75" s="27" t="s">
        <v>69</v>
      </c>
      <c r="J75" s="65">
        <v>5</v>
      </c>
      <c r="K75" s="33">
        <v>995264.79249999998</v>
      </c>
      <c r="L75" s="40"/>
    </row>
    <row r="76" spans="1:12" ht="16.5" thickBot="1" x14ac:dyDescent="0.3">
      <c r="A76" s="27" t="s">
        <v>121</v>
      </c>
      <c r="B76" s="71">
        <v>2063.9046800000001</v>
      </c>
      <c r="C76" s="72">
        <v>6555.1760000000013</v>
      </c>
      <c r="I76" s="27" t="s">
        <v>121</v>
      </c>
      <c r="J76" s="65">
        <v>6.8</v>
      </c>
      <c r="K76" s="33">
        <v>268617.63699999999</v>
      </c>
      <c r="L76" s="40"/>
    </row>
    <row r="77" spans="1:12" ht="16.5" thickBot="1" x14ac:dyDescent="0.3">
      <c r="A77" s="27" t="s">
        <v>44</v>
      </c>
      <c r="B77" s="71">
        <v>892.02240000000006</v>
      </c>
      <c r="C77" s="72">
        <v>2168.4866666666671</v>
      </c>
      <c r="I77" s="27" t="s">
        <v>44</v>
      </c>
      <c r="J77" s="65">
        <v>6</v>
      </c>
      <c r="K77" s="33">
        <v>101481.78240000001</v>
      </c>
      <c r="L77" s="40"/>
    </row>
    <row r="78" spans="1:12" ht="16.5" thickBot="1" x14ac:dyDescent="0.3">
      <c r="A78" s="27" t="s">
        <v>24</v>
      </c>
      <c r="B78" s="71">
        <v>1703.6128799999999</v>
      </c>
      <c r="C78" s="72">
        <v>1712.5580000000002</v>
      </c>
      <c r="I78" s="27" t="s">
        <v>24</v>
      </c>
      <c r="J78" s="65">
        <v>5.2</v>
      </c>
      <c r="K78" s="33">
        <v>232180.152</v>
      </c>
      <c r="L78" s="40"/>
    </row>
    <row r="79" spans="1:12" ht="16.5" thickBot="1" x14ac:dyDescent="0.3">
      <c r="A79" s="27" t="s">
        <v>61</v>
      </c>
      <c r="B79" s="71">
        <v>3164.3595999999998</v>
      </c>
      <c r="C79" s="72">
        <v>1635.5424999999998</v>
      </c>
      <c r="I79" s="27" t="s">
        <v>61</v>
      </c>
      <c r="J79" s="65">
        <v>6</v>
      </c>
      <c r="K79" s="33">
        <v>576048.10080000001</v>
      </c>
      <c r="L79" s="40"/>
    </row>
    <row r="80" spans="1:12" ht="16.5" thickBot="1" x14ac:dyDescent="0.3">
      <c r="A80" s="27" t="s">
        <v>95</v>
      </c>
      <c r="B80" s="71">
        <v>3663.7728000000002</v>
      </c>
      <c r="C80" s="72">
        <v>2990.2349999999992</v>
      </c>
      <c r="I80" s="27" t="s">
        <v>95</v>
      </c>
      <c r="J80" s="65">
        <v>4</v>
      </c>
      <c r="K80" s="33">
        <v>307756.91519999999</v>
      </c>
      <c r="L80" s="40"/>
    </row>
    <row r="81" spans="1:12" ht="16.5" thickBot="1" x14ac:dyDescent="0.3">
      <c r="A81" s="27" t="s">
        <v>125</v>
      </c>
      <c r="B81" s="71">
        <v>4553.2079999999996</v>
      </c>
      <c r="C81" s="72">
        <v>4302.05</v>
      </c>
      <c r="I81" s="27" t="s">
        <v>125</v>
      </c>
      <c r="J81" s="65">
        <v>5.7142857142857144</v>
      </c>
      <c r="K81" s="33">
        <v>864854.26439999999</v>
      </c>
      <c r="L81" s="40"/>
    </row>
    <row r="82" spans="1:12" ht="16.5" thickBot="1" x14ac:dyDescent="0.3">
      <c r="A82" s="27" t="s">
        <v>31</v>
      </c>
      <c r="B82" s="71">
        <v>2849.3091999999997</v>
      </c>
      <c r="C82" s="72">
        <v>4553.9966666666669</v>
      </c>
      <c r="I82" s="27" t="s">
        <v>31</v>
      </c>
      <c r="J82" s="65">
        <v>6</v>
      </c>
      <c r="K82" s="33">
        <v>343978.30639999994</v>
      </c>
      <c r="L82" s="40"/>
    </row>
    <row r="83" spans="1:12" ht="16.5" thickBot="1" x14ac:dyDescent="0.3">
      <c r="A83" s="27" t="s">
        <v>73</v>
      </c>
      <c r="B83" s="71">
        <v>2300.5900799999995</v>
      </c>
      <c r="C83" s="72">
        <v>411.75600000000003</v>
      </c>
      <c r="I83" s="27" t="s">
        <v>73</v>
      </c>
      <c r="J83" s="65">
        <v>5.8</v>
      </c>
      <c r="K83" s="33">
        <v>259097.24160000001</v>
      </c>
      <c r="L83" s="40"/>
    </row>
    <row r="84" spans="1:12" ht="16.5" thickBot="1" x14ac:dyDescent="0.3">
      <c r="A84" s="27" t="s">
        <v>82</v>
      </c>
      <c r="B84" s="71">
        <v>3793.0021875000002</v>
      </c>
      <c r="C84" s="72">
        <v>2158.7083333333335</v>
      </c>
      <c r="I84" s="27" t="s">
        <v>82</v>
      </c>
      <c r="J84" s="65">
        <v>5.875</v>
      </c>
      <c r="K84" s="33">
        <v>433238.42249999999</v>
      </c>
      <c r="L84" s="40"/>
    </row>
    <row r="85" spans="1:12" ht="16.5" thickBot="1" x14ac:dyDescent="0.3">
      <c r="A85" s="27" t="s">
        <v>139</v>
      </c>
      <c r="B85" s="71">
        <v>5172.1075199999996</v>
      </c>
      <c r="C85" s="72">
        <v>5984.333333333333</v>
      </c>
      <c r="I85" s="27" t="s">
        <v>139</v>
      </c>
      <c r="J85" s="65">
        <v>5.8</v>
      </c>
      <c r="K85" s="33">
        <v>843459.82719999994</v>
      </c>
      <c r="L85" s="40"/>
    </row>
    <row r="86" spans="1:12" ht="16.5" thickBot="1" x14ac:dyDescent="0.3">
      <c r="A86" s="27" t="s">
        <v>142</v>
      </c>
      <c r="B86" s="71">
        <v>2978.4331499999994</v>
      </c>
      <c r="C86" s="72">
        <v>3865.1374999999998</v>
      </c>
      <c r="I86" s="27" t="s">
        <v>142</v>
      </c>
      <c r="J86" s="65">
        <v>6.5</v>
      </c>
      <c r="K86" s="33">
        <v>600974.54339999985</v>
      </c>
      <c r="L86" s="40"/>
    </row>
    <row r="87" spans="1:12" ht="16.5" thickBot="1" x14ac:dyDescent="0.3">
      <c r="A87" s="27" t="s">
        <v>160</v>
      </c>
      <c r="B87" s="71">
        <v>3948.4395999999997</v>
      </c>
      <c r="C87" s="72">
        <v>4467.1499999999996</v>
      </c>
      <c r="I87" s="27" t="s">
        <v>160</v>
      </c>
      <c r="J87" s="65">
        <v>2</v>
      </c>
      <c r="K87" s="33">
        <v>3948.4395999999997</v>
      </c>
      <c r="L87" s="40"/>
    </row>
    <row r="88" spans="1:12" ht="16.5" thickBot="1" x14ac:dyDescent="0.3">
      <c r="A88" s="27" t="s">
        <v>11</v>
      </c>
      <c r="B88" s="71">
        <v>6518.5495999999994</v>
      </c>
      <c r="C88" s="72">
        <v>3570.2466666666674</v>
      </c>
      <c r="I88" s="27" t="s">
        <v>11</v>
      </c>
      <c r="J88" s="65">
        <v>8</v>
      </c>
      <c r="K88" s="33">
        <v>1004636.0301999999</v>
      </c>
      <c r="L88" s="40"/>
    </row>
    <row r="89" spans="1:12" ht="16.5" thickBot="1" x14ac:dyDescent="0.3">
      <c r="A89" s="27" t="s">
        <v>108</v>
      </c>
      <c r="B89" s="71">
        <v>5043.4254666666666</v>
      </c>
      <c r="C89" s="72">
        <v>3578.9180000000001</v>
      </c>
      <c r="I89" s="27" t="s">
        <v>108</v>
      </c>
      <c r="J89" s="65">
        <v>6.333333333333333</v>
      </c>
      <c r="K89" s="33">
        <v>1223237.0791999998</v>
      </c>
      <c r="L89" s="40"/>
    </row>
    <row r="90" spans="1:12" ht="16.5" thickBot="1" x14ac:dyDescent="0.3">
      <c r="A90" s="27" t="s">
        <v>148</v>
      </c>
      <c r="B90" s="71">
        <v>4908.8642399999999</v>
      </c>
      <c r="C90" s="72">
        <v>5805.195999999999</v>
      </c>
      <c r="I90" s="27" t="s">
        <v>148</v>
      </c>
      <c r="J90" s="65">
        <v>4.8</v>
      </c>
      <c r="K90" s="33">
        <v>773558.62739999988</v>
      </c>
      <c r="L90" s="40"/>
    </row>
    <row r="91" spans="1:12" ht="16.5" thickBot="1" x14ac:dyDescent="0.3">
      <c r="A91" s="27" t="s">
        <v>16</v>
      </c>
      <c r="B91" s="71">
        <v>7862.9119999999984</v>
      </c>
      <c r="C91" s="72">
        <v>1679.8333333333335</v>
      </c>
      <c r="I91" s="27" t="s">
        <v>16</v>
      </c>
      <c r="J91" s="65">
        <v>6</v>
      </c>
      <c r="K91" s="33">
        <v>1521222.5279999999</v>
      </c>
      <c r="L91" s="40"/>
    </row>
    <row r="92" spans="1:12" ht="16.5" thickBot="1" x14ac:dyDescent="0.3">
      <c r="A92" s="27" t="s">
        <v>97</v>
      </c>
      <c r="B92" s="71">
        <v>3555.9959250000002</v>
      </c>
      <c r="C92" s="72">
        <v>3340.25</v>
      </c>
      <c r="I92" s="27" t="s">
        <v>97</v>
      </c>
      <c r="J92" s="65">
        <v>5.25</v>
      </c>
      <c r="K92" s="33">
        <v>504594.88350000005</v>
      </c>
      <c r="L92" s="40"/>
    </row>
    <row r="93" spans="1:12" ht="16.5" thickBot="1" x14ac:dyDescent="0.3">
      <c r="A93" s="27" t="s">
        <v>146</v>
      </c>
      <c r="B93" s="71">
        <v>629.18855999999994</v>
      </c>
      <c r="C93" s="72">
        <v>4666.126666666667</v>
      </c>
      <c r="I93" s="27" t="s">
        <v>146</v>
      </c>
      <c r="J93" s="65">
        <v>6.4</v>
      </c>
      <c r="K93" s="33">
        <v>60075.407700000011</v>
      </c>
      <c r="L93" s="40"/>
    </row>
    <row r="94" spans="1:12" ht="16.5" thickBot="1" x14ac:dyDescent="0.3">
      <c r="A94" s="27" t="s">
        <v>21</v>
      </c>
      <c r="B94" s="71">
        <v>2608.472925</v>
      </c>
      <c r="C94" s="72">
        <v>6310.5433333333322</v>
      </c>
      <c r="I94" s="27" t="s">
        <v>21</v>
      </c>
      <c r="J94" s="65">
        <v>6.75</v>
      </c>
      <c r="K94" s="33">
        <v>288456.54480000003</v>
      </c>
      <c r="L94" s="40"/>
    </row>
    <row r="95" spans="1:12" ht="16.5" thickBot="1" x14ac:dyDescent="0.3">
      <c r="A95" s="27" t="s">
        <v>113</v>
      </c>
      <c r="B95" s="71">
        <v>4397.7368499999993</v>
      </c>
      <c r="C95" s="72">
        <v>6068.0179999999991</v>
      </c>
      <c r="I95" s="27" t="s">
        <v>113</v>
      </c>
      <c r="J95" s="65">
        <v>6.833333333333333</v>
      </c>
      <c r="K95" s="33">
        <v>1061782.0326</v>
      </c>
      <c r="L95" s="40"/>
    </row>
    <row r="96" spans="1:12" ht="16.5" thickBot="1" x14ac:dyDescent="0.3">
      <c r="A96" s="27" t="s">
        <v>151</v>
      </c>
      <c r="B96" s="71">
        <v>2445.580892307692</v>
      </c>
      <c r="C96" s="72">
        <v>2839.1733333333327</v>
      </c>
      <c r="I96" s="27" t="s">
        <v>151</v>
      </c>
      <c r="J96" s="65">
        <v>5.615384615384615</v>
      </c>
      <c r="K96" s="33">
        <v>853320.37640000007</v>
      </c>
      <c r="L96" s="40"/>
    </row>
    <row r="97" spans="1:12" ht="16.5" thickBot="1" x14ac:dyDescent="0.3">
      <c r="A97" s="27" t="s">
        <v>154</v>
      </c>
      <c r="B97" s="71">
        <v>2723.8705333333332</v>
      </c>
      <c r="C97" s="72">
        <v>2210.1966666666667</v>
      </c>
      <c r="I97" s="27" t="s">
        <v>154</v>
      </c>
      <c r="J97" s="65">
        <v>8.6666666666666661</v>
      </c>
      <c r="K97" s="33">
        <v>137127.99320000003</v>
      </c>
      <c r="L97" s="40"/>
    </row>
    <row r="98" spans="1:12" ht="16.5" thickBot="1" x14ac:dyDescent="0.3">
      <c r="A98" s="27" t="s">
        <v>50</v>
      </c>
      <c r="B98" s="71">
        <v>6023.8808666666664</v>
      </c>
      <c r="C98" s="72">
        <v>517.86</v>
      </c>
      <c r="I98" s="27" t="s">
        <v>50</v>
      </c>
      <c r="J98" s="65">
        <v>8.6666666666666661</v>
      </c>
      <c r="K98" s="33">
        <v>558506.0932</v>
      </c>
      <c r="L98" s="40"/>
    </row>
    <row r="99" spans="1:12" ht="16.5" thickBot="1" x14ac:dyDescent="0.3">
      <c r="A99" s="27" t="s">
        <v>55</v>
      </c>
      <c r="B99" s="71">
        <v>2991.1689499999998</v>
      </c>
      <c r="C99" s="72">
        <v>445.53000000000003</v>
      </c>
      <c r="I99" s="27" t="s">
        <v>55</v>
      </c>
      <c r="J99" s="65">
        <v>7.25</v>
      </c>
      <c r="K99" s="33">
        <v>372162.69200000004</v>
      </c>
      <c r="L99" s="40"/>
    </row>
    <row r="100" spans="1:12" ht="16.5" thickBot="1" x14ac:dyDescent="0.3">
      <c r="A100" s="27" t="s">
        <v>88</v>
      </c>
      <c r="B100" s="71">
        <v>2893.1316875000002</v>
      </c>
      <c r="C100" s="72">
        <v>831.92600000000016</v>
      </c>
      <c r="I100" s="27" t="s">
        <v>88</v>
      </c>
      <c r="J100" s="65">
        <v>5.625</v>
      </c>
      <c r="K100" s="33">
        <v>634848.89130000002</v>
      </c>
      <c r="L100" s="40"/>
    </row>
    <row r="101" spans="1:12" ht="16.5" thickBot="1" x14ac:dyDescent="0.3">
      <c r="A101" s="27" t="s">
        <v>99</v>
      </c>
      <c r="B101" s="71">
        <v>3862.1198666666655</v>
      </c>
      <c r="C101" s="72">
        <v>493.79249999999985</v>
      </c>
      <c r="I101" s="27" t="s">
        <v>99</v>
      </c>
      <c r="J101" s="65">
        <v>5.666666666666667</v>
      </c>
      <c r="K101" s="33">
        <v>1471877.0811999999</v>
      </c>
      <c r="L101" s="40"/>
    </row>
    <row r="102" spans="1:12" ht="16.5" thickBot="1" x14ac:dyDescent="0.3">
      <c r="A102" s="27" t="s">
        <v>120</v>
      </c>
      <c r="B102" s="71">
        <v>791.78867999999989</v>
      </c>
      <c r="C102" s="72">
        <v>5163.7120000000004</v>
      </c>
      <c r="I102" s="27" t="s">
        <v>120</v>
      </c>
      <c r="J102" s="65">
        <v>5.8</v>
      </c>
      <c r="K102" s="33">
        <v>118902.78839999999</v>
      </c>
      <c r="L102" s="40"/>
    </row>
    <row r="103" spans="1:12" ht="16.5" thickBot="1" x14ac:dyDescent="0.3">
      <c r="A103" s="27" t="s">
        <v>124</v>
      </c>
      <c r="B103" s="71">
        <v>2561.2307000000001</v>
      </c>
      <c r="C103" s="72">
        <v>7409.5025000000014</v>
      </c>
      <c r="I103" s="27" t="s">
        <v>124</v>
      </c>
      <c r="J103" s="65">
        <v>6.333333333333333</v>
      </c>
      <c r="K103" s="33">
        <v>261491.62829999998</v>
      </c>
      <c r="L103" s="40"/>
    </row>
    <row r="104" spans="1:12" ht="16.5" thickBot="1" x14ac:dyDescent="0.3">
      <c r="A104" s="27" t="s">
        <v>143</v>
      </c>
      <c r="B104" s="71">
        <v>5829.8717428571426</v>
      </c>
      <c r="C104" s="72">
        <v>1795.3133333333335</v>
      </c>
      <c r="I104" s="27" t="s">
        <v>143</v>
      </c>
      <c r="J104" s="65">
        <v>5.8571428571428568</v>
      </c>
      <c r="K104" s="33">
        <v>904612.08640000003</v>
      </c>
      <c r="L104" s="40"/>
    </row>
    <row r="105" spans="1:12" ht="16.5" thickBot="1" x14ac:dyDescent="0.3">
      <c r="A105" s="27" t="s">
        <v>80</v>
      </c>
      <c r="B105" s="71">
        <v>5658.2175124999994</v>
      </c>
      <c r="C105" s="72">
        <v>796.21333333333325</v>
      </c>
      <c r="I105" s="27" t="s">
        <v>80</v>
      </c>
      <c r="J105" s="65">
        <v>6.375</v>
      </c>
      <c r="K105" s="33">
        <v>1198665.8065999998</v>
      </c>
      <c r="L105" s="40"/>
    </row>
    <row r="106" spans="1:12" ht="16.5" thickBot="1" x14ac:dyDescent="0.3">
      <c r="A106" s="27" t="s">
        <v>15</v>
      </c>
      <c r="B106" s="71">
        <v>3851.8868250000005</v>
      </c>
      <c r="C106" s="72">
        <v>6862.0274999999983</v>
      </c>
      <c r="I106" s="27" t="s">
        <v>15</v>
      </c>
      <c r="J106" s="65">
        <v>6.625</v>
      </c>
      <c r="K106" s="33">
        <v>951596.52240000013</v>
      </c>
      <c r="L106" s="40"/>
    </row>
    <row r="107" spans="1:12" ht="16.5" thickBot="1" x14ac:dyDescent="0.3">
      <c r="A107" s="27" t="s">
        <v>149</v>
      </c>
      <c r="B107" s="71">
        <v>329.97640000000001</v>
      </c>
      <c r="C107" s="72">
        <v>4109.2999999999993</v>
      </c>
      <c r="I107" s="27" t="s">
        <v>149</v>
      </c>
      <c r="J107" s="65">
        <v>8</v>
      </c>
      <c r="K107" s="33">
        <v>38973.082200000004</v>
      </c>
      <c r="L107" s="40"/>
    </row>
    <row r="108" spans="1:12" ht="16.5" thickBot="1" x14ac:dyDescent="0.3">
      <c r="A108" s="27" t="s">
        <v>13</v>
      </c>
      <c r="B108" s="71">
        <v>776.28375000000005</v>
      </c>
      <c r="C108" s="72">
        <v>7010.5333333333328</v>
      </c>
      <c r="I108" s="27" t="s">
        <v>13</v>
      </c>
      <c r="J108" s="65">
        <v>6.5</v>
      </c>
      <c r="K108" s="33">
        <v>86918.872499999998</v>
      </c>
      <c r="L108" s="40"/>
    </row>
    <row r="109" spans="1:12" ht="16.5" thickBot="1" x14ac:dyDescent="0.3">
      <c r="A109" s="27" t="s">
        <v>96</v>
      </c>
      <c r="B109" s="71">
        <v>7313.9507999999996</v>
      </c>
      <c r="C109" s="72">
        <v>2588.9249999999997</v>
      </c>
      <c r="I109" s="27" t="s">
        <v>96</v>
      </c>
      <c r="J109" s="65">
        <v>5.75</v>
      </c>
      <c r="K109" s="33">
        <v>1156031.0351999998</v>
      </c>
      <c r="L109" s="40"/>
    </row>
    <row r="110" spans="1:12" ht="16.5" thickBot="1" x14ac:dyDescent="0.3">
      <c r="A110" s="27" t="s">
        <v>53</v>
      </c>
      <c r="B110" s="71">
        <v>2905.3859999999995</v>
      </c>
      <c r="C110" s="72">
        <v>1589.1249999999998</v>
      </c>
      <c r="I110" s="27" t="s">
        <v>53</v>
      </c>
      <c r="J110" s="65">
        <v>5.7142857142857144</v>
      </c>
      <c r="K110" s="33">
        <v>456026.74529999995</v>
      </c>
      <c r="L110" s="40"/>
    </row>
    <row r="111" spans="1:12" ht="16.5" thickBot="1" x14ac:dyDescent="0.3">
      <c r="A111" s="27" t="s">
        <v>74</v>
      </c>
      <c r="B111" s="71">
        <v>3207.2393500000003</v>
      </c>
      <c r="C111" s="72">
        <v>5560.3266666666668</v>
      </c>
      <c r="I111" s="27" t="s">
        <v>74</v>
      </c>
      <c r="J111" s="65">
        <v>7.25</v>
      </c>
      <c r="K111" s="33">
        <v>474360.20920000004</v>
      </c>
      <c r="L111" s="40"/>
    </row>
    <row r="112" spans="1:12" ht="16.5" thickBot="1" x14ac:dyDescent="0.3">
      <c r="A112" s="27" t="s">
        <v>78</v>
      </c>
      <c r="B112" s="71">
        <v>5517.1166142857137</v>
      </c>
      <c r="C112" s="72">
        <v>6051.7379999999985</v>
      </c>
      <c r="I112" s="27" t="s">
        <v>78</v>
      </c>
      <c r="J112" s="65">
        <v>5.2857142857142856</v>
      </c>
      <c r="K112" s="33">
        <v>505494.36780000001</v>
      </c>
      <c r="L112" s="40"/>
    </row>
    <row r="113" spans="1:12" ht="16.5" thickBot="1" x14ac:dyDescent="0.3">
      <c r="A113" s="27" t="s">
        <v>123</v>
      </c>
      <c r="B113" s="71">
        <v>705.19569999999999</v>
      </c>
      <c r="C113" s="72">
        <v>3824.0450000000001</v>
      </c>
      <c r="I113" s="27" t="s">
        <v>123</v>
      </c>
      <c r="J113" s="65">
        <v>6.5</v>
      </c>
      <c r="K113" s="33">
        <v>102121.38800000001</v>
      </c>
      <c r="L113" s="40"/>
    </row>
    <row r="114" spans="1:12" ht="16.5" thickBot="1" x14ac:dyDescent="0.3">
      <c r="A114" s="27" t="s">
        <v>51</v>
      </c>
      <c r="B114" s="71">
        <v>3025.8171333333335</v>
      </c>
      <c r="C114" s="72">
        <v>9555.6079999999984</v>
      </c>
      <c r="I114" s="27" t="s">
        <v>51</v>
      </c>
      <c r="J114" s="65">
        <v>5.666666666666667</v>
      </c>
      <c r="K114" s="33">
        <v>448868.74519999995</v>
      </c>
      <c r="L114" s="40"/>
    </row>
    <row r="115" spans="1:12" ht="16.5" thickBot="1" x14ac:dyDescent="0.3">
      <c r="A115" s="27" t="s">
        <v>79</v>
      </c>
      <c r="B115" s="71">
        <v>1083.9688199999998</v>
      </c>
      <c r="C115" s="72">
        <v>7069.7</v>
      </c>
      <c r="I115" s="27" t="s">
        <v>79</v>
      </c>
      <c r="J115" s="65">
        <v>5.8</v>
      </c>
      <c r="K115" s="33">
        <v>147474.99359999999</v>
      </c>
      <c r="L115" s="40"/>
    </row>
    <row r="116" spans="1:12" ht="16.5" thickBot="1" x14ac:dyDescent="0.3">
      <c r="A116" s="27" t="s">
        <v>145</v>
      </c>
      <c r="B116" s="71">
        <v>6127.8794444444438</v>
      </c>
      <c r="C116" s="72">
        <v>4666.1933333333336</v>
      </c>
      <c r="I116" s="27" t="s">
        <v>145</v>
      </c>
      <c r="J116" s="65">
        <v>7.2222222222222223</v>
      </c>
      <c r="K116" s="33">
        <v>987432.54999999993</v>
      </c>
      <c r="L116" s="40"/>
    </row>
    <row r="117" spans="1:12" ht="16.5" thickBot="1" x14ac:dyDescent="0.3">
      <c r="A117" s="27" t="s">
        <v>153</v>
      </c>
      <c r="B117" s="71">
        <v>7519.1216399999976</v>
      </c>
      <c r="C117" s="72">
        <v>7586.8133333333344</v>
      </c>
      <c r="I117" s="27" t="s">
        <v>153</v>
      </c>
      <c r="J117" s="65">
        <v>4.4000000000000004</v>
      </c>
      <c r="K117" s="33">
        <v>2194859.9213999999</v>
      </c>
      <c r="L117" s="40"/>
    </row>
    <row r="118" spans="1:12" ht="16.5" thickBot="1" x14ac:dyDescent="0.3">
      <c r="A118" s="27" t="s">
        <v>162</v>
      </c>
      <c r="B118" s="71">
        <v>2167.6015999999995</v>
      </c>
      <c r="C118" s="72">
        <v>1810.3166666666662</v>
      </c>
      <c r="I118" s="27" t="s">
        <v>162</v>
      </c>
      <c r="J118" s="65">
        <v>5.333333333333333</v>
      </c>
      <c r="K118" s="33">
        <v>334001.45639999997</v>
      </c>
      <c r="L118" s="40"/>
    </row>
    <row r="119" spans="1:12" ht="16.5" thickBot="1" x14ac:dyDescent="0.3">
      <c r="A119" s="27" t="s">
        <v>18</v>
      </c>
      <c r="B119" s="71">
        <v>5286.4904666666662</v>
      </c>
      <c r="C119" s="72">
        <v>2853.6650000000004</v>
      </c>
      <c r="I119" s="27" t="s">
        <v>18</v>
      </c>
      <c r="J119" s="65">
        <v>6.333333333333333</v>
      </c>
      <c r="K119" s="33">
        <v>1423853.1831999996</v>
      </c>
      <c r="L119" s="40"/>
    </row>
    <row r="120" spans="1:12" ht="16.5" thickBot="1" x14ac:dyDescent="0.3">
      <c r="A120" s="27" t="s">
        <v>104</v>
      </c>
      <c r="B120" s="71">
        <v>3327.5585999999998</v>
      </c>
      <c r="C120" s="72">
        <v>5387.8300000000008</v>
      </c>
      <c r="I120" s="27" t="s">
        <v>104</v>
      </c>
      <c r="J120" s="65">
        <v>7</v>
      </c>
      <c r="K120" s="33">
        <v>551229.76119999995</v>
      </c>
      <c r="L120" s="40"/>
    </row>
    <row r="121" spans="1:12" ht="16.5" thickBot="1" x14ac:dyDescent="0.3">
      <c r="A121" s="28" t="s">
        <v>110</v>
      </c>
      <c r="B121" s="71">
        <v>7300.180800000001</v>
      </c>
      <c r="C121" s="72">
        <v>6533.69</v>
      </c>
      <c r="I121" s="28" t="s">
        <v>110</v>
      </c>
      <c r="J121" s="65">
        <v>6.5</v>
      </c>
      <c r="K121" s="33">
        <v>1103459.4144000001</v>
      </c>
      <c r="L121" s="40"/>
    </row>
    <row r="122" spans="1:12" ht="16.5" thickBot="1" x14ac:dyDescent="0.3">
      <c r="A122" s="26" t="s">
        <v>129</v>
      </c>
      <c r="B122" s="71">
        <v>2027.2025399999998</v>
      </c>
      <c r="C122" s="72">
        <v>892.97666666666669</v>
      </c>
      <c r="I122" s="26" t="s">
        <v>129</v>
      </c>
      <c r="J122" s="65">
        <v>4.7</v>
      </c>
      <c r="K122" s="33">
        <v>593313.04559999995</v>
      </c>
      <c r="L122" s="40"/>
    </row>
    <row r="123" spans="1:12" ht="16.5" thickBot="1" x14ac:dyDescent="0.3">
      <c r="A123" s="27" t="s">
        <v>48</v>
      </c>
      <c r="B123" s="71">
        <v>139.29300000000001</v>
      </c>
      <c r="C123" s="72">
        <v>2726.4116666666664</v>
      </c>
      <c r="I123" s="27" t="s">
        <v>48</v>
      </c>
      <c r="J123" s="65">
        <v>5.5</v>
      </c>
      <c r="K123" s="33">
        <v>45699.896000000001</v>
      </c>
      <c r="L123" s="40"/>
    </row>
    <row r="124" spans="1:12" ht="16.5" thickBot="1" x14ac:dyDescent="0.3">
      <c r="A124" s="27" t="s">
        <v>115</v>
      </c>
      <c r="B124" s="71">
        <v>5939.4102999999996</v>
      </c>
      <c r="C124" s="72">
        <v>6457.8324999999995</v>
      </c>
      <c r="I124" s="27" t="s">
        <v>115</v>
      </c>
      <c r="J124" s="65">
        <v>7.4</v>
      </c>
      <c r="K124" s="33">
        <v>654104.81900000002</v>
      </c>
      <c r="L124" s="40"/>
    </row>
    <row r="125" spans="1:12" ht="16.5" thickBot="1" x14ac:dyDescent="0.3">
      <c r="A125" s="27" t="s">
        <v>22</v>
      </c>
      <c r="B125" s="71">
        <v>3032.189499999999</v>
      </c>
      <c r="C125" s="72">
        <v>7089.3300000000008</v>
      </c>
      <c r="I125" s="27" t="s">
        <v>22</v>
      </c>
      <c r="J125" s="65">
        <v>5.25</v>
      </c>
      <c r="K125" s="33">
        <v>659305.20400000003</v>
      </c>
      <c r="L125" s="40"/>
    </row>
    <row r="126" spans="1:12" ht="16.5" thickBot="1" x14ac:dyDescent="0.3">
      <c r="A126" s="27" t="s">
        <v>152</v>
      </c>
      <c r="B126" s="71">
        <v>828.9624</v>
      </c>
      <c r="C126" s="72">
        <v>4472.5149999999994</v>
      </c>
      <c r="I126" s="27" t="s">
        <v>152</v>
      </c>
      <c r="J126" s="65">
        <v>7.25</v>
      </c>
      <c r="K126" s="33">
        <v>115509.54240000001</v>
      </c>
      <c r="L126" s="40"/>
    </row>
    <row r="127" spans="1:12" ht="16.5" thickBot="1" x14ac:dyDescent="0.3">
      <c r="A127" s="27" t="s">
        <v>155</v>
      </c>
      <c r="B127" s="71">
        <v>277.76825000000002</v>
      </c>
      <c r="C127" s="72">
        <v>2883.9133333333339</v>
      </c>
      <c r="I127" s="27" t="s">
        <v>155</v>
      </c>
      <c r="J127" s="65">
        <v>7.5</v>
      </c>
      <c r="K127" s="33">
        <v>7642.3805000000011</v>
      </c>
      <c r="L127" s="40"/>
    </row>
    <row r="128" spans="1:12" ht="16.5" thickBot="1" x14ac:dyDescent="0.3">
      <c r="A128" s="27" t="s">
        <v>101</v>
      </c>
      <c r="B128" s="71">
        <v>921.65017999999998</v>
      </c>
      <c r="C128" s="72">
        <v>913.0200000000001</v>
      </c>
      <c r="I128" s="27" t="s">
        <v>101</v>
      </c>
      <c r="J128" s="65">
        <v>8.6</v>
      </c>
      <c r="K128" s="33">
        <v>167570.92660000001</v>
      </c>
      <c r="L128" s="40"/>
    </row>
    <row r="129" spans="1:12" ht="16.5" thickBot="1" x14ac:dyDescent="0.3">
      <c r="A129" s="27" t="s">
        <v>36</v>
      </c>
      <c r="B129" s="71">
        <v>3736.7462</v>
      </c>
      <c r="C129" s="72">
        <v>3028.7733333333331</v>
      </c>
      <c r="I129" s="27" t="s">
        <v>36</v>
      </c>
      <c r="J129" s="65">
        <v>6.5</v>
      </c>
      <c r="K129" s="33">
        <v>541768.25119999994</v>
      </c>
      <c r="L129" s="40"/>
    </row>
    <row r="130" spans="1:12" ht="16.5" thickBot="1" x14ac:dyDescent="0.3">
      <c r="A130" s="27" t="s">
        <v>38</v>
      </c>
      <c r="B130" s="71">
        <v>5202.0718857142856</v>
      </c>
      <c r="C130" s="72">
        <v>3474.7766666666657</v>
      </c>
      <c r="I130" s="27" t="s">
        <v>38</v>
      </c>
      <c r="J130" s="65">
        <v>7.7142857142857144</v>
      </c>
      <c r="K130" s="33">
        <v>1168815.362</v>
      </c>
      <c r="L130" s="40"/>
    </row>
    <row r="131" spans="1:12" ht="16.5" thickBot="1" x14ac:dyDescent="0.3">
      <c r="A131" s="27" t="s">
        <v>23</v>
      </c>
      <c r="B131" s="71">
        <v>1521.0270833333332</v>
      </c>
      <c r="C131" s="72">
        <v>4365.21</v>
      </c>
      <c r="I131" s="27" t="s">
        <v>23</v>
      </c>
      <c r="J131" s="65">
        <v>5.833333333333333</v>
      </c>
      <c r="K131" s="33">
        <v>252027.45750000002</v>
      </c>
      <c r="L131" s="40"/>
    </row>
    <row r="132" spans="1:12" ht="16.5" thickBot="1" x14ac:dyDescent="0.3">
      <c r="A132" s="27" t="s">
        <v>150</v>
      </c>
      <c r="B132" s="71">
        <v>2888.3349428571423</v>
      </c>
      <c r="C132" s="72">
        <v>4980.4933333333329</v>
      </c>
      <c r="I132" s="27" t="s">
        <v>150</v>
      </c>
      <c r="J132" s="65">
        <v>6.5714285714285712</v>
      </c>
      <c r="K132" s="33">
        <v>561445.49890000001</v>
      </c>
      <c r="L132" s="40"/>
    </row>
    <row r="133" spans="1:12" ht="16.5" thickBot="1" x14ac:dyDescent="0.3">
      <c r="A133" s="27" t="s">
        <v>133</v>
      </c>
      <c r="B133" s="71">
        <v>1447.6088666666667</v>
      </c>
      <c r="C133" s="72">
        <v>2967.0200000000004</v>
      </c>
      <c r="I133" s="27" t="s">
        <v>133</v>
      </c>
      <c r="J133" s="65">
        <v>4.333333333333333</v>
      </c>
      <c r="K133" s="33">
        <v>110704.2488</v>
      </c>
      <c r="L133" s="40"/>
    </row>
    <row r="134" spans="1:12" ht="16.5" thickBot="1" x14ac:dyDescent="0.3">
      <c r="A134" s="27" t="s">
        <v>157</v>
      </c>
      <c r="B134" s="71">
        <v>5881.8305</v>
      </c>
      <c r="C134" s="72">
        <v>699.73666666666668</v>
      </c>
      <c r="I134" s="27" t="s">
        <v>157</v>
      </c>
      <c r="J134" s="65">
        <v>9</v>
      </c>
      <c r="K134" s="33">
        <v>129141.72900000001</v>
      </c>
      <c r="L134" s="40"/>
    </row>
    <row r="135" spans="1:12" ht="16.5" thickBot="1" x14ac:dyDescent="0.3">
      <c r="A135" s="27" t="s">
        <v>83</v>
      </c>
      <c r="B135" s="71">
        <v>4593.1164571428581</v>
      </c>
      <c r="C135" s="72">
        <v>2482.063333333334</v>
      </c>
      <c r="I135" s="27" t="s">
        <v>83</v>
      </c>
      <c r="J135" s="65">
        <v>6.8571428571428568</v>
      </c>
      <c r="K135" s="33">
        <v>1228278.2408</v>
      </c>
      <c r="L135" s="40"/>
    </row>
    <row r="136" spans="1:12" ht="16.5" thickBot="1" x14ac:dyDescent="0.3">
      <c r="A136" s="27" t="s">
        <v>134</v>
      </c>
      <c r="B136" s="71">
        <v>4735.9207999999999</v>
      </c>
      <c r="C136" s="72">
        <v>4724.1475</v>
      </c>
      <c r="I136" s="27" t="s">
        <v>134</v>
      </c>
      <c r="J136" s="65">
        <v>8</v>
      </c>
      <c r="K136" s="33">
        <v>286111.38919999998</v>
      </c>
      <c r="L136" s="40"/>
    </row>
    <row r="137" spans="1:12" ht="16.5" thickBot="1" x14ac:dyDescent="0.3">
      <c r="A137" s="27" t="s">
        <v>141</v>
      </c>
      <c r="B137" s="71">
        <v>1210.8095999999998</v>
      </c>
      <c r="C137" s="72">
        <v>4881.2166666666662</v>
      </c>
      <c r="I137" s="27" t="s">
        <v>141</v>
      </c>
      <c r="J137" s="65">
        <v>4</v>
      </c>
      <c r="K137" s="33">
        <v>168416.04779999997</v>
      </c>
      <c r="L137" s="40"/>
    </row>
    <row r="138" spans="1:12" ht="16.5" thickBot="1" x14ac:dyDescent="0.3">
      <c r="A138" s="27" t="s">
        <v>161</v>
      </c>
      <c r="B138" s="71">
        <v>5714.154849999999</v>
      </c>
      <c r="C138" s="72">
        <v>3159.4639999999999</v>
      </c>
      <c r="I138" s="27" t="s">
        <v>161</v>
      </c>
      <c r="J138" s="65">
        <v>6.75</v>
      </c>
      <c r="K138" s="33">
        <v>1672271.162</v>
      </c>
      <c r="L138" s="40"/>
    </row>
    <row r="139" spans="1:12" ht="16.5" thickBot="1" x14ac:dyDescent="0.3">
      <c r="A139" s="27" t="s">
        <v>126</v>
      </c>
      <c r="B139" s="71">
        <v>7211.2267666666667</v>
      </c>
      <c r="C139" s="72">
        <v>6494.3075000000008</v>
      </c>
      <c r="I139" s="27" t="s">
        <v>126</v>
      </c>
      <c r="J139" s="65">
        <v>5.666666666666667</v>
      </c>
      <c r="K139" s="33">
        <v>1833205.9620999999</v>
      </c>
      <c r="L139" s="40"/>
    </row>
    <row r="140" spans="1:12" ht="16.5" thickBot="1" x14ac:dyDescent="0.3">
      <c r="A140" s="27" t="s">
        <v>41</v>
      </c>
      <c r="B140" s="71">
        <v>7152.7285714285726</v>
      </c>
      <c r="C140" s="72">
        <v>1925.7060000000001</v>
      </c>
      <c r="I140" s="27" t="s">
        <v>41</v>
      </c>
      <c r="J140" s="65">
        <v>4.2857142857142856</v>
      </c>
      <c r="K140" s="33">
        <v>1389380.16</v>
      </c>
      <c r="L140" s="40"/>
    </row>
    <row r="141" spans="1:12" ht="16.5" thickBot="1" x14ac:dyDescent="0.3">
      <c r="A141" s="27" t="s">
        <v>68</v>
      </c>
      <c r="B141" s="71">
        <v>7399.1285999999991</v>
      </c>
      <c r="C141" s="72">
        <v>3458.9274999999989</v>
      </c>
      <c r="I141" s="27" t="s">
        <v>68</v>
      </c>
      <c r="J141" s="65">
        <v>7.3</v>
      </c>
      <c r="K141" s="33">
        <v>1995928.9080000001</v>
      </c>
      <c r="L141" s="40"/>
    </row>
    <row r="142" spans="1:12" ht="16.5" thickBot="1" x14ac:dyDescent="0.3">
      <c r="A142" s="27" t="s">
        <v>71</v>
      </c>
      <c r="B142" s="71">
        <v>3873.8093333333331</v>
      </c>
      <c r="C142" s="72">
        <v>6105.9674999999997</v>
      </c>
      <c r="I142" s="27" t="s">
        <v>71</v>
      </c>
      <c r="J142" s="65">
        <v>6.666666666666667</v>
      </c>
      <c r="K142" s="33">
        <v>810055.03670000006</v>
      </c>
      <c r="L142" s="40"/>
    </row>
    <row r="143" spans="1:12" ht="16.5" thickBot="1" x14ac:dyDescent="0.3">
      <c r="A143" s="27" t="s">
        <v>84</v>
      </c>
      <c r="B143" s="71">
        <v>5443.6469999999999</v>
      </c>
      <c r="C143" s="72">
        <v>5210.5919999999996</v>
      </c>
      <c r="I143" s="27" t="s">
        <v>84</v>
      </c>
      <c r="J143" s="65">
        <v>6.166666666666667</v>
      </c>
      <c r="K143" s="33">
        <v>636471.59399999992</v>
      </c>
      <c r="L143" s="40"/>
    </row>
    <row r="144" spans="1:12" ht="16.5" thickBot="1" x14ac:dyDescent="0.3">
      <c r="A144" s="27" t="s">
        <v>47</v>
      </c>
      <c r="B144" s="71">
        <v>126.62796666666665</v>
      </c>
      <c r="C144" s="72">
        <v>2089.5899999999997</v>
      </c>
      <c r="I144" s="27" t="s">
        <v>47</v>
      </c>
      <c r="J144" s="65">
        <v>6.333333333333333</v>
      </c>
      <c r="K144" s="33">
        <v>31946.748899999999</v>
      </c>
      <c r="L144" s="40"/>
    </row>
    <row r="145" spans="1:12" ht="16.5" thickBot="1" x14ac:dyDescent="0.3">
      <c r="A145" s="27" t="s">
        <v>86</v>
      </c>
      <c r="B145" s="71">
        <v>1831.3831124999999</v>
      </c>
      <c r="C145" s="72">
        <v>2585.9039999999991</v>
      </c>
      <c r="I145" s="27" t="s">
        <v>86</v>
      </c>
      <c r="J145" s="65">
        <v>3.875</v>
      </c>
      <c r="K145" s="33">
        <v>481084.57710000005</v>
      </c>
      <c r="L145" s="40"/>
    </row>
    <row r="146" spans="1:12" ht="16.5" thickBot="1" x14ac:dyDescent="0.3">
      <c r="A146" s="27" t="s">
        <v>87</v>
      </c>
      <c r="B146" s="71">
        <v>3569.6742400000003</v>
      </c>
      <c r="C146" s="72">
        <v>3293.6366666666668</v>
      </c>
      <c r="I146" s="27" t="s">
        <v>87</v>
      </c>
      <c r="J146" s="65">
        <v>5.4</v>
      </c>
      <c r="K146" s="33">
        <v>378400.56319999998</v>
      </c>
      <c r="L146" s="40"/>
    </row>
    <row r="147" spans="1:12" ht="16.5" thickBot="1" x14ac:dyDescent="0.3">
      <c r="A147" s="27" t="s">
        <v>111</v>
      </c>
      <c r="B147" s="71">
        <v>1926.9156909090905</v>
      </c>
      <c r="C147" s="72">
        <v>958.76666666666654</v>
      </c>
      <c r="I147" s="27" t="s">
        <v>111</v>
      </c>
      <c r="J147" s="65">
        <v>5.7272727272727275</v>
      </c>
      <c r="K147" s="33">
        <v>420978.12080000003</v>
      </c>
      <c r="L147" s="40"/>
    </row>
    <row r="148" spans="1:12" ht="16.5" thickBot="1" x14ac:dyDescent="0.3">
      <c r="A148" s="27" t="s">
        <v>49</v>
      </c>
      <c r="B148" s="71">
        <v>3578.2955333333325</v>
      </c>
      <c r="C148" s="72">
        <v>2618.5759999999996</v>
      </c>
      <c r="I148" s="27" t="s">
        <v>49</v>
      </c>
      <c r="J148" s="65">
        <v>7.333333333333333</v>
      </c>
      <c r="K148" s="33">
        <v>417695.20989999996</v>
      </c>
      <c r="L148" s="40"/>
    </row>
    <row r="149" spans="1:12" ht="16.5" thickBot="1" x14ac:dyDescent="0.3">
      <c r="A149" s="27" t="s">
        <v>75</v>
      </c>
      <c r="B149" s="71">
        <v>6628.3422666666665</v>
      </c>
      <c r="C149" s="72">
        <v>4859.22</v>
      </c>
      <c r="I149" s="27" t="s">
        <v>75</v>
      </c>
      <c r="J149" s="65">
        <v>5.333333333333333</v>
      </c>
      <c r="K149" s="33">
        <v>1329846.1761</v>
      </c>
      <c r="L149" s="40"/>
    </row>
    <row r="150" spans="1:12" ht="16.5" thickBot="1" x14ac:dyDescent="0.3">
      <c r="A150" s="27" t="s">
        <v>135</v>
      </c>
      <c r="B150" s="71">
        <v>4332.6092250000002</v>
      </c>
      <c r="C150" s="72">
        <v>809.94800000000021</v>
      </c>
      <c r="I150" s="27" t="s">
        <v>135</v>
      </c>
      <c r="J150" s="65">
        <v>6.375</v>
      </c>
      <c r="K150" s="33">
        <v>1149639.6366000001</v>
      </c>
      <c r="L150" s="40"/>
    </row>
    <row r="151" spans="1:12" ht="16.5" thickBot="1" x14ac:dyDescent="0.3">
      <c r="A151" s="27" t="s">
        <v>136</v>
      </c>
      <c r="B151" s="71">
        <v>4063.6091999999999</v>
      </c>
      <c r="C151" s="72">
        <v>7575.8475000000008</v>
      </c>
      <c r="I151" s="27" t="s">
        <v>136</v>
      </c>
      <c r="J151" s="65">
        <v>2</v>
      </c>
      <c r="K151" s="33">
        <v>101590.23</v>
      </c>
      <c r="L151" s="40"/>
    </row>
    <row r="152" spans="1:12" ht="16.5" thickBot="1" x14ac:dyDescent="0.3">
      <c r="A152" s="27" t="s">
        <v>103</v>
      </c>
      <c r="B152" s="71">
        <v>2957.4050000000002</v>
      </c>
      <c r="C152" s="72">
        <v>4782.2433333333329</v>
      </c>
      <c r="I152" s="27" t="s">
        <v>103</v>
      </c>
      <c r="J152" s="65">
        <v>6.5</v>
      </c>
      <c r="K152" s="33">
        <v>745297.69</v>
      </c>
      <c r="L152" s="40"/>
    </row>
    <row r="153" spans="1:12" ht="16.5" thickBot="1" x14ac:dyDescent="0.3">
      <c r="A153" s="27" t="s">
        <v>100</v>
      </c>
      <c r="B153" s="71">
        <v>5862.1502</v>
      </c>
      <c r="C153" s="72">
        <v>4981.5049999999992</v>
      </c>
      <c r="I153" s="27" t="s">
        <v>100</v>
      </c>
      <c r="J153" s="65">
        <v>6</v>
      </c>
      <c r="K153" s="33">
        <v>1365444.4535000001</v>
      </c>
      <c r="L153" s="40"/>
    </row>
    <row r="154" spans="1:12" ht="16.5" thickBot="1" x14ac:dyDescent="0.3">
      <c r="A154" s="27" t="s">
        <v>26</v>
      </c>
      <c r="B154" s="71">
        <v>4470.2998666666663</v>
      </c>
      <c r="C154" s="72">
        <v>5242.3433333333332</v>
      </c>
      <c r="I154" s="27" t="s">
        <v>26</v>
      </c>
      <c r="J154" s="65">
        <v>7.666666666666667</v>
      </c>
      <c r="K154" s="33">
        <v>663863.73759999988</v>
      </c>
      <c r="L154" s="40"/>
    </row>
    <row r="155" spans="1:12" ht="16.5" thickBot="1" x14ac:dyDescent="0.3">
      <c r="A155" s="27" t="s">
        <v>37</v>
      </c>
      <c r="B155" s="71">
        <v>535.21613999999988</v>
      </c>
      <c r="C155" s="72">
        <v>2024.23</v>
      </c>
      <c r="I155" s="27" t="s">
        <v>37</v>
      </c>
      <c r="J155" s="65">
        <v>5.8</v>
      </c>
      <c r="K155" s="33">
        <v>106014.8403</v>
      </c>
      <c r="L155" s="40"/>
    </row>
    <row r="156" spans="1:12" ht="16.5" thickBot="1" x14ac:dyDescent="0.3">
      <c r="A156" s="27" t="s">
        <v>112</v>
      </c>
      <c r="B156" s="71">
        <v>3814.3252399999997</v>
      </c>
      <c r="C156" s="72">
        <v>3659.5875000000001</v>
      </c>
      <c r="I156" s="27" t="s">
        <v>112</v>
      </c>
      <c r="J156" s="65">
        <v>6.6</v>
      </c>
      <c r="K156" s="33">
        <v>423822.99080000003</v>
      </c>
      <c r="L156" s="40"/>
    </row>
    <row r="157" spans="1:12" ht="16.5" thickBot="1" x14ac:dyDescent="0.3">
      <c r="A157" s="27" t="s">
        <v>132</v>
      </c>
      <c r="B157" s="71">
        <v>1850.0975999999998</v>
      </c>
      <c r="C157" s="72">
        <v>1688.8574999999996</v>
      </c>
      <c r="I157" s="27" t="s">
        <v>132</v>
      </c>
      <c r="J157" s="65">
        <v>6.4</v>
      </c>
      <c r="K157" s="33">
        <v>627728.62800000003</v>
      </c>
      <c r="L157" s="40"/>
    </row>
    <row r="158" spans="1:12" ht="16.5" thickBot="1" x14ac:dyDescent="0.3">
      <c r="A158" s="27" t="s">
        <v>45</v>
      </c>
      <c r="B158" s="71">
        <v>4705.5969375000004</v>
      </c>
      <c r="C158" s="72">
        <v>2776.7875000000004</v>
      </c>
      <c r="I158" s="27" t="s">
        <v>45</v>
      </c>
      <c r="J158" s="65">
        <v>6.875</v>
      </c>
      <c r="K158" s="33">
        <v>693270.22799999989</v>
      </c>
      <c r="L158" s="40"/>
    </row>
    <row r="159" spans="1:12" ht="16.5" thickBot="1" x14ac:dyDescent="0.3">
      <c r="A159" s="27" t="s">
        <v>92</v>
      </c>
      <c r="B159" s="71">
        <v>944.6761888888891</v>
      </c>
      <c r="C159" s="72">
        <v>4319.1966666666667</v>
      </c>
      <c r="I159" s="27" t="s">
        <v>92</v>
      </c>
      <c r="J159" s="65">
        <v>5.4444444444444446</v>
      </c>
      <c r="K159" s="33">
        <v>314687.0686</v>
      </c>
      <c r="L159" s="40"/>
    </row>
    <row r="160" spans="1:12" ht="16.5" thickBot="1" x14ac:dyDescent="0.3">
      <c r="A160" s="27" t="s">
        <v>102</v>
      </c>
      <c r="B160" s="71">
        <v>1281.5918545454547</v>
      </c>
      <c r="C160" s="72">
        <v>2414.7550000000006</v>
      </c>
      <c r="I160" s="27" t="s">
        <v>102</v>
      </c>
      <c r="J160" s="65">
        <v>6.9090909090909092</v>
      </c>
      <c r="K160" s="33">
        <v>410727.66139999998</v>
      </c>
      <c r="L160" s="40"/>
    </row>
    <row r="161" spans="1:12" ht="16.5" thickBot="1" x14ac:dyDescent="0.3">
      <c r="A161" s="27" t="s">
        <v>109</v>
      </c>
      <c r="B161" s="71">
        <v>853.66905000000008</v>
      </c>
      <c r="C161" s="72">
        <v>2464.8699999999994</v>
      </c>
      <c r="I161" s="27" t="s">
        <v>109</v>
      </c>
      <c r="J161" s="65">
        <v>7.375</v>
      </c>
      <c r="K161" s="33">
        <v>184724.3052</v>
      </c>
      <c r="L161" s="40"/>
    </row>
    <row r="162" spans="1:12" ht="16.5" thickBot="1" x14ac:dyDescent="0.3">
      <c r="A162" s="27" t="s">
        <v>147</v>
      </c>
      <c r="B162" s="71">
        <v>7364.7921333333325</v>
      </c>
      <c r="C162" s="72">
        <v>4172.7833333333338</v>
      </c>
      <c r="I162" s="27" t="s">
        <v>147</v>
      </c>
      <c r="J162" s="65">
        <v>5.333333333333333</v>
      </c>
      <c r="K162" s="33">
        <v>1083869.1972000001</v>
      </c>
      <c r="L162" s="40"/>
    </row>
    <row r="163" spans="1:12" ht="16.5" thickBot="1" x14ac:dyDescent="0.3">
      <c r="A163" s="27" t="s">
        <v>32</v>
      </c>
      <c r="B163" s="71">
        <v>2701.3069090909094</v>
      </c>
      <c r="C163" s="72">
        <v>4150.0080000000007</v>
      </c>
      <c r="I163" s="27" t="s">
        <v>32</v>
      </c>
      <c r="J163" s="65">
        <v>6.1818181818181817</v>
      </c>
      <c r="K163" s="33">
        <v>679054.11199999996</v>
      </c>
      <c r="L163" s="40"/>
    </row>
    <row r="164" spans="1:12" ht="16.5" thickBot="1" x14ac:dyDescent="0.3">
      <c r="A164" s="27" t="s">
        <v>40</v>
      </c>
      <c r="B164" s="71">
        <v>5383.1504999999997</v>
      </c>
      <c r="C164" s="72">
        <v>3542.9559999999988</v>
      </c>
      <c r="I164" s="27" t="s">
        <v>40</v>
      </c>
      <c r="J164" s="65">
        <v>5.833333333333333</v>
      </c>
      <c r="K164" s="33">
        <v>1763920.2671999999</v>
      </c>
      <c r="L164" s="40"/>
    </row>
    <row r="165" spans="1:12" ht="16.5" thickBot="1" x14ac:dyDescent="0.3">
      <c r="A165" s="27" t="s">
        <v>60</v>
      </c>
      <c r="B165" s="71">
        <v>3503.8564999999999</v>
      </c>
      <c r="C165" s="72">
        <v>1050.3625000000002</v>
      </c>
      <c r="I165" s="27" t="s">
        <v>60</v>
      </c>
      <c r="J165" s="65">
        <v>5</v>
      </c>
      <c r="K165" s="33">
        <v>707299.53789999988</v>
      </c>
      <c r="L165" s="40"/>
    </row>
    <row r="166" spans="1:12" ht="16.5" thickBot="1" x14ac:dyDescent="0.3">
      <c r="A166" s="27" t="s">
        <v>93</v>
      </c>
      <c r="B166" s="71">
        <v>7204.4444800000001</v>
      </c>
      <c r="C166" s="72">
        <v>290.31399999999996</v>
      </c>
      <c r="I166" s="27" t="s">
        <v>93</v>
      </c>
      <c r="J166" s="65">
        <v>7.2</v>
      </c>
      <c r="K166" s="33">
        <v>765316.95779999997</v>
      </c>
      <c r="L166" s="40"/>
    </row>
    <row r="167" spans="1:12" ht="16.5" thickBot="1" x14ac:dyDescent="0.3">
      <c r="A167" s="27" t="s">
        <v>5</v>
      </c>
      <c r="B167" s="71">
        <v>1826.8681999999997</v>
      </c>
      <c r="C167" s="72">
        <v>4785.0083333333332</v>
      </c>
      <c r="I167" s="27" t="s">
        <v>5</v>
      </c>
      <c r="J167" s="65">
        <v>4.4000000000000004</v>
      </c>
      <c r="K167" s="33">
        <v>109803.18699999999</v>
      </c>
      <c r="L167" s="40"/>
    </row>
    <row r="168" spans="1:12" ht="16.5" thickBot="1" x14ac:dyDescent="0.3">
      <c r="A168" s="27" t="s">
        <v>131</v>
      </c>
      <c r="B168" s="71">
        <v>1821.5115799999996</v>
      </c>
      <c r="C168" s="72">
        <v>4902.3539999999994</v>
      </c>
      <c r="I168" s="27" t="s">
        <v>131</v>
      </c>
      <c r="J168" s="65">
        <v>6.2</v>
      </c>
      <c r="K168" s="33">
        <v>495614.27019999997</v>
      </c>
      <c r="L168" s="40"/>
    </row>
    <row r="169" spans="1:12" ht="16.5" thickBot="1" x14ac:dyDescent="0.3">
      <c r="A169" s="27" t="s">
        <v>70</v>
      </c>
      <c r="B169" s="71">
        <v>1081.6509999999998</v>
      </c>
      <c r="C169" s="72">
        <v>1439.8524999999997</v>
      </c>
      <c r="I169" s="27" t="s">
        <v>70</v>
      </c>
      <c r="J169" s="65">
        <v>5</v>
      </c>
      <c r="K169" s="33">
        <v>253015.24759999997</v>
      </c>
      <c r="L169" s="40"/>
    </row>
    <row r="170" spans="1:12" ht="16.5" thickBot="1" x14ac:dyDescent="0.3">
      <c r="A170" s="27" t="s">
        <v>28</v>
      </c>
      <c r="B170" s="71">
        <v>2837.6594250000003</v>
      </c>
      <c r="C170" s="72">
        <v>1105.6675</v>
      </c>
      <c r="I170" s="27" t="s">
        <v>28</v>
      </c>
      <c r="J170" s="65">
        <v>4.75</v>
      </c>
      <c r="K170" s="33">
        <v>215364.19930000001</v>
      </c>
      <c r="L170" s="40"/>
    </row>
    <row r="171" spans="1:12" ht="16.5" thickBot="1" x14ac:dyDescent="0.3">
      <c r="A171" s="28" t="s">
        <v>94</v>
      </c>
      <c r="B171" s="73">
        <v>1215.6041249999998</v>
      </c>
      <c r="C171" s="74">
        <v>2617.7080000000001</v>
      </c>
      <c r="I171" s="28" t="s">
        <v>94</v>
      </c>
      <c r="J171" s="65">
        <v>4.375</v>
      </c>
      <c r="K171" s="33">
        <v>310584.47040000005</v>
      </c>
      <c r="L171" s="40"/>
    </row>
  </sheetData>
  <sheetProtection algorithmName="SHA-512" hashValue="ZJ5oU5TsLdGHo21cRdQsoXJZOfXAKmdjmshztG9U/QNdyDG/cHfoIeriZRzAWJ1zjVl2Smc8BAi6Qgb8JK0A9g==" saltValue="QMklqbi84X570gNfkSRsJA==" spinCount="100000" sheet="1" objects="1" scenarios="1" pivotTables="0"/>
  <mergeCells count="10">
    <mergeCell ref="A19:C20"/>
    <mergeCell ref="P2:Q3"/>
    <mergeCell ref="G2:H3"/>
    <mergeCell ref="D2:E3"/>
    <mergeCell ref="I19:K20"/>
    <mergeCell ref="A2:B3"/>
    <mergeCell ref="J2:K3"/>
    <mergeCell ref="E19:G20"/>
    <mergeCell ref="M19:N20"/>
    <mergeCell ref="M2:N3"/>
  </mergeCells>
  <conditionalFormatting pivot="1" sqref="E5:E13">
    <cfRule type="dataBar" priority="48">
      <dataBar>
        <cfvo type="min"/>
        <cfvo type="max"/>
        <color theme="9"/>
      </dataBar>
      <extLst>
        <ext xmlns:x14="http://schemas.microsoft.com/office/spreadsheetml/2009/9/main" uri="{B025F937-C7B1-47D3-B67F-A62EFF666E3E}">
          <x14:id>{A5863F8F-4081-4874-AC57-0484DF67E7B9}</x14:id>
        </ext>
      </extLst>
    </cfRule>
  </conditionalFormatting>
  <conditionalFormatting pivot="1" sqref="B5:B14">
    <cfRule type="dataBar" priority="47">
      <dataBar>
        <cfvo type="min"/>
        <cfvo type="max"/>
        <color theme="7" tint="0.39997558519241921"/>
      </dataBar>
      <extLst>
        <ext xmlns:x14="http://schemas.microsoft.com/office/spreadsheetml/2009/9/main" uri="{B025F937-C7B1-47D3-B67F-A62EFF666E3E}">
          <x14:id>{AE5787E8-354A-4DBE-ACD6-350F7304A7CF}</x14:id>
        </ext>
      </extLst>
    </cfRule>
  </conditionalFormatting>
  <conditionalFormatting pivot="1" sqref="B5:B14">
    <cfRule type="dataBar" priority="46">
      <dataBar>
        <cfvo type="min"/>
        <cfvo type="max"/>
        <color rgb="FFB4EBF2"/>
      </dataBar>
      <extLst>
        <ext xmlns:x14="http://schemas.microsoft.com/office/spreadsheetml/2009/9/main" uri="{B025F937-C7B1-47D3-B67F-A62EFF666E3E}">
          <x14:id>{CAA45F1C-5B13-48EA-B017-1166B187EB7F}</x14:id>
        </ext>
      </extLst>
    </cfRule>
  </conditionalFormatting>
  <conditionalFormatting pivot="1" sqref="B5:B14">
    <cfRule type="dataBar" priority="45">
      <dataBar>
        <cfvo type="min"/>
        <cfvo type="max"/>
        <color theme="7"/>
      </dataBar>
      <extLst>
        <ext xmlns:x14="http://schemas.microsoft.com/office/spreadsheetml/2009/9/main" uri="{B025F937-C7B1-47D3-B67F-A62EFF666E3E}">
          <x14:id>{3066862E-9F5F-4CBE-B0B7-DF50B7AA4FC7}</x14:id>
        </ext>
      </extLst>
    </cfRule>
  </conditionalFormatting>
  <conditionalFormatting pivot="1" sqref="H5:H13">
    <cfRule type="colorScale" priority="44">
      <colorScale>
        <cfvo type="min"/>
        <cfvo type="percentile" val="50"/>
        <cfvo type="max"/>
        <color rgb="FFF8696B"/>
        <color rgb="FFFFEB84"/>
        <color rgb="FF63BE7B"/>
      </colorScale>
    </cfRule>
  </conditionalFormatting>
  <conditionalFormatting sqref="D4:E4 D5:D12">
    <cfRule type="iconSet" priority="39">
      <iconSet iconSet="3Symbols">
        <cfvo type="percent" val="0"/>
        <cfvo type="percent" val="33"/>
        <cfvo type="percent" val="67"/>
      </iconSet>
    </cfRule>
  </conditionalFormatting>
  <conditionalFormatting sqref="J4:K4 J5:J12">
    <cfRule type="dataBar" priority="23">
      <dataBar>
        <cfvo type="min"/>
        <cfvo type="max"/>
        <color rgb="FF3490F6"/>
      </dataBar>
      <extLst>
        <ext xmlns:x14="http://schemas.microsoft.com/office/spreadsheetml/2009/9/main" uri="{B025F937-C7B1-47D3-B67F-A62EFF666E3E}">
          <x14:id>{2371FCBF-41E1-4A58-B8A1-28BE97CD5336}</x14:id>
        </ext>
      </extLst>
    </cfRule>
  </conditionalFormatting>
  <conditionalFormatting sqref="K4">
    <cfRule type="dataBar" priority="24">
      <dataBar>
        <cfvo type="min"/>
        <cfvo type="max"/>
        <color theme="7" tint="0.39997558519241921"/>
      </dataBar>
      <extLst>
        <ext xmlns:x14="http://schemas.microsoft.com/office/spreadsheetml/2009/9/main" uri="{B025F937-C7B1-47D3-B67F-A62EFF666E3E}">
          <x14:id>{47F16E5E-F70A-440C-9DED-A25FE391F546}</x14:id>
        </ext>
      </extLst>
    </cfRule>
  </conditionalFormatting>
  <conditionalFormatting pivot="1" sqref="B22:C171">
    <cfRule type="dataBar" priority="21">
      <dataBar>
        <cfvo type="num" val="0"/>
        <cfvo type="max"/>
        <color rgb="FF638EC6"/>
      </dataBar>
      <extLst>
        <ext xmlns:x14="http://schemas.microsoft.com/office/spreadsheetml/2009/9/main" uri="{B025F937-C7B1-47D3-B67F-A62EFF666E3E}">
          <x14:id>{7D5CC928-B7E5-46D5-B428-9C5F3EB46CA2}</x14:id>
        </ext>
      </extLst>
    </cfRule>
  </conditionalFormatting>
  <conditionalFormatting pivot="1" sqref="Q5:Q14">
    <cfRule type="iconSet" priority="20">
      <iconSet iconSet="3Symbols2">
        <cfvo type="percent" val="0"/>
        <cfvo type="percent" val="33"/>
        <cfvo type="percent" val="67"/>
      </iconSet>
    </cfRule>
  </conditionalFormatting>
  <conditionalFormatting pivot="1" sqref="Q5:Q14">
    <cfRule type="iconSet" priority="19">
      <iconSet iconSet="3Symbols">
        <cfvo type="percent" val="0"/>
        <cfvo type="num" val="44000"/>
        <cfvo type="num" val="45000"/>
      </iconSet>
    </cfRule>
  </conditionalFormatting>
  <conditionalFormatting pivot="1" sqref="Q5:Q14">
    <cfRule type="iconSet" priority="18">
      <iconSet iconSet="3Symbols">
        <cfvo type="percent" val="0"/>
        <cfvo type="num" val="30000"/>
        <cfvo type="num" val="45000"/>
      </iconSet>
    </cfRule>
  </conditionalFormatting>
  <conditionalFormatting pivot="1" sqref="K22:K171">
    <cfRule type="dataBar" priority="17">
      <dataBar>
        <cfvo type="min"/>
        <cfvo type="max"/>
        <color rgb="FF3AD24C"/>
      </dataBar>
      <extLst>
        <ext xmlns:x14="http://schemas.microsoft.com/office/spreadsheetml/2009/9/main" uri="{B025F937-C7B1-47D3-B67F-A62EFF666E3E}">
          <x14:id>{CE619E4D-4CF9-4C6F-BC53-203721328204}</x14:id>
        </ext>
      </extLst>
    </cfRule>
  </conditionalFormatting>
  <conditionalFormatting sqref="N4">
    <cfRule type="colorScale" priority="12">
      <colorScale>
        <cfvo type="num" val="110"/>
        <cfvo type="max"/>
        <color theme="7" tint="0.39997558519241921"/>
        <color rgb="FF3AD24C"/>
      </colorScale>
    </cfRule>
    <cfRule type="colorScale" priority="13">
      <colorScale>
        <cfvo type="num" val="110"/>
        <cfvo type="max"/>
        <color rgb="FF99F977"/>
        <color theme="7" tint="0.59999389629810485"/>
      </colorScale>
    </cfRule>
  </conditionalFormatting>
  <conditionalFormatting pivot="1" sqref="G22:G57">
    <cfRule type="dataBar" priority="11">
      <dataBar>
        <cfvo type="min"/>
        <cfvo type="max"/>
        <color rgb="FF68F275"/>
      </dataBar>
      <extLst>
        <ext xmlns:x14="http://schemas.microsoft.com/office/spreadsheetml/2009/9/main" uri="{B025F937-C7B1-47D3-B67F-A62EFF666E3E}">
          <x14:id>{B8B5047D-7B16-4D03-98C8-A1DB368F685E}</x14:id>
        </ext>
      </extLst>
    </cfRule>
  </conditionalFormatting>
  <conditionalFormatting pivot="1" sqref="G22:G57">
    <cfRule type="dataBar" priority="10">
      <dataBar>
        <cfvo type="min"/>
        <cfvo type="max"/>
        <color rgb="FFFF0000"/>
      </dataBar>
      <extLst>
        <ext xmlns:x14="http://schemas.microsoft.com/office/spreadsheetml/2009/9/main" uri="{B025F937-C7B1-47D3-B67F-A62EFF666E3E}">
          <x14:id>{366A7A0C-8414-4C4A-AC16-058EE35D8E67}</x14:id>
        </ext>
      </extLst>
    </cfRule>
  </conditionalFormatting>
  <conditionalFormatting pivot="1" sqref="G22:G57">
    <cfRule type="dataBar" priority="8">
      <dataBar>
        <cfvo type="min"/>
        <cfvo type="max"/>
        <color rgb="FFFFB628"/>
      </dataBar>
      <extLst>
        <ext xmlns:x14="http://schemas.microsoft.com/office/spreadsheetml/2009/9/main" uri="{B025F937-C7B1-47D3-B67F-A62EFF666E3E}">
          <x14:id>{75F0843B-8228-464F-BD88-67814B8C887B}</x14:id>
        </ext>
      </extLst>
    </cfRule>
  </conditionalFormatting>
  <conditionalFormatting pivot="1" sqref="N22:N26">
    <cfRule type="dataBar" priority="7">
      <dataBar>
        <cfvo type="min"/>
        <cfvo type="max"/>
        <color theme="7"/>
      </dataBar>
      <extLst>
        <ext xmlns:x14="http://schemas.microsoft.com/office/spreadsheetml/2009/9/main" uri="{B025F937-C7B1-47D3-B67F-A62EFF666E3E}">
          <x14:id>{9600647D-ACEB-471D-89A4-33CB46D62611}</x14:id>
        </ext>
      </extLst>
    </cfRule>
  </conditionalFormatting>
  <conditionalFormatting pivot="1" sqref="N5:N13">
    <cfRule type="colorScale" priority="5">
      <colorScale>
        <cfvo type="num" val="110"/>
        <cfvo type="max"/>
        <color rgb="FFFFC000"/>
        <color rgb="FF3AD24C"/>
      </colorScale>
    </cfRule>
  </conditionalFormatting>
  <conditionalFormatting pivot="1" sqref="N5:N13">
    <cfRule type="colorScale" priority="4">
      <colorScale>
        <cfvo type="num" val="110"/>
        <cfvo type="max"/>
        <color theme="7" tint="0.39997558519241921"/>
        <color theme="9"/>
      </colorScale>
    </cfRule>
  </conditionalFormatting>
  <conditionalFormatting pivot="1" sqref="N5:N13">
    <cfRule type="colorScale" priority="3">
      <colorScale>
        <cfvo type="num" val="110"/>
        <cfvo type="max"/>
        <color rgb="FFF634F6"/>
        <color rgb="FF3490F6"/>
      </colorScale>
    </cfRule>
  </conditionalFormatting>
  <conditionalFormatting pivot="1" sqref="N5:N13">
    <cfRule type="colorScale" priority="2">
      <colorScale>
        <cfvo type="num" val="110"/>
        <cfvo type="max"/>
        <color rgb="FFFFFF00"/>
        <color rgb="FF00B050"/>
      </colorScale>
    </cfRule>
  </conditionalFormatting>
  <conditionalFormatting pivot="1" sqref="E5:E13">
    <cfRule type="iconSet" priority="1">
      <iconSet iconSet="3Symbols">
        <cfvo type="percent" val="0"/>
        <cfvo type="percent" val="33"/>
        <cfvo type="percent" val="67"/>
      </iconSet>
    </cfRule>
  </conditionalFormatting>
  <pageMargins left="0.7" right="0.7" top="0.75" bottom="0.75" header="0.3" footer="0.3"/>
  <pageSetup paperSize="9" orientation="portrait" r:id="rId17"/>
  <drawing r:id="rId18"/>
  <extLst>
    <ext xmlns:x14="http://schemas.microsoft.com/office/spreadsheetml/2009/9/main" uri="{78C0D931-6437-407d-A8EE-F0AAD7539E65}">
      <x14:conditionalFormattings>
        <x14:conditionalFormatting xmlns:xm="http://schemas.microsoft.com/office/excel/2006/main" pivot="1">
          <x14:cfRule type="dataBar" id="{A5863F8F-4081-4874-AC57-0484DF67E7B9}">
            <x14:dataBar minLength="0" maxLength="100">
              <x14:cfvo type="autoMin"/>
              <x14:cfvo type="autoMax"/>
              <x14:negativeFillColor rgb="FFFF0000"/>
              <x14:axisColor rgb="FF000000"/>
            </x14:dataBar>
          </x14:cfRule>
          <xm:sqref>E5:E13</xm:sqref>
        </x14:conditionalFormatting>
        <x14:conditionalFormatting xmlns:xm="http://schemas.microsoft.com/office/excel/2006/main" pivot="1">
          <x14:cfRule type="dataBar" id="{AE5787E8-354A-4DBE-ACD6-350F7304A7CF}">
            <x14:dataBar minLength="0" maxLength="100">
              <x14:cfvo type="autoMin"/>
              <x14:cfvo type="autoMax"/>
              <x14:negativeFillColor rgb="FFFF0000"/>
              <x14:axisColor rgb="FF000000"/>
            </x14:dataBar>
          </x14:cfRule>
          <xm:sqref>B5:B14</xm:sqref>
        </x14:conditionalFormatting>
        <x14:conditionalFormatting xmlns:xm="http://schemas.microsoft.com/office/excel/2006/main" pivot="1">
          <x14:cfRule type="dataBar" id="{CAA45F1C-5B13-48EA-B017-1166B187EB7F}">
            <x14:dataBar minLength="0" maxLength="100">
              <x14:cfvo type="autoMin"/>
              <x14:cfvo type="autoMax"/>
              <x14:negativeFillColor rgb="FFFF0000"/>
              <x14:axisColor rgb="FF000000"/>
            </x14:dataBar>
          </x14:cfRule>
          <xm:sqref>B5:B14</xm:sqref>
        </x14:conditionalFormatting>
        <x14:conditionalFormatting xmlns:xm="http://schemas.microsoft.com/office/excel/2006/main" pivot="1">
          <x14:cfRule type="dataBar" id="{3066862E-9F5F-4CBE-B0B7-DF50B7AA4FC7}">
            <x14:dataBar minLength="0" maxLength="100">
              <x14:cfvo type="autoMin"/>
              <x14:cfvo type="autoMax"/>
              <x14:negativeFillColor rgb="FFFF0000"/>
              <x14:axisColor rgb="FF000000"/>
            </x14:dataBar>
          </x14:cfRule>
          <xm:sqref>B5:B14</xm:sqref>
        </x14:conditionalFormatting>
        <x14:conditionalFormatting xmlns:xm="http://schemas.microsoft.com/office/excel/2006/main">
          <x14:cfRule type="dataBar" id="{2371FCBF-41E1-4A58-B8A1-28BE97CD5336}">
            <x14:dataBar minLength="0" maxLength="100">
              <x14:cfvo type="autoMin"/>
              <x14:cfvo type="autoMax"/>
              <x14:negativeFillColor rgb="FFFF0000"/>
              <x14:axisColor rgb="FF000000"/>
            </x14:dataBar>
          </x14:cfRule>
          <xm:sqref>J4:K4 J5:J12</xm:sqref>
        </x14:conditionalFormatting>
        <x14:conditionalFormatting xmlns:xm="http://schemas.microsoft.com/office/excel/2006/main">
          <x14:cfRule type="dataBar" id="{47F16E5E-F70A-440C-9DED-A25FE391F546}">
            <x14:dataBar minLength="0" maxLength="100">
              <x14:cfvo type="autoMin"/>
              <x14:cfvo type="autoMax"/>
              <x14:negativeFillColor rgb="FFFF0000"/>
              <x14:axisColor rgb="FF000000"/>
            </x14:dataBar>
          </x14:cfRule>
          <xm:sqref>K4</xm:sqref>
        </x14:conditionalFormatting>
        <x14:conditionalFormatting xmlns:xm="http://schemas.microsoft.com/office/excel/2006/main" pivot="1">
          <x14:cfRule type="dataBar" id="{7D5CC928-B7E5-46D5-B428-9C5F3EB46CA2}">
            <x14:dataBar minLength="0" maxLength="100" direction="leftToRight">
              <x14:cfvo type="num">
                <xm:f>0</xm:f>
              </x14:cfvo>
              <x14:cfvo type="max"/>
              <x14:negativeFillColor rgb="FFFF0000"/>
              <x14:axisColor rgb="FF000000"/>
            </x14:dataBar>
          </x14:cfRule>
          <xm:sqref>B22:C171</xm:sqref>
        </x14:conditionalFormatting>
        <x14:conditionalFormatting xmlns:xm="http://schemas.microsoft.com/office/excel/2006/main" pivot="1">
          <x14:cfRule type="dataBar" id="{CE619E4D-4CF9-4C6F-BC53-203721328204}">
            <x14:dataBar minLength="0" maxLength="100">
              <x14:cfvo type="autoMin"/>
              <x14:cfvo type="autoMax"/>
              <x14:negativeFillColor rgb="FFFF0000"/>
              <x14:axisColor rgb="FF000000"/>
            </x14:dataBar>
          </x14:cfRule>
          <xm:sqref>K22:K171</xm:sqref>
        </x14:conditionalFormatting>
        <x14:conditionalFormatting xmlns:xm="http://schemas.microsoft.com/office/excel/2006/main" pivot="1">
          <x14:cfRule type="dataBar" id="{B8B5047D-7B16-4D03-98C8-A1DB368F685E}">
            <x14:dataBar minLength="0" maxLength="100">
              <x14:cfvo type="autoMin"/>
              <x14:cfvo type="autoMax"/>
              <x14:negativeFillColor rgb="FFFF0000"/>
              <x14:axisColor rgb="FF000000"/>
            </x14:dataBar>
          </x14:cfRule>
          <xm:sqref>G22:G57</xm:sqref>
        </x14:conditionalFormatting>
        <x14:conditionalFormatting xmlns:xm="http://schemas.microsoft.com/office/excel/2006/main" pivot="1">
          <x14:cfRule type="dataBar" id="{366A7A0C-8414-4C4A-AC16-058EE35D8E67}">
            <x14:dataBar minLength="0" maxLength="100">
              <x14:cfvo type="autoMin"/>
              <x14:cfvo type="autoMax"/>
              <x14:negativeFillColor rgb="FFFF0000"/>
              <x14:axisColor rgb="FF000000"/>
            </x14:dataBar>
          </x14:cfRule>
          <xm:sqref>G22:G57</xm:sqref>
        </x14:conditionalFormatting>
        <x14:conditionalFormatting xmlns:xm="http://schemas.microsoft.com/office/excel/2006/main" pivot="1">
          <x14:cfRule type="dataBar" id="{75F0843B-8228-464F-BD88-67814B8C887B}">
            <x14:dataBar minLength="0" maxLength="100" gradient="0">
              <x14:cfvo type="autoMin"/>
              <x14:cfvo type="autoMax"/>
              <x14:negativeFillColor rgb="FFFF0000"/>
              <x14:axisColor rgb="FF000000"/>
            </x14:dataBar>
          </x14:cfRule>
          <xm:sqref>G22:G57</xm:sqref>
        </x14:conditionalFormatting>
        <x14:conditionalFormatting xmlns:xm="http://schemas.microsoft.com/office/excel/2006/main" pivot="1">
          <x14:cfRule type="dataBar" id="{9600647D-ACEB-471D-89A4-33CB46D62611}">
            <x14:dataBar minLength="0" maxLength="100" gradient="0">
              <x14:cfvo type="autoMin"/>
              <x14:cfvo type="autoMax"/>
              <x14:negativeFillColor rgb="FFFF0000"/>
              <x14:axisColor rgb="FF000000"/>
            </x14:dataBar>
          </x14:cfRule>
          <xm:sqref>N22:N26</xm:sqref>
        </x14:conditionalFormatting>
        <x14:conditionalFormatting xmlns:xm="http://schemas.microsoft.com/office/excel/2006/main">
          <x14:cfRule type="iconSet" priority="29" id="{0805DA6E-E65B-422F-8E1C-75E099A7D703}">
            <x14:iconSet iconSet="3Stars">
              <x14:cfvo type="percent">
                <xm:f>0</xm:f>
              </x14:cfvo>
              <x14:cfvo type="num">
                <xm:f>2</xm:f>
              </x14:cfvo>
              <x14:cfvo type="num">
                <xm:f>3</xm:f>
              </x14:cfvo>
            </x14:iconSet>
          </x14:cfRule>
          <x14:cfRule type="iconSet" priority="30" id="{5707BD68-FC21-4EFB-8E7A-7A050A42EFE0}">
            <x14:iconSet iconSet="3Stars">
              <x14:cfvo type="percent">
                <xm:f>0</xm:f>
              </x14:cfvo>
              <x14:cfvo type="percent">
                <xm:f>33</xm:f>
              </x14:cfvo>
              <x14:cfvo type="percent">
                <xm:f>67</xm:f>
              </x14:cfvo>
            </x14:iconSet>
          </x14:cfRule>
          <xm:sqref>J4:K4 J5:J12</xm:sqref>
        </x14:conditionalFormatting>
        <x14:conditionalFormatting xmlns:xm="http://schemas.microsoft.com/office/excel/2006/main" pivot="1">
          <x14:cfRule type="iconSet" priority="6" id="{9331AABD-B7E3-48EC-95CC-F5EE486E48A6}">
            <x14:iconSet iconSet="3Stars">
              <x14:cfvo type="percent">
                <xm:f>0</xm:f>
              </x14:cfvo>
              <x14:cfvo type="num">
                <xm:f>2</xm:f>
              </x14:cfvo>
              <x14:cfvo type="num">
                <xm:f>3</xm:f>
              </x14:cfvo>
            </x14:iconSet>
          </x14:cfRule>
          <xm:sqref>K5:K12</xm:sqref>
        </x14:conditionalFormatting>
      </x14:conditionalFormattings>
    </ext>
    <ext xmlns:x14="http://schemas.microsoft.com/office/spreadsheetml/2009/9/main" uri="{A8765BA9-456A-4dab-B4F3-ACF838C121DE}">
      <x14:slicerList>
        <x14:slicer r:id="rId19"/>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3"/>
  <sheetViews>
    <sheetView zoomScale="80" zoomScaleNormal="80" workbookViewId="0"/>
  </sheetViews>
  <sheetFormatPr defaultRowHeight="12.75" x14ac:dyDescent="0.2"/>
  <cols>
    <col min="1" max="1" width="10.140625" customWidth="1"/>
    <col min="2" max="2" width="13.28515625" customWidth="1"/>
    <col min="3" max="3" width="12.42578125" customWidth="1"/>
    <col min="4" max="4" width="15.7109375" customWidth="1"/>
    <col min="5" max="5" width="17.7109375" customWidth="1"/>
    <col min="6" max="6" width="17.42578125" customWidth="1"/>
    <col min="7" max="7" width="18.7109375" bestFit="1" customWidth="1"/>
    <col min="8" max="8" width="15.7109375" bestFit="1" customWidth="1"/>
    <col min="9" max="9" width="12.28515625" customWidth="1"/>
    <col min="10" max="10" width="13" customWidth="1"/>
    <col min="11" max="11" width="10.85546875" bestFit="1" customWidth="1"/>
    <col min="12" max="12" width="18.42578125" customWidth="1"/>
    <col min="13" max="13" width="18" customWidth="1"/>
    <col min="14" max="14" width="12" bestFit="1" customWidth="1"/>
    <col min="15" max="15" width="13.28515625" bestFit="1" customWidth="1"/>
    <col min="16" max="16" width="18" bestFit="1" customWidth="1"/>
    <col min="17" max="17" width="20.140625" style="15" bestFit="1" customWidth="1"/>
    <col min="18" max="18" width="17.7109375" bestFit="1" customWidth="1"/>
  </cols>
  <sheetData>
    <row r="1" spans="1:18" x14ac:dyDescent="0.2">
      <c r="A1" s="2" t="s">
        <v>163</v>
      </c>
      <c r="B1" s="2" t="s">
        <v>164</v>
      </c>
      <c r="C1" s="2" t="s">
        <v>165</v>
      </c>
      <c r="D1" s="2" t="s">
        <v>166</v>
      </c>
      <c r="E1" s="2" t="s">
        <v>167</v>
      </c>
      <c r="F1" s="3" t="s">
        <v>168</v>
      </c>
      <c r="G1" s="2" t="s">
        <v>1</v>
      </c>
      <c r="H1" s="2" t="s">
        <v>2</v>
      </c>
      <c r="I1" s="2" t="s">
        <v>3</v>
      </c>
      <c r="J1" s="3" t="s">
        <v>4</v>
      </c>
      <c r="K1" s="2" t="s">
        <v>170</v>
      </c>
      <c r="L1" s="3" t="s">
        <v>173</v>
      </c>
      <c r="M1" s="10" t="s">
        <v>185</v>
      </c>
      <c r="N1" s="13" t="s">
        <v>186</v>
      </c>
      <c r="O1" s="13" t="s">
        <v>187</v>
      </c>
      <c r="P1" s="13" t="s">
        <v>188</v>
      </c>
      <c r="Q1" s="14" t="s">
        <v>189</v>
      </c>
      <c r="R1" s="38" t="s">
        <v>215</v>
      </c>
    </row>
    <row r="2" spans="1:18" x14ac:dyDescent="0.2">
      <c r="A2" s="4">
        <v>1</v>
      </c>
      <c r="B2" s="4">
        <v>90</v>
      </c>
      <c r="C2" s="6">
        <v>45878</v>
      </c>
      <c r="D2" s="4">
        <v>12</v>
      </c>
      <c r="E2" s="4">
        <v>4</v>
      </c>
      <c r="F2" s="12">
        <f t="shared" ref="F2:F65" si="0">J2*(1-E2/100)</f>
        <v>1321.6415999999999</v>
      </c>
      <c r="G2" t="str">
        <f>VLOOKUP(B2,product_tbl[],2,FALSE)</f>
        <v>Washing Machine 90</v>
      </c>
      <c r="H2" t="str">
        <f>VLOOKUP(B2,product_tbl[],3,FALSE)</f>
        <v>Home Appliances</v>
      </c>
      <c r="I2">
        <v>826.02599999999995</v>
      </c>
      <c r="J2">
        <f>VLOOKUP(B2,product_tbl[],5,FALSE)</f>
        <v>1376.71</v>
      </c>
      <c r="K2">
        <f>VLOOKUP(B2,review_tbl[],3,FALSE)</f>
        <v>4</v>
      </c>
      <c r="L2" s="11">
        <v>1699.0295056587011</v>
      </c>
      <c r="M2" s="11">
        <f>AVERAGEIF(Table1[product_id],Master_tbl!B2:B1001,Table1[competitor_price])</f>
        <v>2414.7550000000001</v>
      </c>
      <c r="N2" s="11">
        <f>IFERROR(Table5[[#This Row],[final_sale_price]]*Table5[[#This Row],[quantity_sold ]],0)</f>
        <v>15859.699199999999</v>
      </c>
      <c r="O2" s="11">
        <f>(Table5[[#This Row],[final_sale_price]]-Table5[[#This Row],[cost_price]])*Table5[[#This Row],[quantity_sold ]]</f>
        <v>5947.3871999999992</v>
      </c>
      <c r="P2" s="11">
        <f>(Table5[final_sale_price]-Table5[[#This Row],[avg_comp_price]])</f>
        <v>-1093.1134000000002</v>
      </c>
      <c r="Q2" s="15">
        <f>(Table5[[#This Row],[final_sale_price]]-Table5[[#This Row],[avg_comp_price]])/Table5[[#This Row],[avg_comp_price]]</f>
        <v>-0.45268087238663968</v>
      </c>
      <c r="R2" s="11">
        <f>Table5[[#This Row],[Profit]]/Table5[[#This Row],[Revenue]]</f>
        <v>0.37499999999999994</v>
      </c>
    </row>
    <row r="3" spans="1:18" x14ac:dyDescent="0.2">
      <c r="A3" s="5">
        <v>2</v>
      </c>
      <c r="B3" s="5">
        <v>117</v>
      </c>
      <c r="C3" s="7">
        <v>45372</v>
      </c>
      <c r="D3" s="5">
        <v>35</v>
      </c>
      <c r="E3" s="4">
        <v>2</v>
      </c>
      <c r="F3" s="12">
        <f t="shared" si="0"/>
        <v>2084.6363999999999</v>
      </c>
      <c r="G3" t="str">
        <f>VLOOKUP(B3,product_tbl[],2,FALSE)</f>
        <v>Refrigerator 117</v>
      </c>
      <c r="H3" t="str">
        <f>VLOOKUP(B3,product_tbl[],3,FALSE)</f>
        <v>Home Appliances</v>
      </c>
      <c r="I3">
        <v>1276.3079999999998</v>
      </c>
      <c r="J3">
        <f>VLOOKUP(B3,product_tbl[],5,FALSE)</f>
        <v>2127.1799999999998</v>
      </c>
      <c r="K3">
        <f>VLOOKUP(B3,review_tbl[],3,FALSE)</f>
        <v>1</v>
      </c>
      <c r="L3" s="11">
        <v>2180.6767120645877</v>
      </c>
      <c r="M3" s="11">
        <f>AVERAGEIF(Table1[product_id],Master_tbl!B3:B1004,Table1[competitor_price])</f>
        <v>892.9766666666668</v>
      </c>
      <c r="N3" s="11">
        <f>IFERROR(Table5[[#This Row],[final_sale_price]]*Table5[[#This Row],[quantity_sold ]],0)</f>
        <v>72962.27399999999</v>
      </c>
      <c r="O3" s="11">
        <f>(Table5[[#This Row],[final_sale_price]]-Table5[[#This Row],[cost_price]])*Table5[[#This Row],[quantity_sold ]]</f>
        <v>28291.494000000002</v>
      </c>
      <c r="P3" s="11">
        <f>(Table5[final_sale_price]-Table5[[#This Row],[avg_comp_price]])</f>
        <v>1191.659733333333</v>
      </c>
      <c r="Q3" s="15">
        <f>(Table5[[#This Row],[final_sale_price]]-Table5[[#This Row],[avg_comp_price]])/Table5[[#This Row],[avg_comp_price]]</f>
        <v>1.3344802589093401</v>
      </c>
      <c r="R3" s="11">
        <f>Table5[[#This Row],[Profit]]/Table5[[#This Row],[Revenue]]</f>
        <v>0.38775510204081642</v>
      </c>
    </row>
    <row r="4" spans="1:18" x14ac:dyDescent="0.2">
      <c r="A4" s="4">
        <v>3</v>
      </c>
      <c r="B4" s="4">
        <v>27</v>
      </c>
      <c r="C4" s="6">
        <v>45339</v>
      </c>
      <c r="D4" s="4">
        <v>14</v>
      </c>
      <c r="E4" s="4">
        <v>2</v>
      </c>
      <c r="F4" s="12">
        <f t="shared" si="0"/>
        <v>1590.442</v>
      </c>
      <c r="G4" t="str">
        <f>VLOOKUP(B4,product_tbl[],2,FALSE)</f>
        <v>Action Figure 27</v>
      </c>
      <c r="H4" t="str">
        <f>VLOOKUP(B4,product_tbl[],3,FALSE)</f>
        <v>Toys</v>
      </c>
      <c r="I4">
        <v>973.74</v>
      </c>
      <c r="J4">
        <f>VLOOKUP(B4,product_tbl[],5,FALSE)</f>
        <v>1622.9</v>
      </c>
      <c r="K4">
        <f>VLOOKUP(B4,review_tbl[],3,FALSE)</f>
        <v>1</v>
      </c>
      <c r="L4" s="11">
        <v>1917.2435766720898</v>
      </c>
      <c r="M4" s="11">
        <f>AVERAGEIF(Table1[product_id],Master_tbl!B4:B1005,Table1[competitor_price])</f>
        <v>4440.416666666667</v>
      </c>
      <c r="N4" s="11">
        <f>IFERROR(Table5[[#This Row],[final_sale_price]]*Table5[[#This Row],[quantity_sold ]],0)</f>
        <v>22266.188000000002</v>
      </c>
      <c r="O4" s="11">
        <f>(Table5[[#This Row],[final_sale_price]]-Table5[[#This Row],[cost_price]])*Table5[[#This Row],[quantity_sold ]]</f>
        <v>8633.8279999999995</v>
      </c>
      <c r="P4" s="11">
        <f>(Table5[final_sale_price]-Table5[[#This Row],[avg_comp_price]])</f>
        <v>-2849.974666666667</v>
      </c>
      <c r="Q4" s="15">
        <f>(Table5[[#This Row],[final_sale_price]]-Table5[[#This Row],[avg_comp_price]])/Table5[[#This Row],[avg_comp_price]]</f>
        <v>-0.64182595477151172</v>
      </c>
      <c r="R4" s="11">
        <f>Table5[[#This Row],[Profit]]/Table5[[#This Row],[Revenue]]</f>
        <v>0.38775510204081626</v>
      </c>
    </row>
    <row r="5" spans="1:18" x14ac:dyDescent="0.2">
      <c r="A5" s="5">
        <v>4</v>
      </c>
      <c r="B5" s="5">
        <v>48</v>
      </c>
      <c r="C5" s="7">
        <v>45660</v>
      </c>
      <c r="D5" s="5">
        <v>9</v>
      </c>
      <c r="E5" s="4">
        <v>3</v>
      </c>
      <c r="F5" s="12">
        <f t="shared" si="0"/>
        <v>3577.6219000000001</v>
      </c>
      <c r="G5" t="str">
        <f>VLOOKUP(B5,product_tbl[],2,FALSE)</f>
        <v>Water Purifier 48</v>
      </c>
      <c r="H5" t="str">
        <f>VLOOKUP(B5,product_tbl[],3,FALSE)</f>
        <v>Home Appliances</v>
      </c>
      <c r="I5">
        <v>2212.962</v>
      </c>
      <c r="J5">
        <f>VLOOKUP(B5,product_tbl[],5,FALSE)</f>
        <v>3688.27</v>
      </c>
      <c r="K5">
        <f>VLOOKUP(B5,review_tbl[],3,FALSE)</f>
        <v>4</v>
      </c>
      <c r="L5" s="11">
        <v>4431.3785900419116</v>
      </c>
      <c r="M5" s="11">
        <f>AVERAGEIF(Table1[product_id],Master_tbl!B5:B1006,Table1[competitor_price])</f>
        <v>1050.3625000000002</v>
      </c>
      <c r="N5" s="11">
        <f>IFERROR(Table5[[#This Row],[final_sale_price]]*Table5[[#This Row],[quantity_sold ]],0)</f>
        <v>32198.597099999999</v>
      </c>
      <c r="O5" s="11">
        <f>(Table5[[#This Row],[final_sale_price]]-Table5[[#This Row],[cost_price]])*Table5[[#This Row],[quantity_sold ]]</f>
        <v>12281.939100000001</v>
      </c>
      <c r="P5" s="11">
        <f>(Table5[final_sale_price]-Table5[[#This Row],[avg_comp_price]])</f>
        <v>2527.2593999999999</v>
      </c>
      <c r="Q5" s="15">
        <f>(Table5[[#This Row],[final_sale_price]]-Table5[[#This Row],[avg_comp_price]])/Table5[[#This Row],[avg_comp_price]]</f>
        <v>2.4060830427590472</v>
      </c>
      <c r="R5" s="11">
        <f>Table5[[#This Row],[Profit]]/Table5[[#This Row],[Revenue]]</f>
        <v>0.3814432989690722</v>
      </c>
    </row>
    <row r="6" spans="1:18" x14ac:dyDescent="0.2">
      <c r="A6" s="4">
        <v>5</v>
      </c>
      <c r="B6" s="4">
        <v>121</v>
      </c>
      <c r="C6" s="6">
        <v>45115</v>
      </c>
      <c r="D6" s="4">
        <v>49</v>
      </c>
      <c r="E6" s="4">
        <v>6</v>
      </c>
      <c r="F6" s="12">
        <f t="shared" si="0"/>
        <v>1422.3892000000001</v>
      </c>
      <c r="G6" t="str">
        <f>VLOOKUP(B6,product_tbl[],2,FALSE)</f>
        <v>Self Help Book 121</v>
      </c>
      <c r="H6" t="str">
        <f>VLOOKUP(B6,product_tbl[],3,FALSE)</f>
        <v>Books</v>
      </c>
      <c r="I6">
        <v>907.90800000000002</v>
      </c>
      <c r="J6">
        <f>VLOOKUP(B6,product_tbl[],5,FALSE)</f>
        <v>1513.18</v>
      </c>
      <c r="K6">
        <f>VLOOKUP(B6,review_tbl[],3,FALSE)</f>
        <v>2</v>
      </c>
      <c r="L6" s="11">
        <v>1861.0268517288393</v>
      </c>
      <c r="M6" s="11">
        <f>AVERAGEIF(Table1[product_id],Master_tbl!B6:B1007,Table1[competitor_price])</f>
        <v>2967.0200000000004</v>
      </c>
      <c r="N6" s="11">
        <f>IFERROR(Table5[[#This Row],[final_sale_price]]*Table5[[#This Row],[quantity_sold ]],0)</f>
        <v>69697.070800000001</v>
      </c>
      <c r="O6" s="11">
        <f>(Table5[[#This Row],[final_sale_price]]-Table5[[#This Row],[cost_price]])*Table5[[#This Row],[quantity_sold ]]</f>
        <v>25209.578800000003</v>
      </c>
      <c r="P6" s="11">
        <f>(Table5[final_sale_price]-Table5[[#This Row],[avg_comp_price]])</f>
        <v>-1544.6308000000004</v>
      </c>
      <c r="Q6" s="15">
        <f>(Table5[[#This Row],[final_sale_price]]-Table5[[#This Row],[avg_comp_price]])/Table5[[#This Row],[avg_comp_price]]</f>
        <v>-0.52060006336323994</v>
      </c>
      <c r="R6" s="11">
        <f>Table5[[#This Row],[Profit]]/Table5[[#This Row],[Revenue]]</f>
        <v>0.36170212765957449</v>
      </c>
    </row>
    <row r="7" spans="1:18" x14ac:dyDescent="0.2">
      <c r="A7" s="5">
        <v>6</v>
      </c>
      <c r="B7" s="5">
        <v>101</v>
      </c>
      <c r="C7" s="7">
        <v>45097</v>
      </c>
      <c r="D7" s="5">
        <v>48</v>
      </c>
      <c r="E7" s="4">
        <v>5</v>
      </c>
      <c r="F7" s="12">
        <f t="shared" si="0"/>
        <v>4484.2754999999997</v>
      </c>
      <c r="G7" t="str">
        <f>VLOOKUP(B7,product_tbl[],2,FALSE)</f>
        <v>Jacket 101</v>
      </c>
      <c r="H7" t="str">
        <f>VLOOKUP(B7,product_tbl[],3,FALSE)</f>
        <v>Fashion</v>
      </c>
      <c r="I7">
        <v>2832.174</v>
      </c>
      <c r="J7">
        <f>VLOOKUP(B7,product_tbl[],5,FALSE)</f>
        <v>4720.29</v>
      </c>
      <c r="K7">
        <f>VLOOKUP(B7,review_tbl[],3,FALSE)</f>
        <v>2</v>
      </c>
      <c r="L7" s="11">
        <v>5898.9922553366441</v>
      </c>
      <c r="M7" s="11">
        <f>AVERAGEIF(Table1[product_id],Master_tbl!B7:B1008,Table1[competitor_price])</f>
        <v>6068.0179999999991</v>
      </c>
      <c r="N7" s="11">
        <f>IFERROR(Table5[[#This Row],[final_sale_price]]*Table5[[#This Row],[quantity_sold ]],0)</f>
        <v>215245.22399999999</v>
      </c>
      <c r="O7" s="11">
        <f>(Table5[[#This Row],[final_sale_price]]-Table5[[#This Row],[cost_price]])*Table5[[#This Row],[quantity_sold ]]</f>
        <v>79300.871999999988</v>
      </c>
      <c r="P7" s="11">
        <f>(Table5[final_sale_price]-Table5[[#This Row],[avg_comp_price]])</f>
        <v>-1583.7424999999994</v>
      </c>
      <c r="Q7" s="15">
        <f>(Table5[[#This Row],[final_sale_price]]-Table5[[#This Row],[avg_comp_price]])/Table5[[#This Row],[avg_comp_price]]</f>
        <v>-0.26099831938534124</v>
      </c>
      <c r="R7" s="11">
        <f>Table5[[#This Row],[Profit]]/Table5[[#This Row],[Revenue]]</f>
        <v>0.36842105263157893</v>
      </c>
    </row>
    <row r="8" spans="1:18" x14ac:dyDescent="0.2">
      <c r="A8" s="4">
        <v>7</v>
      </c>
      <c r="B8" s="4">
        <v>117</v>
      </c>
      <c r="C8" s="6">
        <v>45411</v>
      </c>
      <c r="D8" s="4">
        <v>47</v>
      </c>
      <c r="E8" s="4">
        <v>2</v>
      </c>
      <c r="F8" s="12">
        <f t="shared" si="0"/>
        <v>2084.6363999999999</v>
      </c>
      <c r="G8" t="str">
        <f>VLOOKUP(B8,product_tbl[],2,FALSE)</f>
        <v>Refrigerator 117</v>
      </c>
      <c r="H8" t="str">
        <f>VLOOKUP(B8,product_tbl[],3,FALSE)</f>
        <v>Home Appliances</v>
      </c>
      <c r="I8">
        <v>1276.3079999999998</v>
      </c>
      <c r="J8">
        <f>VLOOKUP(B8,product_tbl[],5,FALSE)</f>
        <v>2127.1799999999998</v>
      </c>
      <c r="K8">
        <f>VLOOKUP(B8,review_tbl[],3,FALSE)</f>
        <v>1</v>
      </c>
      <c r="L8" s="11">
        <v>2707.9822271587777</v>
      </c>
      <c r="M8" s="11">
        <f>AVERAGEIF(Table1[product_id],Master_tbl!B8:B1009,Table1[competitor_price])</f>
        <v>892.9766666666668</v>
      </c>
      <c r="N8" s="11">
        <f>IFERROR(Table5[[#This Row],[final_sale_price]]*Table5[[#This Row],[quantity_sold ]],0)</f>
        <v>97977.910799999998</v>
      </c>
      <c r="O8" s="11">
        <f>(Table5[[#This Row],[final_sale_price]]-Table5[[#This Row],[cost_price]])*Table5[[#This Row],[quantity_sold ]]</f>
        <v>37991.434800000003</v>
      </c>
      <c r="P8" s="11">
        <f>(Table5[final_sale_price]-Table5[[#This Row],[avg_comp_price]])</f>
        <v>1191.659733333333</v>
      </c>
      <c r="Q8" s="15">
        <f>(Table5[[#This Row],[final_sale_price]]-Table5[[#This Row],[avg_comp_price]])/Table5[[#This Row],[avg_comp_price]]</f>
        <v>1.3344802589093401</v>
      </c>
      <c r="R8" s="11">
        <f>Table5[[#This Row],[Profit]]/Table5[[#This Row],[Revenue]]</f>
        <v>0.38775510204081637</v>
      </c>
    </row>
    <row r="9" spans="1:18" x14ac:dyDescent="0.2">
      <c r="A9" s="5">
        <v>8</v>
      </c>
      <c r="B9" s="5">
        <v>22</v>
      </c>
      <c r="C9" s="7">
        <v>45215</v>
      </c>
      <c r="D9" s="5">
        <v>5</v>
      </c>
      <c r="E9" s="4">
        <v>10</v>
      </c>
      <c r="F9" s="12">
        <f t="shared" si="0"/>
        <v>1471.05</v>
      </c>
      <c r="G9" t="str">
        <f>VLOOKUP(B9,product_tbl[],2,FALSE)</f>
        <v>Dress 22</v>
      </c>
      <c r="H9" t="str">
        <f>VLOOKUP(B9,product_tbl[],3,FALSE)</f>
        <v>Fashion</v>
      </c>
      <c r="I9">
        <v>980.69999999999993</v>
      </c>
      <c r="J9">
        <f>VLOOKUP(B9,product_tbl[],5,FALSE)</f>
        <v>1634.5</v>
      </c>
      <c r="K9">
        <f>VLOOKUP(B9,review_tbl[],3,FALSE)</f>
        <v>1</v>
      </c>
      <c r="L9" s="11">
        <v>2000.6675032512262</v>
      </c>
      <c r="M9" s="11">
        <f>AVERAGEIF(Table1[product_id],Master_tbl!B9:B1010,Table1[competitor_price])</f>
        <v>3187.4450000000002</v>
      </c>
      <c r="N9" s="11">
        <f>IFERROR(Table5[[#This Row],[final_sale_price]]*Table5[[#This Row],[quantity_sold ]],0)</f>
        <v>7355.25</v>
      </c>
      <c r="O9" s="11">
        <f>(Table5[[#This Row],[final_sale_price]]-Table5[[#This Row],[cost_price]])*Table5[[#This Row],[quantity_sold ]]</f>
        <v>2451.75</v>
      </c>
      <c r="P9" s="11">
        <f>(Table5[final_sale_price]-Table5[[#This Row],[avg_comp_price]])</f>
        <v>-1716.3950000000002</v>
      </c>
      <c r="Q9" s="15">
        <f>(Table5[[#This Row],[final_sale_price]]-Table5[[#This Row],[avg_comp_price]])/Table5[[#This Row],[avg_comp_price]]</f>
        <v>-0.5384861542708973</v>
      </c>
      <c r="R9" s="11">
        <f>Table5[[#This Row],[Profit]]/Table5[[#This Row],[Revenue]]</f>
        <v>0.33333333333333331</v>
      </c>
    </row>
    <row r="10" spans="1:18" x14ac:dyDescent="0.2">
      <c r="A10" s="4">
        <v>9</v>
      </c>
      <c r="B10" s="4">
        <v>82</v>
      </c>
      <c r="C10" s="6">
        <v>45795</v>
      </c>
      <c r="D10" s="4">
        <v>50</v>
      </c>
      <c r="E10" s="4">
        <v>4</v>
      </c>
      <c r="F10" s="12">
        <f t="shared" si="0"/>
        <v>1220.3712</v>
      </c>
      <c r="G10" t="str">
        <f>VLOOKUP(B10,product_tbl[],2,FALSE)</f>
        <v>Yoga Mat 82</v>
      </c>
      <c r="H10" t="str">
        <f>VLOOKUP(B10,product_tbl[],3,FALSE)</f>
        <v>Sports</v>
      </c>
      <c r="I10">
        <v>762.73199999999997</v>
      </c>
      <c r="J10">
        <f>VLOOKUP(B10,product_tbl[],5,FALSE)</f>
        <v>1271.22</v>
      </c>
      <c r="K10">
        <f>VLOOKUP(B10,review_tbl[],3,FALSE)</f>
        <v>2</v>
      </c>
      <c r="L10" s="11">
        <v>1619.9943907723007</v>
      </c>
      <c r="M10" s="11">
        <f>AVERAGEIF(Table1[product_id],Master_tbl!B10:B1011,Table1[competitor_price])</f>
        <v>2617.7080000000001</v>
      </c>
      <c r="N10" s="11">
        <f>IFERROR(Table5[[#This Row],[final_sale_price]]*Table5[[#This Row],[quantity_sold ]],0)</f>
        <v>61018.560000000005</v>
      </c>
      <c r="O10" s="11">
        <f>(Table5[[#This Row],[final_sale_price]]-Table5[[#This Row],[cost_price]])*Table5[[#This Row],[quantity_sold ]]</f>
        <v>22881.960000000003</v>
      </c>
      <c r="P10" s="11">
        <f>(Table5[final_sale_price]-Table5[[#This Row],[avg_comp_price]])</f>
        <v>-1397.3368</v>
      </c>
      <c r="Q10" s="15">
        <f>(Table5[[#This Row],[final_sale_price]]-Table5[[#This Row],[avg_comp_price]])/Table5[[#This Row],[avg_comp_price]]</f>
        <v>-0.53380163104517386</v>
      </c>
      <c r="R10" s="11">
        <f>Table5[[#This Row],[Profit]]/Table5[[#This Row],[Revenue]]</f>
        <v>0.375</v>
      </c>
    </row>
    <row r="11" spans="1:18" x14ac:dyDescent="0.2">
      <c r="A11" s="5">
        <v>10</v>
      </c>
      <c r="B11" s="5">
        <v>94</v>
      </c>
      <c r="C11" s="7">
        <v>45067</v>
      </c>
      <c r="D11" s="5">
        <v>16</v>
      </c>
      <c r="E11" s="4">
        <v>5</v>
      </c>
      <c r="F11" s="12">
        <f t="shared" si="0"/>
        <v>4420.1409999999996</v>
      </c>
      <c r="G11" t="str">
        <f>VLOOKUP(B11,product_tbl[],2,FALSE)</f>
        <v>Cricket Bat 94</v>
      </c>
      <c r="H11" t="str">
        <f>VLOOKUP(B11,product_tbl[],3,FALSE)</f>
        <v>Sports</v>
      </c>
      <c r="I11">
        <v>2791.6679999999997</v>
      </c>
      <c r="J11">
        <f>VLOOKUP(B11,product_tbl[],5,FALSE)</f>
        <v>4652.78</v>
      </c>
      <c r="K11">
        <f>VLOOKUP(B11,review_tbl[],3,FALSE)</f>
        <v>1</v>
      </c>
      <c r="L11" s="11">
        <v>6003.687204656112</v>
      </c>
      <c r="M11" s="11">
        <f>AVERAGEIF(Table1[product_id],Master_tbl!B11:B1012,Table1[competitor_price])</f>
        <v>6485.5883333333331</v>
      </c>
      <c r="N11" s="11">
        <f>IFERROR(Table5[[#This Row],[final_sale_price]]*Table5[[#This Row],[quantity_sold ]],0)</f>
        <v>70722.255999999994</v>
      </c>
      <c r="O11" s="11">
        <f>(Table5[[#This Row],[final_sale_price]]-Table5[[#This Row],[cost_price]])*Table5[[#This Row],[quantity_sold ]]</f>
        <v>26055.567999999999</v>
      </c>
      <c r="P11" s="11">
        <f>(Table5[final_sale_price]-Table5[[#This Row],[avg_comp_price]])</f>
        <v>-2065.4473333333335</v>
      </c>
      <c r="Q11" s="15">
        <f>(Table5[[#This Row],[final_sale_price]]-Table5[[#This Row],[avg_comp_price]])/Table5[[#This Row],[avg_comp_price]]</f>
        <v>-0.31846722720863413</v>
      </c>
      <c r="R11" s="11">
        <f>Table5[[#This Row],[Profit]]/Table5[[#This Row],[Revenue]]</f>
        <v>0.36842105263157898</v>
      </c>
    </row>
    <row r="12" spans="1:18" x14ac:dyDescent="0.2">
      <c r="A12" s="4">
        <v>11</v>
      </c>
      <c r="B12" s="4">
        <v>40</v>
      </c>
      <c r="C12" s="6">
        <v>45755</v>
      </c>
      <c r="D12" s="4">
        <v>3</v>
      </c>
      <c r="E12" s="4">
        <v>7</v>
      </c>
      <c r="F12" s="12">
        <f t="shared" si="0"/>
        <v>457.81109999999995</v>
      </c>
      <c r="G12" t="str">
        <f>VLOOKUP(B12,product_tbl[],2,FALSE)</f>
        <v>Dress 40</v>
      </c>
      <c r="H12" t="str">
        <f>VLOOKUP(B12,product_tbl[],3,FALSE)</f>
        <v>Fashion</v>
      </c>
      <c r="I12">
        <v>295.36199999999997</v>
      </c>
      <c r="J12">
        <f>VLOOKUP(B12,product_tbl[],5,FALSE)</f>
        <v>492.27</v>
      </c>
      <c r="K12">
        <f>VLOOKUP(B12,review_tbl[],3,FALSE)</f>
        <v>1</v>
      </c>
      <c r="L12" s="11">
        <v>564.49762636894377</v>
      </c>
      <c r="M12" s="11">
        <f>AVERAGEIF(Table1[product_id],Master_tbl!B12:B1013,Table1[competitor_price])</f>
        <v>603.70600000000002</v>
      </c>
      <c r="N12" s="11">
        <f>IFERROR(Table5[[#This Row],[final_sale_price]]*Table5[[#This Row],[quantity_sold ]],0)</f>
        <v>1373.4332999999999</v>
      </c>
      <c r="O12" s="11">
        <f>(Table5[[#This Row],[final_sale_price]]-Table5[[#This Row],[cost_price]])*Table5[[#This Row],[quantity_sold ]]</f>
        <v>487.34729999999996</v>
      </c>
      <c r="P12" s="11">
        <f>(Table5[final_sale_price]-Table5[[#This Row],[avg_comp_price]])</f>
        <v>-145.89490000000006</v>
      </c>
      <c r="Q12" s="15">
        <f>(Table5[[#This Row],[final_sale_price]]-Table5[[#This Row],[avg_comp_price]])/Table5[[#This Row],[avg_comp_price]]</f>
        <v>-0.24166547955461776</v>
      </c>
      <c r="R12" s="11">
        <f>Table5[[#This Row],[Profit]]/Table5[[#This Row],[Revenue]]</f>
        <v>0.35483870967741937</v>
      </c>
    </row>
    <row r="13" spans="1:18" x14ac:dyDescent="0.2">
      <c r="A13" s="5">
        <v>12</v>
      </c>
      <c r="B13" s="5">
        <v>50</v>
      </c>
      <c r="C13" s="7">
        <v>45784</v>
      </c>
      <c r="D13" s="5">
        <v>47</v>
      </c>
      <c r="E13" s="4">
        <v>9</v>
      </c>
      <c r="F13" s="12">
        <f t="shared" si="0"/>
        <v>1234.597</v>
      </c>
      <c r="G13" t="str">
        <f>VLOOKUP(B13,product_tbl[],2,FALSE)</f>
        <v>Doll 50</v>
      </c>
      <c r="H13" t="str">
        <f>VLOOKUP(B13,product_tbl[],3,FALSE)</f>
        <v>Toys</v>
      </c>
      <c r="I13">
        <v>814.02</v>
      </c>
      <c r="J13">
        <f>VLOOKUP(B13,product_tbl[],5,FALSE)</f>
        <v>1356.7</v>
      </c>
      <c r="K13">
        <f>VLOOKUP(B13,review_tbl[],3,FALSE)</f>
        <v>3</v>
      </c>
      <c r="L13" s="11">
        <v>1594.9774542225766</v>
      </c>
      <c r="M13" s="11">
        <f>AVERAGEIF(Table1[product_id],Master_tbl!B13:B1014,Table1[competitor_price])</f>
        <v>4909.6483333333335</v>
      </c>
      <c r="N13" s="11">
        <f>IFERROR(Table5[[#This Row],[final_sale_price]]*Table5[[#This Row],[quantity_sold ]],0)</f>
        <v>58026.059000000001</v>
      </c>
      <c r="O13" s="11">
        <f>(Table5[[#This Row],[final_sale_price]]-Table5[[#This Row],[cost_price]])*Table5[[#This Row],[quantity_sold ]]</f>
        <v>19767.118999999999</v>
      </c>
      <c r="P13" s="11">
        <f>(Table5[final_sale_price]-Table5[[#This Row],[avg_comp_price]])</f>
        <v>-3675.0513333333338</v>
      </c>
      <c r="Q13" s="15">
        <f>(Table5[[#This Row],[final_sale_price]]-Table5[[#This Row],[avg_comp_price]])/Table5[[#This Row],[avg_comp_price]]</f>
        <v>-0.74853657203553958</v>
      </c>
      <c r="R13" s="11">
        <f>Table5[[#This Row],[Profit]]/Table5[[#This Row],[Revenue]]</f>
        <v>0.34065934065934061</v>
      </c>
    </row>
    <row r="14" spans="1:18" x14ac:dyDescent="0.2">
      <c r="A14" s="4">
        <v>13</v>
      </c>
      <c r="B14" s="4">
        <v>32</v>
      </c>
      <c r="C14" s="6">
        <v>45377</v>
      </c>
      <c r="D14" s="4">
        <v>28</v>
      </c>
      <c r="E14" s="4">
        <v>4</v>
      </c>
      <c r="F14" s="12">
        <f t="shared" si="0"/>
        <v>911.00160000000005</v>
      </c>
      <c r="G14" t="str">
        <f>VLOOKUP(B14,product_tbl[],2,FALSE)</f>
        <v>Fiction Novel 32</v>
      </c>
      <c r="H14" t="str">
        <f>VLOOKUP(B14,product_tbl[],3,FALSE)</f>
        <v>Books</v>
      </c>
      <c r="I14">
        <v>569.37599999999998</v>
      </c>
      <c r="J14">
        <f>VLOOKUP(B14,product_tbl[],5,FALSE)</f>
        <v>948.96</v>
      </c>
      <c r="K14">
        <f>VLOOKUP(B14,review_tbl[],3,FALSE)</f>
        <v>4</v>
      </c>
      <c r="L14" s="11">
        <v>1086.3976234088668</v>
      </c>
      <c r="M14" s="11">
        <f>AVERAGEIF(Table1[product_id],Master_tbl!B14:B1015,Table1[competitor_price])</f>
        <v>2168.4866666666671</v>
      </c>
      <c r="N14" s="11">
        <f>IFERROR(Table5[[#This Row],[final_sale_price]]*Table5[[#This Row],[quantity_sold ]],0)</f>
        <v>25508.044800000003</v>
      </c>
      <c r="O14" s="11">
        <f>(Table5[[#This Row],[final_sale_price]]-Table5[[#This Row],[cost_price]])*Table5[[#This Row],[quantity_sold ]]</f>
        <v>9565.5168000000012</v>
      </c>
      <c r="P14" s="11">
        <f>(Table5[final_sale_price]-Table5[[#This Row],[avg_comp_price]])</f>
        <v>-1257.4850666666671</v>
      </c>
      <c r="Q14" s="15">
        <f>(Table5[[#This Row],[final_sale_price]]-Table5[[#This Row],[avg_comp_price]])/Table5[[#This Row],[avg_comp_price]]</f>
        <v>-0.57989061496035643</v>
      </c>
      <c r="R14" s="11">
        <f>Table5[[#This Row],[Profit]]/Table5[[#This Row],[Revenue]]</f>
        <v>0.375</v>
      </c>
    </row>
    <row r="15" spans="1:18" x14ac:dyDescent="0.2">
      <c r="A15" s="5">
        <v>14</v>
      </c>
      <c r="B15" s="5">
        <v>103</v>
      </c>
      <c r="C15" s="7">
        <v>45721</v>
      </c>
      <c r="D15" s="5">
        <v>48</v>
      </c>
      <c r="E15" s="4">
        <v>6</v>
      </c>
      <c r="F15" s="12">
        <f t="shared" si="0"/>
        <v>6029.2069999999994</v>
      </c>
      <c r="G15" t="str">
        <f>VLOOKUP(B15,product_tbl[],2,FALSE)</f>
        <v>Remote Car 103</v>
      </c>
      <c r="H15" t="str">
        <f>VLOOKUP(B15,product_tbl[],3,FALSE)</f>
        <v>Toys</v>
      </c>
      <c r="I15">
        <v>3848.43</v>
      </c>
      <c r="J15">
        <f>VLOOKUP(B15,product_tbl[],5,FALSE)</f>
        <v>6414.05</v>
      </c>
      <c r="K15">
        <f>VLOOKUP(B15,review_tbl[],3,FALSE)</f>
        <v>4</v>
      </c>
      <c r="L15" s="11">
        <v>7552.4105149473226</v>
      </c>
      <c r="M15" s="11">
        <f>AVERAGEIF(Table1[product_id],Master_tbl!B15:B1016,Table1[competitor_price])</f>
        <v>6457.8324999999995</v>
      </c>
      <c r="N15" s="11">
        <f>IFERROR(Table5[[#This Row],[final_sale_price]]*Table5[[#This Row],[quantity_sold ]],0)</f>
        <v>289401.93599999999</v>
      </c>
      <c r="O15" s="11">
        <f>(Table5[[#This Row],[final_sale_price]]-Table5[[#This Row],[cost_price]])*Table5[[#This Row],[quantity_sold ]]</f>
        <v>104677.29599999997</v>
      </c>
      <c r="P15" s="11">
        <f>(Table5[final_sale_price]-Table5[[#This Row],[avg_comp_price]])</f>
        <v>-428.6255000000001</v>
      </c>
      <c r="Q15" s="15">
        <f>(Table5[[#This Row],[final_sale_price]]-Table5[[#This Row],[avg_comp_price]])/Table5[[#This Row],[avg_comp_price]]</f>
        <v>-6.6372966471335407E-2</v>
      </c>
      <c r="R15" s="11">
        <f>Table5[[#This Row],[Profit]]/Table5[[#This Row],[Revenue]]</f>
        <v>0.36170212765957438</v>
      </c>
    </row>
    <row r="16" spans="1:18" x14ac:dyDescent="0.2">
      <c r="A16" s="4">
        <v>15</v>
      </c>
      <c r="B16" s="4">
        <v>90</v>
      </c>
      <c r="C16" s="6">
        <v>45842</v>
      </c>
      <c r="D16" s="4">
        <v>39</v>
      </c>
      <c r="E16" s="4">
        <v>10</v>
      </c>
      <c r="F16" s="12">
        <f t="shared" si="0"/>
        <v>1239.039</v>
      </c>
      <c r="G16" t="str">
        <f>VLOOKUP(B16,product_tbl[],2,FALSE)</f>
        <v>Washing Machine 90</v>
      </c>
      <c r="H16" t="str">
        <f>VLOOKUP(B16,product_tbl[],3,FALSE)</f>
        <v>Home Appliances</v>
      </c>
      <c r="I16">
        <v>826.02599999999995</v>
      </c>
      <c r="J16">
        <f>VLOOKUP(B16,product_tbl[],5,FALSE)</f>
        <v>1376.71</v>
      </c>
      <c r="K16">
        <f>VLOOKUP(B16,review_tbl[],3,FALSE)</f>
        <v>4</v>
      </c>
      <c r="L16" s="11">
        <v>1644.1659856048841</v>
      </c>
      <c r="M16" s="11">
        <f>AVERAGEIF(Table1[product_id],Master_tbl!B16:B1017,Table1[competitor_price])</f>
        <v>2414.7550000000001</v>
      </c>
      <c r="N16" s="11">
        <f>IFERROR(Table5[[#This Row],[final_sale_price]]*Table5[[#This Row],[quantity_sold ]],0)</f>
        <v>48322.521000000001</v>
      </c>
      <c r="O16" s="11">
        <f>(Table5[[#This Row],[final_sale_price]]-Table5[[#This Row],[cost_price]])*Table5[[#This Row],[quantity_sold ]]</f>
        <v>16107.507000000001</v>
      </c>
      <c r="P16" s="11">
        <f>(Table5[final_sale_price]-Table5[[#This Row],[avg_comp_price]])</f>
        <v>-1175.7160000000001</v>
      </c>
      <c r="Q16" s="15">
        <f>(Table5[[#This Row],[final_sale_price]]-Table5[[#This Row],[avg_comp_price]])/Table5[[#This Row],[avg_comp_price]]</f>
        <v>-0.48688831786247466</v>
      </c>
      <c r="R16" s="11">
        <f>Table5[[#This Row],[Profit]]/Table5[[#This Row],[Revenue]]</f>
        <v>0.33333333333333337</v>
      </c>
    </row>
    <row r="17" spans="1:18" x14ac:dyDescent="0.2">
      <c r="A17" s="5">
        <v>16</v>
      </c>
      <c r="B17" s="5">
        <v>138</v>
      </c>
      <c r="C17" s="7">
        <v>45213</v>
      </c>
      <c r="D17" s="5">
        <v>38</v>
      </c>
      <c r="E17" s="4">
        <v>7</v>
      </c>
      <c r="F17" s="12">
        <f t="shared" si="0"/>
        <v>2875.0856999999996</v>
      </c>
      <c r="G17" t="str">
        <f>VLOOKUP(B17,product_tbl[],2,FALSE)</f>
        <v>Running Shoes 138</v>
      </c>
      <c r="H17" t="str">
        <f>VLOOKUP(B17,product_tbl[],3,FALSE)</f>
        <v>Sports</v>
      </c>
      <c r="I17">
        <v>1854.8939999999998</v>
      </c>
      <c r="J17">
        <f>VLOOKUP(B17,product_tbl[],5,FALSE)</f>
        <v>3091.49</v>
      </c>
      <c r="K17">
        <f>VLOOKUP(B17,review_tbl[],3,FALSE)</f>
        <v>5</v>
      </c>
      <c r="L17" s="11">
        <v>3519.954309712492</v>
      </c>
      <c r="M17" s="11">
        <f>AVERAGEIF(Table1[product_id],Master_tbl!B17:B1018,Table1[competitor_price])</f>
        <v>4980.4933333333329</v>
      </c>
      <c r="N17" s="11">
        <f>IFERROR(Table5[[#This Row],[final_sale_price]]*Table5[[#This Row],[quantity_sold ]],0)</f>
        <v>109253.25659999999</v>
      </c>
      <c r="O17" s="11">
        <f>(Table5[[#This Row],[final_sale_price]]-Table5[[#This Row],[cost_price]])*Table5[[#This Row],[quantity_sold ]]</f>
        <v>38767.284599999992</v>
      </c>
      <c r="P17" s="11">
        <f>(Table5[final_sale_price]-Table5[[#This Row],[avg_comp_price]])</f>
        <v>-2105.4076333333333</v>
      </c>
      <c r="Q17" s="15">
        <f>(Table5[[#This Row],[final_sale_price]]-Table5[[#This Row],[avg_comp_price]])/Table5[[#This Row],[avg_comp_price]]</f>
        <v>-0.42273074019441181</v>
      </c>
      <c r="R17" s="11">
        <f>Table5[[#This Row],[Profit]]/Table5[[#This Row],[Revenue]]</f>
        <v>0.35483870967741932</v>
      </c>
    </row>
    <row r="18" spans="1:18" x14ac:dyDescent="0.2">
      <c r="A18" s="4">
        <v>17</v>
      </c>
      <c r="B18" s="4">
        <v>149</v>
      </c>
      <c r="C18" s="6">
        <v>45635</v>
      </c>
      <c r="D18" s="4">
        <v>8</v>
      </c>
      <c r="E18" s="4">
        <v>8</v>
      </c>
      <c r="F18" s="12">
        <f t="shared" si="0"/>
        <v>5637.5576000000001</v>
      </c>
      <c r="G18" t="str">
        <f>VLOOKUP(B18,product_tbl[],2,FALSE)</f>
        <v>Smartphone 149</v>
      </c>
      <c r="H18" t="str">
        <f>VLOOKUP(B18,product_tbl[],3,FALSE)</f>
        <v>Electronics</v>
      </c>
      <c r="I18">
        <v>3676.6679999999997</v>
      </c>
      <c r="J18">
        <f>VLOOKUP(B18,product_tbl[],5,FALSE)</f>
        <v>6127.78</v>
      </c>
      <c r="K18">
        <f>VLOOKUP(B18,review_tbl[],3,FALSE)</f>
        <v>4</v>
      </c>
      <c r="L18" s="11">
        <v>6278.6229134007526</v>
      </c>
      <c r="M18" s="11">
        <f>AVERAGEIF(Table1[product_id],Master_tbl!B18:B1019,Table1[competitor_price])</f>
        <v>3159.4639999999999</v>
      </c>
      <c r="N18" s="11">
        <f>IFERROR(Table5[[#This Row],[final_sale_price]]*Table5[[#This Row],[quantity_sold ]],0)</f>
        <v>45100.460800000001</v>
      </c>
      <c r="O18" s="11">
        <f>(Table5[[#This Row],[final_sale_price]]-Table5[[#This Row],[cost_price]])*Table5[[#This Row],[quantity_sold ]]</f>
        <v>15687.116800000003</v>
      </c>
      <c r="P18" s="11">
        <f>(Table5[final_sale_price]-Table5[[#This Row],[avg_comp_price]])</f>
        <v>2478.0936000000002</v>
      </c>
      <c r="Q18" s="15">
        <f>(Table5[[#This Row],[final_sale_price]]-Table5[[#This Row],[avg_comp_price]])/Table5[[#This Row],[avg_comp_price]]</f>
        <v>0.78433987537126559</v>
      </c>
      <c r="R18" s="11">
        <f>Table5[[#This Row],[Profit]]/Table5[[#This Row],[Revenue]]</f>
        <v>0.34782608695652178</v>
      </c>
    </row>
    <row r="19" spans="1:18" x14ac:dyDescent="0.2">
      <c r="A19" s="5">
        <v>18</v>
      </c>
      <c r="B19" s="5">
        <v>87</v>
      </c>
      <c r="C19" s="7">
        <v>45387</v>
      </c>
      <c r="D19" s="5">
        <v>29</v>
      </c>
      <c r="E19" s="4">
        <v>2</v>
      </c>
      <c r="F19" s="12">
        <f t="shared" si="0"/>
        <v>4012.2375999999999</v>
      </c>
      <c r="G19" t="str">
        <f>VLOOKUP(B19,product_tbl[],2,FALSE)</f>
        <v>Laptop 87</v>
      </c>
      <c r="H19" t="str">
        <f>VLOOKUP(B19,product_tbl[],3,FALSE)</f>
        <v>Electronics</v>
      </c>
      <c r="I19">
        <v>2456.4719999999998</v>
      </c>
      <c r="J19">
        <f>VLOOKUP(B19,product_tbl[],5,FALSE)</f>
        <v>4094.12</v>
      </c>
      <c r="K19">
        <f>VLOOKUP(B19,review_tbl[],3,FALSE)</f>
        <v>2</v>
      </c>
      <c r="L19" s="11">
        <v>5273.0848006779634</v>
      </c>
      <c r="M19" s="11">
        <f>AVERAGEIF(Table1[product_id],Master_tbl!B19:B1020,Table1[competitor_price])</f>
        <v>493.79250000000002</v>
      </c>
      <c r="N19" s="11">
        <f>IFERROR(Table5[[#This Row],[final_sale_price]]*Table5[[#This Row],[quantity_sold ]],0)</f>
        <v>116354.8904</v>
      </c>
      <c r="O19" s="11">
        <f>(Table5[[#This Row],[final_sale_price]]-Table5[[#This Row],[cost_price]])*Table5[[#This Row],[quantity_sold ]]</f>
        <v>45117.202400000002</v>
      </c>
      <c r="P19" s="11">
        <f>(Table5[final_sale_price]-Table5[[#This Row],[avg_comp_price]])</f>
        <v>3518.4450999999999</v>
      </c>
      <c r="Q19" s="15">
        <f>(Table5[[#This Row],[final_sale_price]]-Table5[[#This Row],[avg_comp_price]])/Table5[[#This Row],[avg_comp_price]]</f>
        <v>7.1253514381040617</v>
      </c>
      <c r="R19" s="11">
        <f>Table5[[#This Row],[Profit]]/Table5[[#This Row],[Revenue]]</f>
        <v>0.38775510204081631</v>
      </c>
    </row>
    <row r="20" spans="1:18" x14ac:dyDescent="0.2">
      <c r="A20" s="4">
        <v>19</v>
      </c>
      <c r="B20" s="4">
        <v>11</v>
      </c>
      <c r="C20" s="6">
        <v>45525</v>
      </c>
      <c r="D20" s="4">
        <v>41</v>
      </c>
      <c r="E20" s="4">
        <v>8</v>
      </c>
      <c r="F20" s="12">
        <f t="shared" si="0"/>
        <v>2944.1839999999997</v>
      </c>
      <c r="G20" t="str">
        <f>VLOOKUP(B20,product_tbl[],2,FALSE)</f>
        <v>Remote Car 11</v>
      </c>
      <c r="H20" t="str">
        <f>VLOOKUP(B20,product_tbl[],3,FALSE)</f>
        <v>Toys</v>
      </c>
      <c r="I20">
        <v>1920.12</v>
      </c>
      <c r="J20">
        <f>VLOOKUP(B20,product_tbl[],5,FALSE)</f>
        <v>3200.2</v>
      </c>
      <c r="K20">
        <f>VLOOKUP(B20,review_tbl[],3,FALSE)</f>
        <v>1</v>
      </c>
      <c r="L20" s="11">
        <v>3867.3816197861242</v>
      </c>
      <c r="M20" s="11">
        <f>AVERAGEIF(Table1[product_id],Master_tbl!B20:B1021,Table1[competitor_price])</f>
        <v>7089.33</v>
      </c>
      <c r="N20" s="11">
        <f>IFERROR(Table5[[#This Row],[final_sale_price]]*Table5[[#This Row],[quantity_sold ]],0)</f>
        <v>120711.54399999999</v>
      </c>
      <c r="O20" s="11">
        <f>(Table5[[#This Row],[final_sale_price]]-Table5[[#This Row],[cost_price]])*Table5[[#This Row],[quantity_sold ]]</f>
        <v>41986.623999999996</v>
      </c>
      <c r="P20" s="11">
        <f>(Table5[final_sale_price]-Table5[[#This Row],[avg_comp_price]])</f>
        <v>-4145.1460000000006</v>
      </c>
      <c r="Q20" s="15">
        <f>(Table5[[#This Row],[final_sale_price]]-Table5[[#This Row],[avg_comp_price]])/Table5[[#This Row],[avg_comp_price]]</f>
        <v>-0.58470208045047989</v>
      </c>
      <c r="R20" s="11">
        <f>Table5[[#This Row],[Profit]]/Table5[[#This Row],[Revenue]]</f>
        <v>0.34782608695652173</v>
      </c>
    </row>
    <row r="21" spans="1:18" x14ac:dyDescent="0.2">
      <c r="A21" s="5">
        <v>20</v>
      </c>
      <c r="B21" s="5">
        <v>56</v>
      </c>
      <c r="C21" s="7">
        <v>45819</v>
      </c>
      <c r="D21" s="5">
        <v>27</v>
      </c>
      <c r="E21" s="4">
        <v>4</v>
      </c>
      <c r="F21" s="12">
        <f t="shared" si="0"/>
        <v>7662.5280000000002</v>
      </c>
      <c r="G21" t="str">
        <f>VLOOKUP(B21,product_tbl[],2,FALSE)</f>
        <v>Smartwatch 56</v>
      </c>
      <c r="H21" t="str">
        <f>VLOOKUP(B21,product_tbl[],3,FALSE)</f>
        <v>Electronics</v>
      </c>
      <c r="I21">
        <v>4789.08</v>
      </c>
      <c r="J21">
        <f>VLOOKUP(B21,product_tbl[],5,FALSE)</f>
        <v>7981.8</v>
      </c>
      <c r="K21">
        <f>VLOOKUP(B21,review_tbl[],3,FALSE)</f>
        <v>5</v>
      </c>
      <c r="L21" s="11">
        <v>8646.4864141835442</v>
      </c>
      <c r="M21" s="11">
        <f>AVERAGEIF(Table1[product_id],Master_tbl!B21:B1022,Table1[competitor_price])</f>
        <v>3458.9274999999998</v>
      </c>
      <c r="N21" s="11">
        <f>IFERROR(Table5[[#This Row],[final_sale_price]]*Table5[[#This Row],[quantity_sold ]],0)</f>
        <v>206888.25599999999</v>
      </c>
      <c r="O21" s="11">
        <f>(Table5[[#This Row],[final_sale_price]]-Table5[[#This Row],[cost_price]])*Table5[[#This Row],[quantity_sold ]]</f>
        <v>77583.096000000005</v>
      </c>
      <c r="P21" s="11">
        <f>(Table5[final_sale_price]-Table5[[#This Row],[avg_comp_price]])</f>
        <v>4203.6005000000005</v>
      </c>
      <c r="Q21" s="15">
        <f>(Table5[[#This Row],[final_sale_price]]-Table5[[#This Row],[avg_comp_price]])/Table5[[#This Row],[avg_comp_price]]</f>
        <v>1.2152901441270454</v>
      </c>
      <c r="R21" s="11">
        <f>Table5[[#This Row],[Profit]]/Table5[[#This Row],[Revenue]]</f>
        <v>0.37500000000000006</v>
      </c>
    </row>
    <row r="22" spans="1:18" x14ac:dyDescent="0.2">
      <c r="A22" s="4">
        <v>21</v>
      </c>
      <c r="B22" s="4">
        <v>51</v>
      </c>
      <c r="C22" s="6">
        <v>45864</v>
      </c>
      <c r="D22" s="4">
        <v>19</v>
      </c>
      <c r="E22" s="4">
        <v>9</v>
      </c>
      <c r="F22" s="12">
        <f t="shared" si="0"/>
        <v>958.11169999999993</v>
      </c>
      <c r="G22" t="str">
        <f>VLOOKUP(B22,product_tbl[],2,FALSE)</f>
        <v>Bluetooth Speaker 51</v>
      </c>
      <c r="H22" t="str">
        <f>VLOOKUP(B22,product_tbl[],3,FALSE)</f>
        <v>Electronics</v>
      </c>
      <c r="I22">
        <v>631.72199999999987</v>
      </c>
      <c r="J22">
        <f>VLOOKUP(B22,product_tbl[],5,FALSE)</f>
        <v>1052.8699999999999</v>
      </c>
      <c r="K22">
        <f>VLOOKUP(B22,review_tbl[],3,FALSE)</f>
        <v>2</v>
      </c>
      <c r="L22" s="11">
        <v>1191.177403714194</v>
      </c>
      <c r="M22" s="11">
        <f>AVERAGEIF(Table1[product_id],Master_tbl!B22:B1023,Table1[competitor_price])</f>
        <v>5383.6833333333334</v>
      </c>
      <c r="N22" s="11">
        <f>IFERROR(Table5[[#This Row],[final_sale_price]]*Table5[[#This Row],[quantity_sold ]],0)</f>
        <v>18204.122299999999</v>
      </c>
      <c r="O22" s="11">
        <f>(Table5[[#This Row],[final_sale_price]]-Table5[[#This Row],[cost_price]])*Table5[[#This Row],[quantity_sold ]]</f>
        <v>6201.4043000000011</v>
      </c>
      <c r="P22" s="11">
        <f>(Table5[final_sale_price]-Table5[[#This Row],[avg_comp_price]])</f>
        <v>-4425.571633333333</v>
      </c>
      <c r="Q22" s="15">
        <f>(Table5[[#This Row],[final_sale_price]]-Table5[[#This Row],[avg_comp_price]])/Table5[[#This Row],[avg_comp_price]]</f>
        <v>-0.82203416496141113</v>
      </c>
      <c r="R22" s="11">
        <f>Table5[[#This Row],[Profit]]/Table5[[#This Row],[Revenue]]</f>
        <v>0.34065934065934073</v>
      </c>
    </row>
    <row r="23" spans="1:18" x14ac:dyDescent="0.2">
      <c r="A23" s="5">
        <v>22</v>
      </c>
      <c r="B23" s="5">
        <v>112</v>
      </c>
      <c r="C23" s="7">
        <v>45318</v>
      </c>
      <c r="D23" s="5">
        <v>15</v>
      </c>
      <c r="E23" s="4">
        <v>2</v>
      </c>
      <c r="F23" s="12">
        <f t="shared" si="0"/>
        <v>2679.7217999999998</v>
      </c>
      <c r="G23" t="str">
        <f>VLOOKUP(B23,product_tbl[],2,FALSE)</f>
        <v>Lipstick 112</v>
      </c>
      <c r="H23" t="str">
        <f>VLOOKUP(B23,product_tbl[],3,FALSE)</f>
        <v>Beauty</v>
      </c>
      <c r="I23">
        <v>1640.646</v>
      </c>
      <c r="J23">
        <f>VLOOKUP(B23,product_tbl[],5,FALSE)</f>
        <v>2734.41</v>
      </c>
      <c r="K23">
        <f>VLOOKUP(B23,review_tbl[],3,FALSE)</f>
        <v>1</v>
      </c>
      <c r="L23" s="11">
        <v>3529.7057069167877</v>
      </c>
      <c r="M23" s="11">
        <f>AVERAGEIF(Table1[product_id],Master_tbl!B23:B1024,Table1[competitor_price])</f>
        <v>7409.5025000000005</v>
      </c>
      <c r="N23" s="11">
        <f>IFERROR(Table5[[#This Row],[final_sale_price]]*Table5[[#This Row],[quantity_sold ]],0)</f>
        <v>40195.826999999997</v>
      </c>
      <c r="O23" s="11">
        <f>(Table5[[#This Row],[final_sale_price]]-Table5[[#This Row],[cost_price]])*Table5[[#This Row],[quantity_sold ]]</f>
        <v>15586.136999999997</v>
      </c>
      <c r="P23" s="11">
        <f>(Table5[final_sale_price]-Table5[[#This Row],[avg_comp_price]])</f>
        <v>-4729.7807000000012</v>
      </c>
      <c r="Q23" s="15">
        <f>(Table5[[#This Row],[final_sale_price]]-Table5[[#This Row],[avg_comp_price]])/Table5[[#This Row],[avg_comp_price]]</f>
        <v>-0.63833984805322641</v>
      </c>
      <c r="R23" s="11">
        <f>Table5[[#This Row],[Profit]]/Table5[[#This Row],[Revenue]]</f>
        <v>0.38775510204081626</v>
      </c>
    </row>
    <row r="24" spans="1:18" x14ac:dyDescent="0.2">
      <c r="A24" s="4">
        <v>23</v>
      </c>
      <c r="B24" s="4">
        <v>9</v>
      </c>
      <c r="C24" s="6">
        <v>45615</v>
      </c>
      <c r="D24" s="4">
        <v>2</v>
      </c>
      <c r="E24" s="4">
        <v>2</v>
      </c>
      <c r="F24" s="12">
        <f t="shared" si="0"/>
        <v>2806.5729999999999</v>
      </c>
      <c r="G24" t="str">
        <f>VLOOKUP(B24,product_tbl[],2,FALSE)</f>
        <v>Air Conditioner 9</v>
      </c>
      <c r="H24" t="str">
        <f>VLOOKUP(B24,product_tbl[],3,FALSE)</f>
        <v>Home Appliances</v>
      </c>
      <c r="I24">
        <v>1718.31</v>
      </c>
      <c r="J24">
        <f>VLOOKUP(B24,product_tbl[],5,FALSE)</f>
        <v>2863.85</v>
      </c>
      <c r="K24">
        <f>VLOOKUP(B24,review_tbl[],3,FALSE)</f>
        <v>5</v>
      </c>
      <c r="L24" s="11">
        <v>2889.339709162</v>
      </c>
      <c r="M24" s="11">
        <f>AVERAGEIF(Table1[product_id],Master_tbl!B24:B1025,Table1[competitor_price])</f>
        <v>6325.1699999999992</v>
      </c>
      <c r="N24" s="11">
        <f>IFERROR(Table5[[#This Row],[final_sale_price]]*Table5[[#This Row],[quantity_sold ]],0)</f>
        <v>5613.1459999999997</v>
      </c>
      <c r="O24" s="11">
        <f>(Table5[[#This Row],[final_sale_price]]-Table5[[#This Row],[cost_price]])*Table5[[#This Row],[quantity_sold ]]</f>
        <v>2176.5259999999998</v>
      </c>
      <c r="P24" s="11">
        <f>(Table5[final_sale_price]-Table5[[#This Row],[avg_comp_price]])</f>
        <v>-3518.5969999999993</v>
      </c>
      <c r="Q24" s="15">
        <f>(Table5[[#This Row],[final_sale_price]]-Table5[[#This Row],[avg_comp_price]])/Table5[[#This Row],[avg_comp_price]]</f>
        <v>-0.55628496941584171</v>
      </c>
      <c r="R24" s="11">
        <f>Table5[[#This Row],[Profit]]/Table5[[#This Row],[Revenue]]</f>
        <v>0.38775510204081631</v>
      </c>
    </row>
    <row r="25" spans="1:18" x14ac:dyDescent="0.2">
      <c r="A25" s="5">
        <v>24</v>
      </c>
      <c r="B25" s="5">
        <v>90</v>
      </c>
      <c r="C25" s="7">
        <v>44997</v>
      </c>
      <c r="D25" s="5">
        <v>35</v>
      </c>
      <c r="E25" s="4">
        <v>4</v>
      </c>
      <c r="F25" s="12">
        <f t="shared" si="0"/>
        <v>1321.6415999999999</v>
      </c>
      <c r="G25" t="str">
        <f>VLOOKUP(B25,product_tbl[],2,FALSE)</f>
        <v>Washing Machine 90</v>
      </c>
      <c r="H25" t="str">
        <f>VLOOKUP(B25,product_tbl[],3,FALSE)</f>
        <v>Home Appliances</v>
      </c>
      <c r="I25">
        <v>826.02599999999995</v>
      </c>
      <c r="J25">
        <f>VLOOKUP(B25,product_tbl[],5,FALSE)</f>
        <v>1376.71</v>
      </c>
      <c r="K25">
        <f>VLOOKUP(B25,review_tbl[],3,FALSE)</f>
        <v>4</v>
      </c>
      <c r="L25" s="11">
        <v>1463.8996313463581</v>
      </c>
      <c r="M25" s="11">
        <f>AVERAGEIF(Table1[product_id],Master_tbl!B25:B1026,Table1[competitor_price])</f>
        <v>2414.7550000000001</v>
      </c>
      <c r="N25" s="11">
        <f>IFERROR(Table5[[#This Row],[final_sale_price]]*Table5[[#This Row],[quantity_sold ]],0)</f>
        <v>46257.455999999998</v>
      </c>
      <c r="O25" s="11">
        <f>(Table5[[#This Row],[final_sale_price]]-Table5[[#This Row],[cost_price]])*Table5[[#This Row],[quantity_sold ]]</f>
        <v>17346.545999999998</v>
      </c>
      <c r="P25" s="11">
        <f>(Table5[final_sale_price]-Table5[[#This Row],[avg_comp_price]])</f>
        <v>-1093.1134000000002</v>
      </c>
      <c r="Q25" s="15">
        <f>(Table5[[#This Row],[final_sale_price]]-Table5[[#This Row],[avg_comp_price]])/Table5[[#This Row],[avg_comp_price]]</f>
        <v>-0.45268087238663968</v>
      </c>
      <c r="R25" s="11">
        <f>Table5[[#This Row],[Profit]]/Table5[[#This Row],[Revenue]]</f>
        <v>0.375</v>
      </c>
    </row>
    <row r="26" spans="1:18" x14ac:dyDescent="0.2">
      <c r="A26" s="4">
        <v>25</v>
      </c>
      <c r="B26" s="4">
        <v>100</v>
      </c>
      <c r="C26" s="6">
        <v>45855</v>
      </c>
      <c r="D26" s="4">
        <v>42</v>
      </c>
      <c r="E26" s="4">
        <v>3</v>
      </c>
      <c r="F26" s="12">
        <f t="shared" si="0"/>
        <v>3961.3442</v>
      </c>
      <c r="G26" t="str">
        <f>VLOOKUP(B26,product_tbl[],2,FALSE)</f>
        <v>T-Shirt 100</v>
      </c>
      <c r="H26" t="str">
        <f>VLOOKUP(B26,product_tbl[],3,FALSE)</f>
        <v>Fashion</v>
      </c>
      <c r="I26">
        <v>2450.3159999999998</v>
      </c>
      <c r="J26">
        <f>VLOOKUP(B26,product_tbl[],5,FALSE)</f>
        <v>4083.86</v>
      </c>
      <c r="K26">
        <f>VLOOKUP(B26,review_tbl[],3,FALSE)</f>
        <v>3</v>
      </c>
      <c r="L26" s="11">
        <v>5167.3688742198956</v>
      </c>
      <c r="M26" s="11">
        <f>AVERAGEIF(Table1[product_id],Master_tbl!B26:B1027,Table1[competitor_price])</f>
        <v>3659.5875000000001</v>
      </c>
      <c r="N26" s="11">
        <f>IFERROR(Table5[[#This Row],[final_sale_price]]*Table5[[#This Row],[quantity_sold ]],0)</f>
        <v>166376.4564</v>
      </c>
      <c r="O26" s="11">
        <f>(Table5[[#This Row],[final_sale_price]]-Table5[[#This Row],[cost_price]])*Table5[[#This Row],[quantity_sold ]]</f>
        <v>63463.184400000006</v>
      </c>
      <c r="P26" s="11">
        <f>(Table5[final_sale_price]-Table5[[#This Row],[avg_comp_price]])</f>
        <v>301.75669999999991</v>
      </c>
      <c r="Q26" s="15">
        <f>(Table5[[#This Row],[final_sale_price]]-Table5[[#This Row],[avg_comp_price]])/Table5[[#This Row],[avg_comp_price]]</f>
        <v>8.2456479043061526E-2</v>
      </c>
      <c r="R26" s="11">
        <f>Table5[[#This Row],[Profit]]/Table5[[#This Row],[Revenue]]</f>
        <v>0.3814432989690722</v>
      </c>
    </row>
    <row r="27" spans="1:18" x14ac:dyDescent="0.2">
      <c r="A27" s="5">
        <v>26</v>
      </c>
      <c r="B27" s="5">
        <v>125</v>
      </c>
      <c r="C27" s="7">
        <v>45752</v>
      </c>
      <c r="D27" s="5">
        <v>10</v>
      </c>
      <c r="E27" s="4">
        <v>10</v>
      </c>
      <c r="F27" s="12">
        <f t="shared" si="0"/>
        <v>3915.9629999999997</v>
      </c>
      <c r="G27" t="str">
        <f>VLOOKUP(B27,product_tbl[],2,FALSE)</f>
        <v>Air Conditioner 125</v>
      </c>
      <c r="H27" t="str">
        <f>VLOOKUP(B27,product_tbl[],3,FALSE)</f>
        <v>Home Appliances</v>
      </c>
      <c r="I27">
        <v>2610.6419999999998</v>
      </c>
      <c r="J27">
        <f>VLOOKUP(B27,product_tbl[],5,FALSE)</f>
        <v>4351.07</v>
      </c>
      <c r="K27">
        <f>VLOOKUP(B27,review_tbl[],3,FALSE)</f>
        <v>5</v>
      </c>
      <c r="L27" s="11">
        <v>4602.4790969098358</v>
      </c>
      <c r="M27" s="11">
        <f>AVERAGEIF(Table1[product_id],Master_tbl!B27:B1028,Table1[competitor_price])</f>
        <v>5094.8040000000001</v>
      </c>
      <c r="N27" s="11">
        <f>IFERROR(Table5[[#This Row],[final_sale_price]]*Table5[[#This Row],[quantity_sold ]],0)</f>
        <v>39159.629999999997</v>
      </c>
      <c r="O27" s="11">
        <f>(Table5[[#This Row],[final_sale_price]]-Table5[[#This Row],[cost_price]])*Table5[[#This Row],[quantity_sold ]]</f>
        <v>13053.21</v>
      </c>
      <c r="P27" s="11">
        <f>(Table5[final_sale_price]-Table5[[#This Row],[avg_comp_price]])</f>
        <v>-1178.8410000000003</v>
      </c>
      <c r="Q27" s="15">
        <f>(Table5[[#This Row],[final_sale_price]]-Table5[[#This Row],[avg_comp_price]])/Table5[[#This Row],[avg_comp_price]]</f>
        <v>-0.23138103055583695</v>
      </c>
      <c r="R27" s="11">
        <f>Table5[[#This Row],[Profit]]/Table5[[#This Row],[Revenue]]</f>
        <v>0.33333333333333331</v>
      </c>
    </row>
    <row r="28" spans="1:18" x14ac:dyDescent="0.2">
      <c r="A28" s="4">
        <v>27</v>
      </c>
      <c r="B28" s="4">
        <v>34</v>
      </c>
      <c r="C28" s="6">
        <v>45390</v>
      </c>
      <c r="D28" s="4">
        <v>50</v>
      </c>
      <c r="E28" s="4">
        <v>10</v>
      </c>
      <c r="F28" s="12">
        <f t="shared" si="0"/>
        <v>1173.0510000000002</v>
      </c>
      <c r="G28" t="str">
        <f>VLOOKUP(B28,product_tbl[],2,FALSE)</f>
        <v>Doll 34</v>
      </c>
      <c r="H28" t="str">
        <f>VLOOKUP(B28,product_tbl[],3,FALSE)</f>
        <v>Toys</v>
      </c>
      <c r="I28">
        <v>782.03399999999999</v>
      </c>
      <c r="J28">
        <f>VLOOKUP(B28,product_tbl[],5,FALSE)</f>
        <v>1303.3900000000001</v>
      </c>
      <c r="K28">
        <f>VLOOKUP(B28,review_tbl[],3,FALSE)</f>
        <v>2</v>
      </c>
      <c r="L28" s="11">
        <v>1411.9481890241295</v>
      </c>
      <c r="M28" s="11">
        <f>AVERAGEIF(Table1[product_id],Master_tbl!B28:B1029,Table1[competitor_price])</f>
        <v>4145.4440000000004</v>
      </c>
      <c r="N28" s="11">
        <f>IFERROR(Table5[[#This Row],[final_sale_price]]*Table5[[#This Row],[quantity_sold ]],0)</f>
        <v>58652.55000000001</v>
      </c>
      <c r="O28" s="11">
        <f>(Table5[[#This Row],[final_sale_price]]-Table5[[#This Row],[cost_price]])*Table5[[#This Row],[quantity_sold ]]</f>
        <v>19550.850000000009</v>
      </c>
      <c r="P28" s="11">
        <f>(Table5[final_sale_price]-Table5[[#This Row],[avg_comp_price]])</f>
        <v>-2972.393</v>
      </c>
      <c r="Q28" s="15">
        <f>(Table5[[#This Row],[final_sale_price]]-Table5[[#This Row],[avg_comp_price]])/Table5[[#This Row],[avg_comp_price]]</f>
        <v>-0.71702645120763897</v>
      </c>
      <c r="R28" s="11">
        <f>Table5[[#This Row],[Profit]]/Table5[[#This Row],[Revenue]]</f>
        <v>0.33333333333333343</v>
      </c>
    </row>
    <row r="29" spans="1:18" x14ac:dyDescent="0.2">
      <c r="A29" s="5">
        <v>28</v>
      </c>
      <c r="B29" s="5">
        <v>7</v>
      </c>
      <c r="C29" s="7">
        <v>45596</v>
      </c>
      <c r="D29" s="5">
        <v>33</v>
      </c>
      <c r="E29" s="4">
        <v>4</v>
      </c>
      <c r="F29" s="12">
        <f t="shared" si="0"/>
        <v>8030.2079999999987</v>
      </c>
      <c r="G29" t="str">
        <f>VLOOKUP(B29,product_tbl[],2,FALSE)</f>
        <v>Handbag 7</v>
      </c>
      <c r="H29" t="str">
        <f>VLOOKUP(B29,product_tbl[],3,FALSE)</f>
        <v>Fashion</v>
      </c>
      <c r="I29">
        <v>5018.8799999999992</v>
      </c>
      <c r="J29">
        <f>VLOOKUP(B29,product_tbl[],5,FALSE)</f>
        <v>8364.7999999999993</v>
      </c>
      <c r="K29">
        <f>VLOOKUP(B29,review_tbl[],3,FALSE)</f>
        <v>1</v>
      </c>
      <c r="L29" s="11">
        <v>8959.6505068265269</v>
      </c>
      <c r="M29" s="11">
        <f>AVERAGEIF(Table1[product_id],Master_tbl!B29:B1030,Table1[competitor_price])</f>
        <v>1679.8333333333333</v>
      </c>
      <c r="N29" s="11">
        <f>IFERROR(Table5[[#This Row],[final_sale_price]]*Table5[[#This Row],[quantity_sold ]],0)</f>
        <v>264996.86399999994</v>
      </c>
      <c r="O29" s="11">
        <f>(Table5[[#This Row],[final_sale_price]]-Table5[[#This Row],[cost_price]])*Table5[[#This Row],[quantity_sold ]]</f>
        <v>99373.823999999979</v>
      </c>
      <c r="P29" s="11">
        <f>(Table5[final_sale_price]-Table5[[#This Row],[avg_comp_price]])</f>
        <v>6350.3746666666657</v>
      </c>
      <c r="Q29" s="15">
        <f>(Table5[[#This Row],[final_sale_price]]-Table5[[#This Row],[avg_comp_price]])/Table5[[#This Row],[avg_comp_price]]</f>
        <v>3.7803599563448751</v>
      </c>
      <c r="R29" s="11">
        <f>Table5[[#This Row],[Profit]]/Table5[[#This Row],[Revenue]]</f>
        <v>0.375</v>
      </c>
    </row>
    <row r="30" spans="1:18" x14ac:dyDescent="0.2">
      <c r="A30" s="4">
        <v>29</v>
      </c>
      <c r="B30" s="4">
        <v>139</v>
      </c>
      <c r="C30" s="6">
        <v>45269</v>
      </c>
      <c r="D30" s="4">
        <v>36</v>
      </c>
      <c r="E30" s="4">
        <v>4</v>
      </c>
      <c r="F30" s="12">
        <f t="shared" si="0"/>
        <v>2487.4367999999999</v>
      </c>
      <c r="G30" t="str">
        <f>VLOOKUP(B30,product_tbl[],2,FALSE)</f>
        <v>Jacket 139</v>
      </c>
      <c r="H30" t="str">
        <f>VLOOKUP(B30,product_tbl[],3,FALSE)</f>
        <v>Fashion</v>
      </c>
      <c r="I30">
        <v>1554.6479999999999</v>
      </c>
      <c r="J30">
        <f>VLOOKUP(B30,product_tbl[],5,FALSE)</f>
        <v>2591.08</v>
      </c>
      <c r="K30">
        <f>VLOOKUP(B30,review_tbl[],3,FALSE)</f>
        <v>5</v>
      </c>
      <c r="L30" s="11">
        <v>2896.6437403686587</v>
      </c>
      <c r="M30" s="11">
        <f>AVERAGEIF(Table1[product_id],Master_tbl!B30:B1031,Table1[competitor_price])</f>
        <v>2839.1733333333336</v>
      </c>
      <c r="N30" s="11">
        <f>IFERROR(Table5[[#This Row],[final_sale_price]]*Table5[[#This Row],[quantity_sold ]],0)</f>
        <v>89547.724799999996</v>
      </c>
      <c r="O30" s="11">
        <f>(Table5[[#This Row],[final_sale_price]]-Table5[[#This Row],[cost_price]])*Table5[[#This Row],[quantity_sold ]]</f>
        <v>33580.396800000002</v>
      </c>
      <c r="P30" s="11">
        <f>(Table5[final_sale_price]-Table5[[#This Row],[avg_comp_price]])</f>
        <v>-351.73653333333368</v>
      </c>
      <c r="Q30" s="15">
        <f>(Table5[[#This Row],[final_sale_price]]-Table5[[#This Row],[avg_comp_price]])/Table5[[#This Row],[avg_comp_price]]</f>
        <v>-0.12388695300979639</v>
      </c>
      <c r="R30" s="11">
        <f>Table5[[#This Row],[Profit]]/Table5[[#This Row],[Revenue]]</f>
        <v>0.37500000000000006</v>
      </c>
    </row>
    <row r="31" spans="1:18" x14ac:dyDescent="0.2">
      <c r="A31" s="5">
        <v>30</v>
      </c>
      <c r="B31" s="5">
        <v>56</v>
      </c>
      <c r="C31" s="7">
        <v>45165</v>
      </c>
      <c r="D31" s="5">
        <v>48</v>
      </c>
      <c r="E31" s="4">
        <v>7</v>
      </c>
      <c r="F31" s="12">
        <f t="shared" si="0"/>
        <v>7423.0739999999996</v>
      </c>
      <c r="G31" t="str">
        <f>VLOOKUP(B31,product_tbl[],2,FALSE)</f>
        <v>Smartwatch 56</v>
      </c>
      <c r="H31" t="str">
        <f>VLOOKUP(B31,product_tbl[],3,FALSE)</f>
        <v>Electronics</v>
      </c>
      <c r="I31">
        <v>4789.08</v>
      </c>
      <c r="J31">
        <f>VLOOKUP(B31,product_tbl[],5,FALSE)</f>
        <v>7981.8</v>
      </c>
      <c r="K31">
        <f>VLOOKUP(B31,review_tbl[],3,FALSE)</f>
        <v>5</v>
      </c>
      <c r="L31" s="11">
        <v>8609.6429505551496</v>
      </c>
      <c r="M31" s="11">
        <f>AVERAGEIF(Table1[product_id],Master_tbl!B31:B1032,Table1[competitor_price])</f>
        <v>3458.9274999999998</v>
      </c>
      <c r="N31" s="11">
        <f>IFERROR(Table5[[#This Row],[final_sale_price]]*Table5[[#This Row],[quantity_sold ]],0)</f>
        <v>356307.55199999997</v>
      </c>
      <c r="O31" s="11">
        <f>(Table5[[#This Row],[final_sale_price]]-Table5[[#This Row],[cost_price]])*Table5[[#This Row],[quantity_sold ]]</f>
        <v>126431.71199999998</v>
      </c>
      <c r="P31" s="11">
        <f>(Table5[final_sale_price]-Table5[[#This Row],[avg_comp_price]])</f>
        <v>3964.1464999999998</v>
      </c>
      <c r="Q31" s="15">
        <f>(Table5[[#This Row],[final_sale_price]]-Table5[[#This Row],[avg_comp_price]])/Table5[[#This Row],[avg_comp_price]]</f>
        <v>1.146062327123075</v>
      </c>
      <c r="R31" s="11">
        <f>Table5[[#This Row],[Profit]]/Table5[[#This Row],[Revenue]]</f>
        <v>0.35483870967741937</v>
      </c>
    </row>
    <row r="32" spans="1:18" x14ac:dyDescent="0.2">
      <c r="A32" s="4">
        <v>31</v>
      </c>
      <c r="B32" s="4">
        <v>78</v>
      </c>
      <c r="C32" s="6">
        <v>45643</v>
      </c>
      <c r="D32" s="4">
        <v>13</v>
      </c>
      <c r="E32" s="4">
        <v>8</v>
      </c>
      <c r="F32" s="12">
        <f t="shared" si="0"/>
        <v>796.48080000000004</v>
      </c>
      <c r="G32" t="str">
        <f>VLOOKUP(B32,product_tbl[],2,FALSE)</f>
        <v>Biography 78</v>
      </c>
      <c r="H32" t="str">
        <f>VLOOKUP(B32,product_tbl[],3,FALSE)</f>
        <v>Books</v>
      </c>
      <c r="I32">
        <v>519.44399999999996</v>
      </c>
      <c r="J32">
        <f>VLOOKUP(B32,product_tbl[],5,FALSE)</f>
        <v>865.74</v>
      </c>
      <c r="K32">
        <f>VLOOKUP(B32,review_tbl[],3,FALSE)</f>
        <v>4</v>
      </c>
      <c r="L32" s="11">
        <v>990.75602535731639</v>
      </c>
      <c r="M32" s="11">
        <f>AVERAGEIF(Table1[product_id],Master_tbl!B32:B1033,Table1[competitor_price])</f>
        <v>398.392</v>
      </c>
      <c r="N32" s="11">
        <f>IFERROR(Table5[[#This Row],[final_sale_price]]*Table5[[#This Row],[quantity_sold ]],0)</f>
        <v>10354.250400000001</v>
      </c>
      <c r="O32" s="11">
        <f>(Table5[[#This Row],[final_sale_price]]-Table5[[#This Row],[cost_price]])*Table5[[#This Row],[quantity_sold ]]</f>
        <v>3601.4784000000009</v>
      </c>
      <c r="P32" s="11">
        <f>(Table5[final_sale_price]-Table5[[#This Row],[avg_comp_price]])</f>
        <v>398.08880000000005</v>
      </c>
      <c r="Q32" s="15">
        <f>(Table5[[#This Row],[final_sale_price]]-Table5[[#This Row],[avg_comp_price]])/Table5[[#This Row],[avg_comp_price]]</f>
        <v>0.99923894054097484</v>
      </c>
      <c r="R32" s="11">
        <f>Table5[[#This Row],[Profit]]/Table5[[#This Row],[Revenue]]</f>
        <v>0.34782608695652178</v>
      </c>
    </row>
    <row r="33" spans="1:18" x14ac:dyDescent="0.2">
      <c r="A33" s="5">
        <v>32</v>
      </c>
      <c r="B33" s="5">
        <v>15</v>
      </c>
      <c r="C33" s="7">
        <v>45152</v>
      </c>
      <c r="D33" s="5">
        <v>11</v>
      </c>
      <c r="E33" s="4">
        <v>10</v>
      </c>
      <c r="F33" s="12">
        <f t="shared" si="0"/>
        <v>4357.3319999999994</v>
      </c>
      <c r="G33" t="str">
        <f>VLOOKUP(B33,product_tbl[],2,FALSE)</f>
        <v>Tennis Racket 15</v>
      </c>
      <c r="H33" t="str">
        <f>VLOOKUP(B33,product_tbl[],3,FALSE)</f>
        <v>Sports</v>
      </c>
      <c r="I33">
        <v>2904.8879999999995</v>
      </c>
      <c r="J33">
        <f>VLOOKUP(B33,product_tbl[],5,FALSE)</f>
        <v>4841.4799999999996</v>
      </c>
      <c r="K33">
        <f>VLOOKUP(B33,review_tbl[],3,FALSE)</f>
        <v>4</v>
      </c>
      <c r="L33" s="11">
        <v>5684.322129519609</v>
      </c>
      <c r="M33" s="11">
        <f>AVERAGEIF(Table1[product_id],Master_tbl!B33:B1034,Table1[competitor_price])</f>
        <v>5242.3433333333332</v>
      </c>
      <c r="N33" s="11">
        <f>IFERROR(Table5[[#This Row],[final_sale_price]]*Table5[[#This Row],[quantity_sold ]],0)</f>
        <v>47930.651999999995</v>
      </c>
      <c r="O33" s="11">
        <f>(Table5[[#This Row],[final_sale_price]]-Table5[[#This Row],[cost_price]])*Table5[[#This Row],[quantity_sold ]]</f>
        <v>15976.884</v>
      </c>
      <c r="P33" s="11">
        <f>(Table5[final_sale_price]-Table5[[#This Row],[avg_comp_price]])</f>
        <v>-885.01133333333382</v>
      </c>
      <c r="Q33" s="15">
        <f>(Table5[[#This Row],[final_sale_price]]-Table5[[#This Row],[avg_comp_price]])/Table5[[#This Row],[avg_comp_price]]</f>
        <v>-0.16881979623616167</v>
      </c>
      <c r="R33" s="11">
        <f>Table5[[#This Row],[Profit]]/Table5[[#This Row],[Revenue]]</f>
        <v>0.33333333333333337</v>
      </c>
    </row>
    <row r="34" spans="1:18" x14ac:dyDescent="0.2">
      <c r="A34" s="4">
        <v>33</v>
      </c>
      <c r="B34" s="4">
        <v>15</v>
      </c>
      <c r="C34" s="6">
        <v>46020</v>
      </c>
      <c r="D34" s="4">
        <v>12</v>
      </c>
      <c r="E34" s="4">
        <v>10</v>
      </c>
      <c r="F34" s="12">
        <f t="shared" si="0"/>
        <v>4357.3319999999994</v>
      </c>
      <c r="G34" t="str">
        <f>VLOOKUP(B34,product_tbl[],2,FALSE)</f>
        <v>Tennis Racket 15</v>
      </c>
      <c r="H34" t="str">
        <f>VLOOKUP(B34,product_tbl[],3,FALSE)</f>
        <v>Sports</v>
      </c>
      <c r="I34">
        <v>2904.8879999999995</v>
      </c>
      <c r="J34">
        <f>VLOOKUP(B34,product_tbl[],5,FALSE)</f>
        <v>4841.4799999999996</v>
      </c>
      <c r="K34">
        <f>VLOOKUP(B34,review_tbl[],3,FALSE)</f>
        <v>4</v>
      </c>
      <c r="L34" s="11">
        <v>5835.1126196461673</v>
      </c>
      <c r="M34" s="11">
        <f>AVERAGEIF(Table1[product_id],Master_tbl!B34:B1035,Table1[competitor_price])</f>
        <v>5242.3433333333332</v>
      </c>
      <c r="N34" s="11">
        <f>IFERROR(Table5[[#This Row],[final_sale_price]]*Table5[[#This Row],[quantity_sold ]],0)</f>
        <v>52287.983999999997</v>
      </c>
      <c r="O34" s="11">
        <f>(Table5[[#This Row],[final_sale_price]]-Table5[[#This Row],[cost_price]])*Table5[[#This Row],[quantity_sold ]]</f>
        <v>17429.328000000001</v>
      </c>
      <c r="P34" s="11">
        <f>(Table5[final_sale_price]-Table5[[#This Row],[avg_comp_price]])</f>
        <v>-885.01133333333382</v>
      </c>
      <c r="Q34" s="15">
        <f>(Table5[[#This Row],[final_sale_price]]-Table5[[#This Row],[avg_comp_price]])/Table5[[#This Row],[avg_comp_price]]</f>
        <v>-0.16881979623616167</v>
      </c>
      <c r="R34" s="11">
        <f>Table5[[#This Row],[Profit]]/Table5[[#This Row],[Revenue]]</f>
        <v>0.33333333333333337</v>
      </c>
    </row>
    <row r="35" spans="1:18" x14ac:dyDescent="0.2">
      <c r="A35" s="5">
        <v>34</v>
      </c>
      <c r="B35" s="5">
        <v>83</v>
      </c>
      <c r="C35" s="7">
        <v>46011</v>
      </c>
      <c r="D35" s="5">
        <v>33</v>
      </c>
      <c r="E35" s="4">
        <v>4</v>
      </c>
      <c r="F35" s="12">
        <f t="shared" si="0"/>
        <v>3663.7727999999997</v>
      </c>
      <c r="G35" t="str">
        <f>VLOOKUP(B35,product_tbl[],2,FALSE)</f>
        <v>Foundation 83</v>
      </c>
      <c r="H35" t="str">
        <f>VLOOKUP(B35,product_tbl[],3,FALSE)</f>
        <v>Beauty</v>
      </c>
      <c r="I35">
        <v>2289.8579999999997</v>
      </c>
      <c r="J35">
        <f>VLOOKUP(B35,product_tbl[],5,FALSE)</f>
        <v>3816.43</v>
      </c>
      <c r="K35">
        <f>VLOOKUP(B35,review_tbl[],3,FALSE)</f>
        <v>2</v>
      </c>
      <c r="L35" s="11">
        <v>4399.3974956996908</v>
      </c>
      <c r="M35" s="11">
        <f>AVERAGEIF(Table1[product_id],Master_tbl!B35:B1036,Table1[competitor_price])</f>
        <v>2990.2349999999997</v>
      </c>
      <c r="N35" s="11">
        <f>IFERROR(Table5[[#This Row],[final_sale_price]]*Table5[[#This Row],[quantity_sold ]],0)</f>
        <v>120904.5024</v>
      </c>
      <c r="O35" s="11">
        <f>(Table5[[#This Row],[final_sale_price]]-Table5[[#This Row],[cost_price]])*Table5[[#This Row],[quantity_sold ]]</f>
        <v>45339.188399999999</v>
      </c>
      <c r="P35" s="11">
        <f>(Table5[final_sale_price]-Table5[[#This Row],[avg_comp_price]])</f>
        <v>673.53780000000006</v>
      </c>
      <c r="Q35" s="15">
        <f>(Table5[[#This Row],[final_sale_price]]-Table5[[#This Row],[avg_comp_price]])/Table5[[#This Row],[avg_comp_price]]</f>
        <v>0.22524577499761728</v>
      </c>
      <c r="R35" s="11">
        <f>Table5[[#This Row],[Profit]]/Table5[[#This Row],[Revenue]]</f>
        <v>0.375</v>
      </c>
    </row>
    <row r="36" spans="1:18" x14ac:dyDescent="0.2">
      <c r="A36" s="4">
        <v>35</v>
      </c>
      <c r="B36" s="4">
        <v>150</v>
      </c>
      <c r="C36" s="6">
        <v>45872</v>
      </c>
      <c r="D36" s="4">
        <v>1</v>
      </c>
      <c r="E36" s="4">
        <v>6</v>
      </c>
      <c r="F36" s="12">
        <f t="shared" si="0"/>
        <v>2152.3367999999996</v>
      </c>
      <c r="G36" t="str">
        <f>VLOOKUP(B36,product_tbl[],2,FALSE)</f>
        <v>Puzzle Set 150</v>
      </c>
      <c r="H36" t="str">
        <f>VLOOKUP(B36,product_tbl[],3,FALSE)</f>
        <v>Toys</v>
      </c>
      <c r="I36">
        <v>1373.8319999999999</v>
      </c>
      <c r="J36">
        <f>VLOOKUP(B36,product_tbl[],5,FALSE)</f>
        <v>2289.7199999999998</v>
      </c>
      <c r="K36">
        <f>VLOOKUP(B36,review_tbl[],3,FALSE)</f>
        <v>3</v>
      </c>
      <c r="L36" s="11">
        <v>2435.8314442435199</v>
      </c>
      <c r="M36" s="11">
        <f>AVERAGEIF(Table1[product_id],Master_tbl!B36:B1037,Table1[competitor_price])</f>
        <v>1810.3166666666666</v>
      </c>
      <c r="N36" s="11">
        <f>IFERROR(Table5[[#This Row],[final_sale_price]]*Table5[[#This Row],[quantity_sold ]],0)</f>
        <v>2152.3367999999996</v>
      </c>
      <c r="O36" s="11">
        <f>(Table5[[#This Row],[final_sale_price]]-Table5[[#This Row],[cost_price]])*Table5[[#This Row],[quantity_sold ]]</f>
        <v>778.5047999999997</v>
      </c>
      <c r="P36" s="11">
        <f>(Table5[final_sale_price]-Table5[[#This Row],[avg_comp_price]])</f>
        <v>342.02013333333298</v>
      </c>
      <c r="Q36" s="15">
        <f>(Table5[[#This Row],[final_sale_price]]-Table5[[#This Row],[avg_comp_price]])/Table5[[#This Row],[avg_comp_price]]</f>
        <v>0.18892834586950699</v>
      </c>
      <c r="R36" s="11">
        <f>Table5[[#This Row],[Profit]]/Table5[[#This Row],[Revenue]]</f>
        <v>0.36170212765957438</v>
      </c>
    </row>
    <row r="37" spans="1:18" x14ac:dyDescent="0.2">
      <c r="A37" s="5">
        <v>36</v>
      </c>
      <c r="B37" s="5">
        <v>136</v>
      </c>
      <c r="C37" s="7">
        <v>45505</v>
      </c>
      <c r="D37" s="5">
        <v>45</v>
      </c>
      <c r="E37" s="4">
        <v>6</v>
      </c>
      <c r="F37" s="12">
        <f t="shared" si="0"/>
        <v>4846.9877999999999</v>
      </c>
      <c r="G37" t="str">
        <f>VLOOKUP(B37,product_tbl[],2,FALSE)</f>
        <v>Handbag 136</v>
      </c>
      <c r="H37" t="str">
        <f>VLOOKUP(B37,product_tbl[],3,FALSE)</f>
        <v>Fashion</v>
      </c>
      <c r="I37">
        <v>3093.8219999999997</v>
      </c>
      <c r="J37">
        <f>VLOOKUP(B37,product_tbl[],5,FALSE)</f>
        <v>5156.37</v>
      </c>
      <c r="K37">
        <f>VLOOKUP(B37,review_tbl[],3,FALSE)</f>
        <v>3</v>
      </c>
      <c r="L37" s="11">
        <v>6438.1803309003426</v>
      </c>
      <c r="M37" s="11">
        <f>AVERAGEIF(Table1[product_id],Master_tbl!B37:B1038,Table1[competitor_price])</f>
        <v>5805.195999999999</v>
      </c>
      <c r="N37" s="11">
        <f>IFERROR(Table5[[#This Row],[final_sale_price]]*Table5[[#This Row],[quantity_sold ]],0)</f>
        <v>218114.451</v>
      </c>
      <c r="O37" s="11">
        <f>(Table5[[#This Row],[final_sale_price]]-Table5[[#This Row],[cost_price]])*Table5[[#This Row],[quantity_sold ]]</f>
        <v>78892.46100000001</v>
      </c>
      <c r="P37" s="11">
        <f>(Table5[final_sale_price]-Table5[[#This Row],[avg_comp_price]])</f>
        <v>-958.20819999999912</v>
      </c>
      <c r="Q37" s="15">
        <f>(Table5[[#This Row],[final_sale_price]]-Table5[[#This Row],[avg_comp_price]])/Table5[[#This Row],[avg_comp_price]]</f>
        <v>-0.16506043895847777</v>
      </c>
      <c r="R37" s="11">
        <f>Table5[[#This Row],[Profit]]/Table5[[#This Row],[Revenue]]</f>
        <v>0.36170212765957449</v>
      </c>
    </row>
    <row r="38" spans="1:18" x14ac:dyDescent="0.2">
      <c r="A38" s="4">
        <v>37</v>
      </c>
      <c r="B38" s="4">
        <v>64</v>
      </c>
      <c r="C38" s="6">
        <v>45341</v>
      </c>
      <c r="D38" s="4">
        <v>24</v>
      </c>
      <c r="E38" s="4">
        <v>10</v>
      </c>
      <c r="F38" s="12">
        <f t="shared" si="0"/>
        <v>2880</v>
      </c>
      <c r="G38" t="str">
        <f>VLOOKUP(B38,product_tbl[],2,FALSE)</f>
        <v>Children Story Book 64</v>
      </c>
      <c r="H38" t="str">
        <f>VLOOKUP(B38,product_tbl[],3,FALSE)</f>
        <v>Books</v>
      </c>
      <c r="I38">
        <v>1920</v>
      </c>
      <c r="J38">
        <f>VLOOKUP(B38,product_tbl[],5,FALSE)</f>
        <v>3200</v>
      </c>
      <c r="K38">
        <f>VLOOKUP(B38,review_tbl[],3,FALSE)</f>
        <v>2</v>
      </c>
      <c r="L38" s="11">
        <v>3784.714342506802</v>
      </c>
      <c r="M38" s="11">
        <f>AVERAGEIF(Table1[product_id],Master_tbl!B38:B1039,Table1[competitor_price])</f>
        <v>3782.0099999999998</v>
      </c>
      <c r="N38" s="11">
        <f>IFERROR(Table5[[#This Row],[final_sale_price]]*Table5[[#This Row],[quantity_sold ]],0)</f>
        <v>69120</v>
      </c>
      <c r="O38" s="11">
        <f>(Table5[[#This Row],[final_sale_price]]-Table5[[#This Row],[cost_price]])*Table5[[#This Row],[quantity_sold ]]</f>
        <v>23040</v>
      </c>
      <c r="P38" s="11">
        <f>(Table5[final_sale_price]-Table5[[#This Row],[avg_comp_price]])</f>
        <v>-902.00999999999976</v>
      </c>
      <c r="Q38" s="15">
        <f>(Table5[[#This Row],[final_sale_price]]-Table5[[#This Row],[avg_comp_price]])/Table5[[#This Row],[avg_comp_price]]</f>
        <v>-0.2385001626119444</v>
      </c>
      <c r="R38" s="11">
        <f>Table5[[#This Row],[Profit]]/Table5[[#This Row],[Revenue]]</f>
        <v>0.33333333333333331</v>
      </c>
    </row>
    <row r="39" spans="1:18" x14ac:dyDescent="0.2">
      <c r="A39" s="5">
        <v>38</v>
      </c>
      <c r="B39" s="5">
        <v>9</v>
      </c>
      <c r="C39" s="7">
        <v>45256</v>
      </c>
      <c r="D39" s="5">
        <v>10</v>
      </c>
      <c r="E39" s="4">
        <v>2</v>
      </c>
      <c r="F39" s="12">
        <f t="shared" si="0"/>
        <v>2806.5729999999999</v>
      </c>
      <c r="G39" t="str">
        <f>VLOOKUP(B39,product_tbl[],2,FALSE)</f>
        <v>Air Conditioner 9</v>
      </c>
      <c r="H39" t="str">
        <f>VLOOKUP(B39,product_tbl[],3,FALSE)</f>
        <v>Home Appliances</v>
      </c>
      <c r="I39">
        <v>1718.31</v>
      </c>
      <c r="J39">
        <f>VLOOKUP(B39,product_tbl[],5,FALSE)</f>
        <v>2863.85</v>
      </c>
      <c r="K39">
        <f>VLOOKUP(B39,review_tbl[],3,FALSE)</f>
        <v>5</v>
      </c>
      <c r="L39" s="11">
        <v>3013.7214708972192</v>
      </c>
      <c r="M39" s="11">
        <f>AVERAGEIF(Table1[product_id],Master_tbl!B39:B1040,Table1[competitor_price])</f>
        <v>6325.1699999999992</v>
      </c>
      <c r="N39" s="11">
        <f>IFERROR(Table5[[#This Row],[final_sale_price]]*Table5[[#This Row],[quantity_sold ]],0)</f>
        <v>28065.73</v>
      </c>
      <c r="O39" s="11">
        <f>(Table5[[#This Row],[final_sale_price]]-Table5[[#This Row],[cost_price]])*Table5[[#This Row],[quantity_sold ]]</f>
        <v>10882.63</v>
      </c>
      <c r="P39" s="11">
        <f>(Table5[final_sale_price]-Table5[[#This Row],[avg_comp_price]])</f>
        <v>-3518.5969999999993</v>
      </c>
      <c r="Q39" s="15">
        <f>(Table5[[#This Row],[final_sale_price]]-Table5[[#This Row],[avg_comp_price]])/Table5[[#This Row],[avg_comp_price]]</f>
        <v>-0.55628496941584171</v>
      </c>
      <c r="R39" s="11">
        <f>Table5[[#This Row],[Profit]]/Table5[[#This Row],[Revenue]]</f>
        <v>0.38775510204081631</v>
      </c>
    </row>
    <row r="40" spans="1:18" x14ac:dyDescent="0.2">
      <c r="A40" s="4">
        <v>39</v>
      </c>
      <c r="B40" s="4">
        <v>24</v>
      </c>
      <c r="C40" s="6">
        <v>45792</v>
      </c>
      <c r="D40" s="4">
        <v>10</v>
      </c>
      <c r="E40" s="4">
        <v>5</v>
      </c>
      <c r="F40" s="12">
        <f t="shared" si="0"/>
        <v>3796.694</v>
      </c>
      <c r="G40" t="str">
        <f>VLOOKUP(B40,product_tbl[],2,FALSE)</f>
        <v>Rice Pack 24</v>
      </c>
      <c r="H40" t="str">
        <f>VLOOKUP(B40,product_tbl[],3,FALSE)</f>
        <v>Grocery</v>
      </c>
      <c r="I40">
        <v>2397.9119999999998</v>
      </c>
      <c r="J40">
        <f>VLOOKUP(B40,product_tbl[],5,FALSE)</f>
        <v>3996.52</v>
      </c>
      <c r="K40">
        <f>VLOOKUP(B40,review_tbl[],3,FALSE)</f>
        <v>4</v>
      </c>
      <c r="L40" s="11">
        <v>4325.1856137396662</v>
      </c>
      <c r="M40" s="11">
        <f>AVERAGEIF(Table1[product_id],Master_tbl!B40:B1041,Table1[competitor_price])</f>
        <v>3028.7733333333331</v>
      </c>
      <c r="N40" s="11">
        <f>IFERROR(Table5[[#This Row],[final_sale_price]]*Table5[[#This Row],[quantity_sold ]],0)</f>
        <v>37966.94</v>
      </c>
      <c r="O40" s="11">
        <f>(Table5[[#This Row],[final_sale_price]]-Table5[[#This Row],[cost_price]])*Table5[[#This Row],[quantity_sold ]]</f>
        <v>13987.820000000002</v>
      </c>
      <c r="P40" s="11">
        <f>(Table5[final_sale_price]-Table5[[#This Row],[avg_comp_price]])</f>
        <v>767.92066666666688</v>
      </c>
      <c r="Q40" s="15">
        <f>(Table5[[#This Row],[final_sale_price]]-Table5[[#This Row],[avg_comp_price]])/Table5[[#This Row],[avg_comp_price]]</f>
        <v>0.25354180790463032</v>
      </c>
      <c r="R40" s="11">
        <f>Table5[[#This Row],[Profit]]/Table5[[#This Row],[Revenue]]</f>
        <v>0.36842105263157898</v>
      </c>
    </row>
    <row r="41" spans="1:18" x14ac:dyDescent="0.2">
      <c r="A41" s="5">
        <v>40</v>
      </c>
      <c r="B41" s="5">
        <v>64</v>
      </c>
      <c r="C41" s="7">
        <v>45639</v>
      </c>
      <c r="D41" s="5">
        <v>22</v>
      </c>
      <c r="E41" s="4">
        <v>10</v>
      </c>
      <c r="F41" s="12">
        <f t="shared" si="0"/>
        <v>2880</v>
      </c>
      <c r="G41" t="str">
        <f>VLOOKUP(B41,product_tbl[],2,FALSE)</f>
        <v>Children Story Book 64</v>
      </c>
      <c r="H41" t="str">
        <f>VLOOKUP(B41,product_tbl[],3,FALSE)</f>
        <v>Books</v>
      </c>
      <c r="I41">
        <v>1920</v>
      </c>
      <c r="J41">
        <f>VLOOKUP(B41,product_tbl[],5,FALSE)</f>
        <v>3200</v>
      </c>
      <c r="K41">
        <f>VLOOKUP(B41,review_tbl[],3,FALSE)</f>
        <v>2</v>
      </c>
      <c r="L41" s="11">
        <v>3550.6331518739089</v>
      </c>
      <c r="M41" s="11">
        <f>AVERAGEIF(Table1[product_id],Master_tbl!B41:B1042,Table1[competitor_price])</f>
        <v>3782.0099999999998</v>
      </c>
      <c r="N41" s="11">
        <f>IFERROR(Table5[[#This Row],[final_sale_price]]*Table5[[#This Row],[quantity_sold ]],0)</f>
        <v>63360</v>
      </c>
      <c r="O41" s="11">
        <f>(Table5[[#This Row],[final_sale_price]]-Table5[[#This Row],[cost_price]])*Table5[[#This Row],[quantity_sold ]]</f>
        <v>21120</v>
      </c>
      <c r="P41" s="11">
        <f>(Table5[final_sale_price]-Table5[[#This Row],[avg_comp_price]])</f>
        <v>-902.00999999999976</v>
      </c>
      <c r="Q41" s="15">
        <f>(Table5[[#This Row],[final_sale_price]]-Table5[[#This Row],[avg_comp_price]])/Table5[[#This Row],[avg_comp_price]]</f>
        <v>-0.2385001626119444</v>
      </c>
      <c r="R41" s="11">
        <f>Table5[[#This Row],[Profit]]/Table5[[#This Row],[Revenue]]</f>
        <v>0.33333333333333331</v>
      </c>
    </row>
    <row r="42" spans="1:18" x14ac:dyDescent="0.2">
      <c r="A42" s="4">
        <v>41</v>
      </c>
      <c r="B42" s="4">
        <v>10</v>
      </c>
      <c r="C42" s="6">
        <v>45534</v>
      </c>
      <c r="D42" s="4">
        <v>27</v>
      </c>
      <c r="E42" s="4">
        <v>6</v>
      </c>
      <c r="F42" s="12">
        <f t="shared" si="0"/>
        <v>2629.4525999999996</v>
      </c>
      <c r="G42" t="str">
        <f>VLOOKUP(B42,product_tbl[],2,FALSE)</f>
        <v>Jacket 10</v>
      </c>
      <c r="H42" t="str">
        <f>VLOOKUP(B42,product_tbl[],3,FALSE)</f>
        <v>Fashion</v>
      </c>
      <c r="I42">
        <v>1678.374</v>
      </c>
      <c r="J42">
        <f>VLOOKUP(B42,product_tbl[],5,FALSE)</f>
        <v>2797.29</v>
      </c>
      <c r="K42">
        <f>VLOOKUP(B42,review_tbl[],3,FALSE)</f>
        <v>4</v>
      </c>
      <c r="L42" s="11">
        <v>3134.9333696643325</v>
      </c>
      <c r="M42" s="11">
        <f>AVERAGEIF(Table1[product_id],Master_tbl!B42:B1043,Table1[competitor_price])</f>
        <v>6310.5433333333322</v>
      </c>
      <c r="N42" s="11">
        <f>IFERROR(Table5[[#This Row],[final_sale_price]]*Table5[[#This Row],[quantity_sold ]],0)</f>
        <v>70995.220199999996</v>
      </c>
      <c r="O42" s="11">
        <f>(Table5[[#This Row],[final_sale_price]]-Table5[[#This Row],[cost_price]])*Table5[[#This Row],[quantity_sold ]]</f>
        <v>25679.122199999991</v>
      </c>
      <c r="P42" s="11">
        <f>(Table5[final_sale_price]-Table5[[#This Row],[avg_comp_price]])</f>
        <v>-3681.0907333333325</v>
      </c>
      <c r="Q42" s="15">
        <f>(Table5[[#This Row],[final_sale_price]]-Table5[[#This Row],[avg_comp_price]])/Table5[[#This Row],[avg_comp_price]]</f>
        <v>-0.58332389762529691</v>
      </c>
      <c r="R42" s="11">
        <f>Table5[[#This Row],[Profit]]/Table5[[#This Row],[Revenue]]</f>
        <v>0.36170212765957438</v>
      </c>
    </row>
    <row r="43" spans="1:18" x14ac:dyDescent="0.2">
      <c r="A43" s="5">
        <v>42</v>
      </c>
      <c r="B43" s="5">
        <v>112</v>
      </c>
      <c r="C43" s="7">
        <v>45716</v>
      </c>
      <c r="D43" s="5">
        <v>27</v>
      </c>
      <c r="E43" s="4">
        <v>10</v>
      </c>
      <c r="F43" s="12">
        <f t="shared" si="0"/>
        <v>2460.9690000000001</v>
      </c>
      <c r="G43" t="str">
        <f>VLOOKUP(B43,product_tbl[],2,FALSE)</f>
        <v>Lipstick 112</v>
      </c>
      <c r="H43" t="str">
        <f>VLOOKUP(B43,product_tbl[],3,FALSE)</f>
        <v>Beauty</v>
      </c>
      <c r="I43">
        <v>1640.646</v>
      </c>
      <c r="J43">
        <f>VLOOKUP(B43,product_tbl[],5,FALSE)</f>
        <v>2734.41</v>
      </c>
      <c r="K43">
        <f>VLOOKUP(B43,review_tbl[],3,FALSE)</f>
        <v>1</v>
      </c>
      <c r="L43" s="11">
        <v>3353.8592969232068</v>
      </c>
      <c r="M43" s="11">
        <f>AVERAGEIF(Table1[product_id],Master_tbl!B43:B1044,Table1[competitor_price])</f>
        <v>7409.5025000000005</v>
      </c>
      <c r="N43" s="11">
        <f>IFERROR(Table5[[#This Row],[final_sale_price]]*Table5[[#This Row],[quantity_sold ]],0)</f>
        <v>66446.163</v>
      </c>
      <c r="O43" s="11">
        <f>(Table5[[#This Row],[final_sale_price]]-Table5[[#This Row],[cost_price]])*Table5[[#This Row],[quantity_sold ]]</f>
        <v>22148.721000000001</v>
      </c>
      <c r="P43" s="11">
        <f>(Table5[final_sale_price]-Table5[[#This Row],[avg_comp_price]])</f>
        <v>-4948.5335000000005</v>
      </c>
      <c r="Q43" s="15">
        <f>(Table5[[#This Row],[final_sale_price]]-Table5[[#This Row],[avg_comp_price]])/Table5[[#This Row],[avg_comp_price]]</f>
        <v>-0.66786312576316698</v>
      </c>
      <c r="R43" s="11">
        <f>Table5[[#This Row],[Profit]]/Table5[[#This Row],[Revenue]]</f>
        <v>0.33333333333333337</v>
      </c>
    </row>
    <row r="44" spans="1:18" x14ac:dyDescent="0.2">
      <c r="A44" s="4">
        <v>43</v>
      </c>
      <c r="B44" s="4">
        <v>6</v>
      </c>
      <c r="C44" s="6">
        <v>45612</v>
      </c>
      <c r="D44" s="4">
        <v>50</v>
      </c>
      <c r="E44" s="4">
        <v>3</v>
      </c>
      <c r="F44" s="12">
        <f t="shared" si="0"/>
        <v>4001.4246000000003</v>
      </c>
      <c r="G44" t="str">
        <f>VLOOKUP(B44,product_tbl[],2,FALSE)</f>
        <v>Microwave 6</v>
      </c>
      <c r="H44" t="str">
        <f>VLOOKUP(B44,product_tbl[],3,FALSE)</f>
        <v>Home Appliances</v>
      </c>
      <c r="I44">
        <v>2475.1080000000002</v>
      </c>
      <c r="J44">
        <f>VLOOKUP(B44,product_tbl[],5,FALSE)</f>
        <v>4125.18</v>
      </c>
      <c r="K44">
        <f>VLOOKUP(B44,review_tbl[],3,FALSE)</f>
        <v>5</v>
      </c>
      <c r="L44" s="11">
        <v>4948.0726964442483</v>
      </c>
      <c r="M44" s="11">
        <f>AVERAGEIF(Table1[product_id],Master_tbl!B44:B1045,Table1[competitor_price])</f>
        <v>6862.0275000000001</v>
      </c>
      <c r="N44" s="11">
        <f>IFERROR(Table5[[#This Row],[final_sale_price]]*Table5[[#This Row],[quantity_sold ]],0)</f>
        <v>200071.23</v>
      </c>
      <c r="O44" s="11">
        <f>(Table5[[#This Row],[final_sale_price]]-Table5[[#This Row],[cost_price]])*Table5[[#This Row],[quantity_sold ]]</f>
        <v>76315.83</v>
      </c>
      <c r="P44" s="11">
        <f>(Table5[final_sale_price]-Table5[[#This Row],[avg_comp_price]])</f>
        <v>-2860.6028999999999</v>
      </c>
      <c r="Q44" s="15">
        <f>(Table5[[#This Row],[final_sale_price]]-Table5[[#This Row],[avg_comp_price]])/Table5[[#This Row],[avg_comp_price]]</f>
        <v>-0.41687429844896423</v>
      </c>
      <c r="R44" s="11">
        <f>Table5[[#This Row],[Profit]]/Table5[[#This Row],[Revenue]]</f>
        <v>0.38144329896907214</v>
      </c>
    </row>
    <row r="45" spans="1:18" x14ac:dyDescent="0.2">
      <c r="A45" s="5">
        <v>44</v>
      </c>
      <c r="B45" s="5">
        <v>91</v>
      </c>
      <c r="C45" s="7">
        <v>44961</v>
      </c>
      <c r="D45" s="5">
        <v>24</v>
      </c>
      <c r="E45" s="4">
        <v>9</v>
      </c>
      <c r="F45" s="12">
        <f t="shared" si="0"/>
        <v>2878.33</v>
      </c>
      <c r="G45" t="str">
        <f>VLOOKUP(B45,product_tbl[],2,FALSE)</f>
        <v>Sunglasses 91</v>
      </c>
      <c r="H45" t="str">
        <f>VLOOKUP(B45,product_tbl[],3,FALSE)</f>
        <v>Fashion</v>
      </c>
      <c r="I45">
        <v>1897.8</v>
      </c>
      <c r="J45">
        <f>VLOOKUP(B45,product_tbl[],5,FALSE)</f>
        <v>3163</v>
      </c>
      <c r="K45">
        <f>VLOOKUP(B45,review_tbl[],3,FALSE)</f>
        <v>2</v>
      </c>
      <c r="L45" s="11">
        <v>3564.1936419637168</v>
      </c>
      <c r="M45" s="11">
        <f>AVERAGEIF(Table1[product_id],Master_tbl!B45:B1046,Table1[competitor_price])</f>
        <v>4782.2433333333329</v>
      </c>
      <c r="N45" s="11">
        <f>IFERROR(Table5[[#This Row],[final_sale_price]]*Table5[[#This Row],[quantity_sold ]],0)</f>
        <v>69079.92</v>
      </c>
      <c r="O45" s="11">
        <f>(Table5[[#This Row],[final_sale_price]]-Table5[[#This Row],[cost_price]])*Table5[[#This Row],[quantity_sold ]]</f>
        <v>23532.720000000001</v>
      </c>
      <c r="P45" s="11">
        <f>(Table5[final_sale_price]-Table5[[#This Row],[avg_comp_price]])</f>
        <v>-1903.913333333333</v>
      </c>
      <c r="Q45" s="15">
        <f>(Table5[[#This Row],[final_sale_price]]-Table5[[#This Row],[avg_comp_price]])/Table5[[#This Row],[avg_comp_price]]</f>
        <v>-0.3981213837578319</v>
      </c>
      <c r="R45" s="11">
        <f>Table5[[#This Row],[Profit]]/Table5[[#This Row],[Revenue]]</f>
        <v>0.34065934065934067</v>
      </c>
    </row>
    <row r="46" spans="1:18" x14ac:dyDescent="0.2">
      <c r="A46" s="4">
        <v>45</v>
      </c>
      <c r="B46" s="4">
        <v>60</v>
      </c>
      <c r="C46" s="6">
        <v>45910</v>
      </c>
      <c r="D46" s="4">
        <v>4</v>
      </c>
      <c r="E46" s="4">
        <v>9</v>
      </c>
      <c r="F46" s="12">
        <f t="shared" si="0"/>
        <v>2523.0751</v>
      </c>
      <c r="G46" t="str">
        <f>VLOOKUP(B46,product_tbl[],2,FALSE)</f>
        <v>Biography 60</v>
      </c>
      <c r="H46" t="str">
        <f>VLOOKUP(B46,product_tbl[],3,FALSE)</f>
        <v>Books</v>
      </c>
      <c r="I46">
        <v>1663.566</v>
      </c>
      <c r="J46">
        <f>VLOOKUP(B46,product_tbl[],5,FALSE)</f>
        <v>2772.61</v>
      </c>
      <c r="K46">
        <f>VLOOKUP(B46,review_tbl[],3,FALSE)</f>
        <v>2</v>
      </c>
      <c r="L46" s="11">
        <v>2802.0788128058703</v>
      </c>
      <c r="M46" s="11">
        <f>AVERAGEIF(Table1[product_id],Master_tbl!B46:B1047,Table1[competitor_price])</f>
        <v>3047.7533333333336</v>
      </c>
      <c r="N46" s="11">
        <f>IFERROR(Table5[[#This Row],[final_sale_price]]*Table5[[#This Row],[quantity_sold ]],0)</f>
        <v>10092.3004</v>
      </c>
      <c r="O46" s="11">
        <f>(Table5[[#This Row],[final_sale_price]]-Table5[[#This Row],[cost_price]])*Table5[[#This Row],[quantity_sold ]]</f>
        <v>3438.0364</v>
      </c>
      <c r="P46" s="11">
        <f>(Table5[final_sale_price]-Table5[[#This Row],[avg_comp_price]])</f>
        <v>-524.67823333333354</v>
      </c>
      <c r="Q46" s="15">
        <f>(Table5[[#This Row],[final_sale_price]]-Table5[[#This Row],[avg_comp_price]])/Table5[[#This Row],[avg_comp_price]]</f>
        <v>-0.17215245984473815</v>
      </c>
      <c r="R46" s="11">
        <f>Table5[[#This Row],[Profit]]/Table5[[#This Row],[Revenue]]</f>
        <v>0.34065934065934067</v>
      </c>
    </row>
    <row r="47" spans="1:18" x14ac:dyDescent="0.2">
      <c r="A47" s="5">
        <v>46</v>
      </c>
      <c r="B47" s="5">
        <v>125</v>
      </c>
      <c r="C47" s="7">
        <v>45362</v>
      </c>
      <c r="D47" s="5">
        <v>14</v>
      </c>
      <c r="E47" s="4">
        <v>7</v>
      </c>
      <c r="F47" s="12">
        <f t="shared" si="0"/>
        <v>4046.4950999999996</v>
      </c>
      <c r="G47" t="str">
        <f>VLOOKUP(B47,product_tbl[],2,FALSE)</f>
        <v>Air Conditioner 125</v>
      </c>
      <c r="H47" t="str">
        <f>VLOOKUP(B47,product_tbl[],3,FALSE)</f>
        <v>Home Appliances</v>
      </c>
      <c r="I47">
        <v>2610.6419999999998</v>
      </c>
      <c r="J47">
        <f>VLOOKUP(B47,product_tbl[],5,FALSE)</f>
        <v>4351.07</v>
      </c>
      <c r="K47">
        <f>VLOOKUP(B47,review_tbl[],3,FALSE)</f>
        <v>5</v>
      </c>
      <c r="L47" s="11">
        <v>4688.0643522763348</v>
      </c>
      <c r="M47" s="11">
        <f>AVERAGEIF(Table1[product_id],Master_tbl!B47:B1048,Table1[competitor_price])</f>
        <v>5094.8040000000001</v>
      </c>
      <c r="N47" s="11">
        <f>IFERROR(Table5[[#This Row],[final_sale_price]]*Table5[[#This Row],[quantity_sold ]],0)</f>
        <v>56650.931399999994</v>
      </c>
      <c r="O47" s="11">
        <f>(Table5[[#This Row],[final_sale_price]]-Table5[[#This Row],[cost_price]])*Table5[[#This Row],[quantity_sold ]]</f>
        <v>20101.943399999996</v>
      </c>
      <c r="P47" s="11">
        <f>(Table5[final_sale_price]-Table5[[#This Row],[avg_comp_price]])</f>
        <v>-1048.3089000000004</v>
      </c>
      <c r="Q47" s="15">
        <f>(Table5[[#This Row],[final_sale_price]]-Table5[[#This Row],[avg_comp_price]])/Table5[[#This Row],[avg_comp_price]]</f>
        <v>-0.20576039824103154</v>
      </c>
      <c r="R47" s="11">
        <f>Table5[[#This Row],[Profit]]/Table5[[#This Row],[Revenue]]</f>
        <v>0.35483870967741932</v>
      </c>
    </row>
    <row r="48" spans="1:18" x14ac:dyDescent="0.2">
      <c r="A48" s="4">
        <v>47</v>
      </c>
      <c r="B48" s="4">
        <v>147</v>
      </c>
      <c r="C48" s="6">
        <v>45306</v>
      </c>
      <c r="D48" s="4">
        <v>17</v>
      </c>
      <c r="E48" s="4">
        <v>4</v>
      </c>
      <c r="F48" s="12">
        <f t="shared" si="0"/>
        <v>4400.9471999999996</v>
      </c>
      <c r="G48" t="str">
        <f>VLOOKUP(B48,product_tbl[],2,FALSE)</f>
        <v>Cricket Bat 147</v>
      </c>
      <c r="H48" t="str">
        <f>VLOOKUP(B48,product_tbl[],3,FALSE)</f>
        <v>Sports</v>
      </c>
      <c r="I48">
        <v>2750.5919999999996</v>
      </c>
      <c r="J48">
        <f>VLOOKUP(B48,product_tbl[],5,FALSE)</f>
        <v>4584.32</v>
      </c>
      <c r="K48">
        <f>VLOOKUP(B48,review_tbl[],3,FALSE)</f>
        <v>1</v>
      </c>
      <c r="L48" s="11">
        <v>5277.8889389916885</v>
      </c>
      <c r="M48" s="11">
        <f>AVERAGEIF(Table1[product_id],Master_tbl!B48:B1049,Table1[competitor_price])</f>
        <v>769.14</v>
      </c>
      <c r="N48" s="11">
        <f>IFERROR(Table5[[#This Row],[final_sale_price]]*Table5[[#This Row],[quantity_sold ]],0)</f>
        <v>74816.102399999989</v>
      </c>
      <c r="O48" s="11">
        <f>(Table5[[#This Row],[final_sale_price]]-Table5[[#This Row],[cost_price]])*Table5[[#This Row],[quantity_sold ]]</f>
        <v>28056.038399999998</v>
      </c>
      <c r="P48" s="11">
        <f>(Table5[final_sale_price]-Table5[[#This Row],[avg_comp_price]])</f>
        <v>3631.8071999999997</v>
      </c>
      <c r="Q48" s="15">
        <f>(Table5[[#This Row],[final_sale_price]]-Table5[[#This Row],[avg_comp_price]])/Table5[[#This Row],[avg_comp_price]]</f>
        <v>4.7219065449723061</v>
      </c>
      <c r="R48" s="11">
        <f>Table5[[#This Row],[Profit]]/Table5[[#This Row],[Revenue]]</f>
        <v>0.375</v>
      </c>
    </row>
    <row r="49" spans="1:18" x14ac:dyDescent="0.2">
      <c r="A49" s="5">
        <v>48</v>
      </c>
      <c r="B49" s="5">
        <v>78</v>
      </c>
      <c r="C49" s="7">
        <v>45411</v>
      </c>
      <c r="D49" s="5">
        <v>3</v>
      </c>
      <c r="E49" s="4">
        <v>7</v>
      </c>
      <c r="F49" s="12">
        <f t="shared" si="0"/>
        <v>805.13819999999998</v>
      </c>
      <c r="G49" t="str">
        <f>VLOOKUP(B49,product_tbl[],2,FALSE)</f>
        <v>Biography 78</v>
      </c>
      <c r="H49" t="str">
        <f>VLOOKUP(B49,product_tbl[],3,FALSE)</f>
        <v>Books</v>
      </c>
      <c r="I49">
        <v>519.44399999999996</v>
      </c>
      <c r="J49">
        <f>VLOOKUP(B49,product_tbl[],5,FALSE)</f>
        <v>865.74</v>
      </c>
      <c r="K49">
        <f>VLOOKUP(B49,review_tbl[],3,FALSE)</f>
        <v>4</v>
      </c>
      <c r="L49" s="11">
        <v>962.74127951312835</v>
      </c>
      <c r="M49" s="11">
        <f>AVERAGEIF(Table1[product_id],Master_tbl!B49:B1050,Table1[competitor_price])</f>
        <v>398.392</v>
      </c>
      <c r="N49" s="11">
        <f>IFERROR(Table5[[#This Row],[final_sale_price]]*Table5[[#This Row],[quantity_sold ]],0)</f>
        <v>2415.4146000000001</v>
      </c>
      <c r="O49" s="11">
        <f>(Table5[[#This Row],[final_sale_price]]-Table5[[#This Row],[cost_price]])*Table5[[#This Row],[quantity_sold ]]</f>
        <v>857.08260000000007</v>
      </c>
      <c r="P49" s="11">
        <f>(Table5[final_sale_price]-Table5[[#This Row],[avg_comp_price]])</f>
        <v>406.74619999999999</v>
      </c>
      <c r="Q49" s="15">
        <f>(Table5[[#This Row],[final_sale_price]]-Table5[[#This Row],[avg_comp_price]])/Table5[[#This Row],[avg_comp_price]]</f>
        <v>1.0209697985903332</v>
      </c>
      <c r="R49" s="11">
        <f>Table5[[#This Row],[Profit]]/Table5[[#This Row],[Revenue]]</f>
        <v>0.35483870967741937</v>
      </c>
    </row>
    <row r="50" spans="1:18" x14ac:dyDescent="0.2">
      <c r="A50" s="4">
        <v>49</v>
      </c>
      <c r="B50" s="4">
        <v>138</v>
      </c>
      <c r="C50" s="6">
        <v>45785</v>
      </c>
      <c r="D50" s="4">
        <v>42</v>
      </c>
      <c r="E50" s="4">
        <v>10</v>
      </c>
      <c r="F50" s="12">
        <f t="shared" si="0"/>
        <v>2782.3409999999999</v>
      </c>
      <c r="G50" t="str">
        <f>VLOOKUP(B50,product_tbl[],2,FALSE)</f>
        <v>Running Shoes 138</v>
      </c>
      <c r="H50" t="str">
        <f>VLOOKUP(B50,product_tbl[],3,FALSE)</f>
        <v>Sports</v>
      </c>
      <c r="I50">
        <v>1854.8939999999998</v>
      </c>
      <c r="J50">
        <f>VLOOKUP(B50,product_tbl[],5,FALSE)</f>
        <v>3091.49</v>
      </c>
      <c r="K50">
        <f>VLOOKUP(B50,review_tbl[],3,FALSE)</f>
        <v>5</v>
      </c>
      <c r="L50" s="11">
        <v>3153.8614469437111</v>
      </c>
      <c r="M50" s="11">
        <f>AVERAGEIF(Table1[product_id],Master_tbl!B50:B1051,Table1[competitor_price])</f>
        <v>4980.4933333333329</v>
      </c>
      <c r="N50" s="11">
        <f>IFERROR(Table5[[#This Row],[final_sale_price]]*Table5[[#This Row],[quantity_sold ]],0)</f>
        <v>116858.322</v>
      </c>
      <c r="O50" s="11">
        <f>(Table5[[#This Row],[final_sale_price]]-Table5[[#This Row],[cost_price]])*Table5[[#This Row],[quantity_sold ]]</f>
        <v>38952.774000000005</v>
      </c>
      <c r="P50" s="11">
        <f>(Table5[final_sale_price]-Table5[[#This Row],[avg_comp_price]])</f>
        <v>-2198.152333333333</v>
      </c>
      <c r="Q50" s="15">
        <f>(Table5[[#This Row],[final_sale_price]]-Table5[[#This Row],[avg_comp_price]])/Table5[[#This Row],[avg_comp_price]]</f>
        <v>-0.44135232922039846</v>
      </c>
      <c r="R50" s="11">
        <f>Table5[[#This Row],[Profit]]/Table5[[#This Row],[Revenue]]</f>
        <v>0.33333333333333337</v>
      </c>
    </row>
    <row r="51" spans="1:18" x14ac:dyDescent="0.2">
      <c r="A51" s="5">
        <v>50</v>
      </c>
      <c r="B51" s="5">
        <v>25</v>
      </c>
      <c r="C51" s="7">
        <v>45297</v>
      </c>
      <c r="D51" s="5">
        <v>11</v>
      </c>
      <c r="E51" s="4">
        <v>4</v>
      </c>
      <c r="F51" s="12">
        <f t="shared" si="0"/>
        <v>545.44319999999993</v>
      </c>
      <c r="G51" t="str">
        <f>VLOOKUP(B51,product_tbl[],2,FALSE)</f>
        <v>Tennis Racket 25</v>
      </c>
      <c r="H51" t="str">
        <f>VLOOKUP(B51,product_tbl[],3,FALSE)</f>
        <v>Sports</v>
      </c>
      <c r="I51">
        <v>340.90199999999999</v>
      </c>
      <c r="J51">
        <f>VLOOKUP(B51,product_tbl[],5,FALSE)</f>
        <v>568.16999999999996</v>
      </c>
      <c r="K51">
        <f>VLOOKUP(B51,review_tbl[],3,FALSE)</f>
        <v>1</v>
      </c>
      <c r="L51" s="11">
        <v>681.85416908000354</v>
      </c>
      <c r="M51" s="11">
        <f>AVERAGEIF(Table1[product_id],Master_tbl!B51:B1052,Table1[competitor_price])</f>
        <v>2024.2300000000002</v>
      </c>
      <c r="N51" s="11">
        <f>IFERROR(Table5[[#This Row],[final_sale_price]]*Table5[[#This Row],[quantity_sold ]],0)</f>
        <v>5999.8751999999995</v>
      </c>
      <c r="O51" s="11">
        <f>(Table5[[#This Row],[final_sale_price]]-Table5[[#This Row],[cost_price]])*Table5[[#This Row],[quantity_sold ]]</f>
        <v>2249.9531999999995</v>
      </c>
      <c r="P51" s="11">
        <f>(Table5[final_sale_price]-Table5[[#This Row],[avg_comp_price]])</f>
        <v>-1478.7868000000003</v>
      </c>
      <c r="Q51" s="15">
        <f>(Table5[[#This Row],[final_sale_price]]-Table5[[#This Row],[avg_comp_price]])/Table5[[#This Row],[avg_comp_price]]</f>
        <v>-0.73054287309248467</v>
      </c>
      <c r="R51" s="11">
        <f>Table5[[#This Row],[Profit]]/Table5[[#This Row],[Revenue]]</f>
        <v>0.37499999999999994</v>
      </c>
    </row>
    <row r="52" spans="1:18" x14ac:dyDescent="0.2">
      <c r="A52" s="4">
        <v>51</v>
      </c>
      <c r="B52" s="4">
        <v>86</v>
      </c>
      <c r="C52" s="6">
        <v>45060</v>
      </c>
      <c r="D52" s="4">
        <v>4</v>
      </c>
      <c r="E52" s="4">
        <v>3</v>
      </c>
      <c r="F52" s="12">
        <f t="shared" si="0"/>
        <v>3029.2226999999998</v>
      </c>
      <c r="G52" t="str">
        <f>VLOOKUP(B52,product_tbl[],2,FALSE)</f>
        <v>Building Blocks 86</v>
      </c>
      <c r="H52" t="str">
        <f>VLOOKUP(B52,product_tbl[],3,FALSE)</f>
        <v>Toys</v>
      </c>
      <c r="I52">
        <v>1873.7459999999999</v>
      </c>
      <c r="J52">
        <f>VLOOKUP(B52,product_tbl[],5,FALSE)</f>
        <v>3122.91</v>
      </c>
      <c r="K52">
        <f>VLOOKUP(B52,review_tbl[],3,FALSE)</f>
        <v>4</v>
      </c>
      <c r="L52" s="11">
        <v>3941.7149074100921</v>
      </c>
      <c r="M52" s="11">
        <f>AVERAGEIF(Table1[product_id],Master_tbl!B52:B1053,Table1[competitor_price])</f>
        <v>2919.076</v>
      </c>
      <c r="N52" s="11">
        <f>IFERROR(Table5[[#This Row],[final_sale_price]]*Table5[[#This Row],[quantity_sold ]],0)</f>
        <v>12116.890799999999</v>
      </c>
      <c r="O52" s="11">
        <f>(Table5[[#This Row],[final_sale_price]]-Table5[[#This Row],[cost_price]])*Table5[[#This Row],[quantity_sold ]]</f>
        <v>4621.9067999999997</v>
      </c>
      <c r="P52" s="11">
        <f>(Table5[final_sale_price]-Table5[[#This Row],[avg_comp_price]])</f>
        <v>110.14669999999978</v>
      </c>
      <c r="Q52" s="15">
        <f>(Table5[[#This Row],[final_sale_price]]-Table5[[#This Row],[avg_comp_price]])/Table5[[#This Row],[avg_comp_price]]</f>
        <v>3.7733412901890799E-2</v>
      </c>
      <c r="R52" s="11">
        <f>Table5[[#This Row],[Profit]]/Table5[[#This Row],[Revenue]]</f>
        <v>0.38144329896907214</v>
      </c>
    </row>
    <row r="53" spans="1:18" x14ac:dyDescent="0.2">
      <c r="A53" s="5">
        <v>52</v>
      </c>
      <c r="B53" s="5">
        <v>133</v>
      </c>
      <c r="C53" s="7">
        <v>45465</v>
      </c>
      <c r="D53" s="5">
        <v>22</v>
      </c>
      <c r="E53" s="4">
        <v>8</v>
      </c>
      <c r="F53" s="12">
        <f t="shared" si="0"/>
        <v>6076.5079999999998</v>
      </c>
      <c r="G53" t="str">
        <f>VLOOKUP(B53,product_tbl[],2,FALSE)</f>
        <v>Puzzle Set 133</v>
      </c>
      <c r="H53" t="str">
        <f>VLOOKUP(B53,product_tbl[],3,FALSE)</f>
        <v>Toys</v>
      </c>
      <c r="I53">
        <v>3962.9399999999996</v>
      </c>
      <c r="J53">
        <f>VLOOKUP(B53,product_tbl[],5,FALSE)</f>
        <v>6604.9</v>
      </c>
      <c r="K53">
        <f>VLOOKUP(B53,review_tbl[],3,FALSE)</f>
        <v>4</v>
      </c>
      <c r="L53" s="11">
        <v>6922.120712923107</v>
      </c>
      <c r="M53" s="11">
        <f>AVERAGEIF(Table1[product_id],Master_tbl!B53:B1054,Table1[competitor_price])</f>
        <v>4666.1933333333336</v>
      </c>
      <c r="N53" s="11">
        <f>IFERROR(Table5[[#This Row],[final_sale_price]]*Table5[[#This Row],[quantity_sold ]],0)</f>
        <v>133683.17600000001</v>
      </c>
      <c r="O53" s="11">
        <f>(Table5[[#This Row],[final_sale_price]]-Table5[[#This Row],[cost_price]])*Table5[[#This Row],[quantity_sold ]]</f>
        <v>46498.496000000006</v>
      </c>
      <c r="P53" s="11">
        <f>(Table5[final_sale_price]-Table5[[#This Row],[avg_comp_price]])</f>
        <v>1410.3146666666662</v>
      </c>
      <c r="Q53" s="15">
        <f>(Table5[[#This Row],[final_sale_price]]-Table5[[#This Row],[avg_comp_price]])/Table5[[#This Row],[avg_comp_price]]</f>
        <v>0.30224094158121739</v>
      </c>
      <c r="R53" s="11">
        <f>Table5[[#This Row],[Profit]]/Table5[[#This Row],[Revenue]]</f>
        <v>0.34782608695652178</v>
      </c>
    </row>
    <row r="54" spans="1:18" x14ac:dyDescent="0.2">
      <c r="A54" s="4">
        <v>53</v>
      </c>
      <c r="B54" s="4">
        <v>63</v>
      </c>
      <c r="C54" s="6">
        <v>45937</v>
      </c>
      <c r="D54" s="4">
        <v>38</v>
      </c>
      <c r="E54" s="4">
        <v>4</v>
      </c>
      <c r="F54" s="12">
        <f t="shared" si="0"/>
        <v>6721.6992</v>
      </c>
      <c r="G54" t="str">
        <f>VLOOKUP(B54,product_tbl[],2,FALSE)</f>
        <v>Sugar 63</v>
      </c>
      <c r="H54" t="str">
        <f>VLOOKUP(B54,product_tbl[],3,FALSE)</f>
        <v>Grocery</v>
      </c>
      <c r="I54">
        <v>4201.0619999999999</v>
      </c>
      <c r="J54">
        <f>VLOOKUP(B54,product_tbl[],5,FALSE)</f>
        <v>7001.77</v>
      </c>
      <c r="K54">
        <f>VLOOKUP(B54,review_tbl[],3,FALSE)</f>
        <v>4</v>
      </c>
      <c r="L54" s="11">
        <v>8552.5376828962453</v>
      </c>
      <c r="M54" s="11">
        <f>AVERAGEIF(Table1[product_id],Master_tbl!B54:B1055,Table1[competitor_price])</f>
        <v>4859.22</v>
      </c>
      <c r="N54" s="11">
        <f>IFERROR(Table5[[#This Row],[final_sale_price]]*Table5[[#This Row],[quantity_sold ]],0)</f>
        <v>255424.56959999999</v>
      </c>
      <c r="O54" s="11">
        <f>(Table5[[#This Row],[final_sale_price]]-Table5[[#This Row],[cost_price]])*Table5[[#This Row],[quantity_sold ]]</f>
        <v>95784.213600000003</v>
      </c>
      <c r="P54" s="11">
        <f>(Table5[final_sale_price]-Table5[[#This Row],[avg_comp_price]])</f>
        <v>1862.4791999999998</v>
      </c>
      <c r="Q54" s="15">
        <f>(Table5[[#This Row],[final_sale_price]]-Table5[[#This Row],[avg_comp_price]])/Table5[[#This Row],[avg_comp_price]]</f>
        <v>0.38328768814748038</v>
      </c>
      <c r="R54" s="11">
        <f>Table5[[#This Row],[Profit]]/Table5[[#This Row],[Revenue]]</f>
        <v>0.37500000000000006</v>
      </c>
    </row>
    <row r="55" spans="1:18" x14ac:dyDescent="0.2">
      <c r="A55" s="5">
        <v>54</v>
      </c>
      <c r="B55" s="5">
        <v>85</v>
      </c>
      <c r="C55" s="7">
        <v>45466</v>
      </c>
      <c r="D55" s="5">
        <v>21</v>
      </c>
      <c r="E55" s="4">
        <v>6</v>
      </c>
      <c r="F55" s="12">
        <f t="shared" si="0"/>
        <v>3527.8481999999999</v>
      </c>
      <c r="G55" t="str">
        <f>VLOOKUP(B55,product_tbl[],2,FALSE)</f>
        <v>Handbag 85</v>
      </c>
      <c r="H55" t="str">
        <f>VLOOKUP(B55,product_tbl[],3,FALSE)</f>
        <v>Fashion</v>
      </c>
      <c r="I55">
        <v>2251.8180000000002</v>
      </c>
      <c r="J55">
        <f>VLOOKUP(B55,product_tbl[],5,FALSE)</f>
        <v>3753.03</v>
      </c>
      <c r="K55">
        <f>VLOOKUP(B55,review_tbl[],3,FALSE)</f>
        <v>1</v>
      </c>
      <c r="L55" s="11">
        <v>4127.6575495593706</v>
      </c>
      <c r="M55" s="11">
        <f>AVERAGEIF(Table1[product_id],Master_tbl!B55:B1056,Table1[competitor_price])</f>
        <v>3340.25</v>
      </c>
      <c r="N55" s="11">
        <f>IFERROR(Table5[[#This Row],[final_sale_price]]*Table5[[#This Row],[quantity_sold ]],0)</f>
        <v>74084.8122</v>
      </c>
      <c r="O55" s="11">
        <f>(Table5[[#This Row],[final_sale_price]]-Table5[[#This Row],[cost_price]])*Table5[[#This Row],[quantity_sold ]]</f>
        <v>26796.634199999993</v>
      </c>
      <c r="P55" s="11">
        <f>(Table5[final_sale_price]-Table5[[#This Row],[avg_comp_price]])</f>
        <v>187.59819999999991</v>
      </c>
      <c r="Q55" s="15">
        <f>(Table5[[#This Row],[final_sale_price]]-Table5[[#This Row],[avg_comp_price]])/Table5[[#This Row],[avg_comp_price]]</f>
        <v>5.6162921936980734E-2</v>
      </c>
      <c r="R55" s="11">
        <f>Table5[[#This Row],[Profit]]/Table5[[#This Row],[Revenue]]</f>
        <v>0.36170212765957438</v>
      </c>
    </row>
    <row r="56" spans="1:18" x14ac:dyDescent="0.2">
      <c r="A56" s="4">
        <v>55</v>
      </c>
      <c r="B56" s="4">
        <v>59</v>
      </c>
      <c r="C56" s="6">
        <v>45049</v>
      </c>
      <c r="D56" s="4">
        <v>26</v>
      </c>
      <c r="E56" s="4">
        <v>4</v>
      </c>
      <c r="F56" s="12">
        <f t="shared" si="0"/>
        <v>3984.4895999999999</v>
      </c>
      <c r="G56" t="str">
        <f>VLOOKUP(B56,product_tbl[],2,FALSE)</f>
        <v>Smartwatch 59</v>
      </c>
      <c r="H56" t="str">
        <f>VLOOKUP(B56,product_tbl[],3,FALSE)</f>
        <v>Electronics</v>
      </c>
      <c r="I56">
        <v>2490.306</v>
      </c>
      <c r="J56">
        <f>VLOOKUP(B56,product_tbl[],5,FALSE)</f>
        <v>4150.51</v>
      </c>
      <c r="K56">
        <f>VLOOKUP(B56,review_tbl[],3,FALSE)</f>
        <v>3</v>
      </c>
      <c r="L56" s="11">
        <v>4880.7409081700916</v>
      </c>
      <c r="M56" s="11">
        <f>AVERAGEIF(Table1[product_id],Master_tbl!B56:B1057,Table1[competitor_price])</f>
        <v>6105.9674999999997</v>
      </c>
      <c r="N56" s="11">
        <f>IFERROR(Table5[[#This Row],[final_sale_price]]*Table5[[#This Row],[quantity_sold ]],0)</f>
        <v>103596.72959999999</v>
      </c>
      <c r="O56" s="11">
        <f>(Table5[[#This Row],[final_sale_price]]-Table5[[#This Row],[cost_price]])*Table5[[#This Row],[quantity_sold ]]</f>
        <v>38848.773599999993</v>
      </c>
      <c r="P56" s="11">
        <f>(Table5[final_sale_price]-Table5[[#This Row],[avg_comp_price]])</f>
        <v>-2121.4778999999999</v>
      </c>
      <c r="Q56" s="15">
        <f>(Table5[[#This Row],[final_sale_price]]-Table5[[#This Row],[avg_comp_price]])/Table5[[#This Row],[avg_comp_price]]</f>
        <v>-0.34744336585479696</v>
      </c>
      <c r="R56" s="11">
        <f>Table5[[#This Row],[Profit]]/Table5[[#This Row],[Revenue]]</f>
        <v>0.37499999999999994</v>
      </c>
    </row>
    <row r="57" spans="1:18" x14ac:dyDescent="0.2">
      <c r="A57" s="5">
        <v>56</v>
      </c>
      <c r="B57" s="5">
        <v>104</v>
      </c>
      <c r="C57" s="7">
        <v>45637</v>
      </c>
      <c r="D57" s="5">
        <v>34</v>
      </c>
      <c r="E57" s="4">
        <v>7</v>
      </c>
      <c r="F57" s="12">
        <f t="shared" si="0"/>
        <v>3007.2015000000001</v>
      </c>
      <c r="G57" t="str">
        <f>VLOOKUP(B57,product_tbl[],2,FALSE)</f>
        <v>Children Story Book 104</v>
      </c>
      <c r="H57" t="str">
        <f>VLOOKUP(B57,product_tbl[],3,FALSE)</f>
        <v>Books</v>
      </c>
      <c r="I57">
        <v>1940.13</v>
      </c>
      <c r="J57">
        <f>VLOOKUP(B57,product_tbl[],5,FALSE)</f>
        <v>3233.55</v>
      </c>
      <c r="K57">
        <f>VLOOKUP(B57,review_tbl[],3,FALSE)</f>
        <v>1</v>
      </c>
      <c r="L57" s="11">
        <v>3875.5372944373962</v>
      </c>
      <c r="M57" s="11">
        <f>AVERAGEIF(Table1[product_id],Master_tbl!B57:B1058,Table1[competitor_price])</f>
        <v>5121.3466666666664</v>
      </c>
      <c r="N57" s="11">
        <f>IFERROR(Table5[[#This Row],[final_sale_price]]*Table5[[#This Row],[quantity_sold ]],0)</f>
        <v>102244.85100000001</v>
      </c>
      <c r="O57" s="11">
        <f>(Table5[[#This Row],[final_sale_price]]-Table5[[#This Row],[cost_price]])*Table5[[#This Row],[quantity_sold ]]</f>
        <v>36280.430999999997</v>
      </c>
      <c r="P57" s="11">
        <f>(Table5[final_sale_price]-Table5[[#This Row],[avg_comp_price]])</f>
        <v>-2114.1451666666662</v>
      </c>
      <c r="Q57" s="15">
        <f>(Table5[[#This Row],[final_sale_price]]-Table5[[#This Row],[avg_comp_price]])/Table5[[#This Row],[avg_comp_price]]</f>
        <v>-0.41281040012913262</v>
      </c>
      <c r="R57" s="11">
        <f>Table5[[#This Row],[Profit]]/Table5[[#This Row],[Revenue]]</f>
        <v>0.35483870967741932</v>
      </c>
    </row>
    <row r="58" spans="1:18" x14ac:dyDescent="0.2">
      <c r="A58" s="4">
        <v>57</v>
      </c>
      <c r="B58" s="4">
        <v>119</v>
      </c>
      <c r="C58" s="6">
        <v>44934</v>
      </c>
      <c r="D58" s="4">
        <v>27</v>
      </c>
      <c r="E58" s="4">
        <v>7</v>
      </c>
      <c r="F58" s="12">
        <f t="shared" si="0"/>
        <v>1805.9763</v>
      </c>
      <c r="G58" t="str">
        <f>VLOOKUP(B58,product_tbl[],2,FALSE)</f>
        <v>Wheat Flour 119</v>
      </c>
      <c r="H58" t="str">
        <f>VLOOKUP(B58,product_tbl[],3,FALSE)</f>
        <v>Grocery</v>
      </c>
      <c r="I58">
        <v>1165.146</v>
      </c>
      <c r="J58">
        <f>VLOOKUP(B58,product_tbl[],5,FALSE)</f>
        <v>1941.91</v>
      </c>
      <c r="K58">
        <f>VLOOKUP(B58,review_tbl[],3,FALSE)</f>
        <v>4</v>
      </c>
      <c r="L58" s="11">
        <v>2278.0249643119819</v>
      </c>
      <c r="M58" s="11">
        <f>AVERAGEIF(Table1[product_id],Master_tbl!B58:B1059,Table1[competitor_price])</f>
        <v>4902.3539999999994</v>
      </c>
      <c r="N58" s="11">
        <f>IFERROR(Table5[[#This Row],[final_sale_price]]*Table5[[#This Row],[quantity_sold ]],0)</f>
        <v>48761.360099999998</v>
      </c>
      <c r="O58" s="11">
        <f>(Table5[[#This Row],[final_sale_price]]-Table5[[#This Row],[cost_price]])*Table5[[#This Row],[quantity_sold ]]</f>
        <v>17302.418100000003</v>
      </c>
      <c r="P58" s="11">
        <f>(Table5[final_sale_price]-Table5[[#This Row],[avg_comp_price]])</f>
        <v>-3096.3776999999991</v>
      </c>
      <c r="Q58" s="15">
        <f>(Table5[[#This Row],[final_sale_price]]-Table5[[#This Row],[avg_comp_price]])/Table5[[#This Row],[avg_comp_price]]</f>
        <v>-0.63161038554131332</v>
      </c>
      <c r="R58" s="11">
        <f>Table5[[#This Row],[Profit]]/Table5[[#This Row],[Revenue]]</f>
        <v>0.35483870967741943</v>
      </c>
    </row>
    <row r="59" spans="1:18" x14ac:dyDescent="0.2">
      <c r="A59" s="5">
        <v>58</v>
      </c>
      <c r="B59" s="5">
        <v>18</v>
      </c>
      <c r="C59" s="7">
        <v>45638</v>
      </c>
      <c r="D59" s="5">
        <v>40</v>
      </c>
      <c r="E59" s="4">
        <v>9</v>
      </c>
      <c r="F59" s="12">
        <f t="shared" si="0"/>
        <v>7676.714500000001</v>
      </c>
      <c r="G59" t="str">
        <f>VLOOKUP(B59,product_tbl[],2,FALSE)</f>
        <v>Coffee Beans 18</v>
      </c>
      <c r="H59" t="str">
        <f>VLOOKUP(B59,product_tbl[],3,FALSE)</f>
        <v>Grocery</v>
      </c>
      <c r="I59">
        <v>5061.5700000000006</v>
      </c>
      <c r="J59">
        <f>VLOOKUP(B59,product_tbl[],5,FALSE)</f>
        <v>8435.9500000000007</v>
      </c>
      <c r="K59">
        <f>VLOOKUP(B59,review_tbl[],3,FALSE)</f>
        <v>3</v>
      </c>
      <c r="L59" s="11">
        <v>10746.349470772069</v>
      </c>
      <c r="M59" s="11">
        <f>AVERAGEIF(Table1[product_id],Master_tbl!B59:B1060,Table1[competitor_price])</f>
        <v>1552.9240000000002</v>
      </c>
      <c r="N59" s="11">
        <f>IFERROR(Table5[[#This Row],[final_sale_price]]*Table5[[#This Row],[quantity_sold ]],0)</f>
        <v>307068.58</v>
      </c>
      <c r="O59" s="11">
        <f>(Table5[[#This Row],[final_sale_price]]-Table5[[#This Row],[cost_price]])*Table5[[#This Row],[quantity_sold ]]</f>
        <v>104605.78000000001</v>
      </c>
      <c r="P59" s="11">
        <f>(Table5[final_sale_price]-Table5[[#This Row],[avg_comp_price]])</f>
        <v>6123.790500000001</v>
      </c>
      <c r="Q59" s="15">
        <f>(Table5[[#This Row],[final_sale_price]]-Table5[[#This Row],[avg_comp_price]])/Table5[[#This Row],[avg_comp_price]]</f>
        <v>3.9433935595045218</v>
      </c>
      <c r="R59" s="11">
        <f>Table5[[#This Row],[Profit]]/Table5[[#This Row],[Revenue]]</f>
        <v>0.34065934065934067</v>
      </c>
    </row>
    <row r="60" spans="1:18" x14ac:dyDescent="0.2">
      <c r="A60" s="4">
        <v>59</v>
      </c>
      <c r="B60" s="4">
        <v>94</v>
      </c>
      <c r="C60" s="6">
        <v>44990</v>
      </c>
      <c r="D60" s="4">
        <v>15</v>
      </c>
      <c r="E60" s="4">
        <v>10</v>
      </c>
      <c r="F60" s="12">
        <f t="shared" si="0"/>
        <v>4187.5019999999995</v>
      </c>
      <c r="G60" t="str">
        <f>VLOOKUP(B60,product_tbl[],2,FALSE)</f>
        <v>Cricket Bat 94</v>
      </c>
      <c r="H60" t="str">
        <f>VLOOKUP(B60,product_tbl[],3,FALSE)</f>
        <v>Sports</v>
      </c>
      <c r="I60">
        <v>2791.6679999999997</v>
      </c>
      <c r="J60">
        <f>VLOOKUP(B60,product_tbl[],5,FALSE)</f>
        <v>4652.78</v>
      </c>
      <c r="K60">
        <f>VLOOKUP(B60,review_tbl[],3,FALSE)</f>
        <v>1</v>
      </c>
      <c r="L60" s="11">
        <v>5405.4495165566495</v>
      </c>
      <c r="M60" s="11">
        <f>AVERAGEIF(Table1[product_id],Master_tbl!B60:B1061,Table1[competitor_price])</f>
        <v>6485.5883333333331</v>
      </c>
      <c r="N60" s="11">
        <f>IFERROR(Table5[[#This Row],[final_sale_price]]*Table5[[#This Row],[quantity_sold ]],0)</f>
        <v>62812.529999999992</v>
      </c>
      <c r="O60" s="11">
        <f>(Table5[[#This Row],[final_sale_price]]-Table5[[#This Row],[cost_price]])*Table5[[#This Row],[quantity_sold ]]</f>
        <v>20937.509999999998</v>
      </c>
      <c r="P60" s="11">
        <f>(Table5[final_sale_price]-Table5[[#This Row],[avg_comp_price]])</f>
        <v>-2298.0863333333336</v>
      </c>
      <c r="Q60" s="15">
        <f>(Table5[[#This Row],[final_sale_price]]-Table5[[#This Row],[avg_comp_price]])/Table5[[#This Row],[avg_comp_price]]</f>
        <v>-0.35433737314502184</v>
      </c>
      <c r="R60" s="11">
        <f>Table5[[#This Row],[Profit]]/Table5[[#This Row],[Revenue]]</f>
        <v>0.33333333333333337</v>
      </c>
    </row>
    <row r="61" spans="1:18" x14ac:dyDescent="0.2">
      <c r="A61" s="5">
        <v>60</v>
      </c>
      <c r="B61" s="5">
        <v>55</v>
      </c>
      <c r="C61" s="7">
        <v>45549</v>
      </c>
      <c r="D61" s="5">
        <v>19</v>
      </c>
      <c r="E61" s="4">
        <v>4</v>
      </c>
      <c r="F61" s="12">
        <f t="shared" si="0"/>
        <v>925.71839999999997</v>
      </c>
      <c r="G61" t="str">
        <f>VLOOKUP(B61,product_tbl[],2,FALSE)</f>
        <v>Face Wash 55</v>
      </c>
      <c r="H61" t="str">
        <f>VLOOKUP(B61,product_tbl[],3,FALSE)</f>
        <v>Beauty</v>
      </c>
      <c r="I61">
        <v>578.57399999999996</v>
      </c>
      <c r="J61">
        <f>VLOOKUP(B61,product_tbl[],5,FALSE)</f>
        <v>964.29</v>
      </c>
      <c r="K61">
        <f>VLOOKUP(B61,review_tbl[],3,FALSE)</f>
        <v>2</v>
      </c>
      <c r="L61" s="11">
        <v>1001.1952774425527</v>
      </c>
      <c r="M61" s="11">
        <f>AVERAGEIF(Table1[product_id],Master_tbl!B61:B1062,Table1[competitor_price])</f>
        <v>1508.7675000000002</v>
      </c>
      <c r="N61" s="11">
        <f>IFERROR(Table5[[#This Row],[final_sale_price]]*Table5[[#This Row],[quantity_sold ]],0)</f>
        <v>17588.649600000001</v>
      </c>
      <c r="O61" s="11">
        <f>(Table5[[#This Row],[final_sale_price]]-Table5[[#This Row],[cost_price]])*Table5[[#This Row],[quantity_sold ]]</f>
        <v>6595.7436000000007</v>
      </c>
      <c r="P61" s="11">
        <f>(Table5[final_sale_price]-Table5[[#This Row],[avg_comp_price]])</f>
        <v>-583.04910000000018</v>
      </c>
      <c r="Q61" s="15">
        <f>(Table5[[#This Row],[final_sale_price]]-Table5[[#This Row],[avg_comp_price]])/Table5[[#This Row],[avg_comp_price]]</f>
        <v>-0.38644065437517716</v>
      </c>
      <c r="R61" s="11">
        <f>Table5[[#This Row],[Profit]]/Table5[[#This Row],[Revenue]]</f>
        <v>0.375</v>
      </c>
    </row>
    <row r="62" spans="1:18" x14ac:dyDescent="0.2">
      <c r="A62" s="4">
        <v>61</v>
      </c>
      <c r="B62" s="4">
        <v>77</v>
      </c>
      <c r="C62" s="6">
        <v>45150</v>
      </c>
      <c r="D62" s="4">
        <v>45</v>
      </c>
      <c r="E62" s="4">
        <v>10</v>
      </c>
      <c r="F62" s="12">
        <f t="shared" si="0"/>
        <v>1805.3820000000001</v>
      </c>
      <c r="G62" t="str">
        <f>VLOOKUP(B62,product_tbl[],2,FALSE)</f>
        <v>Coffee Beans 77</v>
      </c>
      <c r="H62" t="str">
        <f>VLOOKUP(B62,product_tbl[],3,FALSE)</f>
        <v>Grocery</v>
      </c>
      <c r="I62">
        <v>1203.588</v>
      </c>
      <c r="J62">
        <f>VLOOKUP(B62,product_tbl[],5,FALSE)</f>
        <v>2005.98</v>
      </c>
      <c r="K62">
        <f>VLOOKUP(B62,review_tbl[],3,FALSE)</f>
        <v>1</v>
      </c>
      <c r="L62" s="11">
        <v>2576.8295930966124</v>
      </c>
      <c r="M62" s="11">
        <f>AVERAGEIF(Table1[product_id],Master_tbl!B62:B1063,Table1[competitor_price])</f>
        <v>4139.2699999999995</v>
      </c>
      <c r="N62" s="11">
        <f>IFERROR(Table5[[#This Row],[final_sale_price]]*Table5[[#This Row],[quantity_sold ]],0)</f>
        <v>81242.19</v>
      </c>
      <c r="O62" s="11">
        <f>(Table5[[#This Row],[final_sale_price]]-Table5[[#This Row],[cost_price]])*Table5[[#This Row],[quantity_sold ]]</f>
        <v>27080.730000000003</v>
      </c>
      <c r="P62" s="11">
        <f>(Table5[final_sale_price]-Table5[[#This Row],[avg_comp_price]])</f>
        <v>-2333.8879999999995</v>
      </c>
      <c r="Q62" s="15">
        <f>(Table5[[#This Row],[final_sale_price]]-Table5[[#This Row],[avg_comp_price]])/Table5[[#This Row],[avg_comp_price]]</f>
        <v>-0.56384048395006847</v>
      </c>
      <c r="R62" s="11">
        <f>Table5[[#This Row],[Profit]]/Table5[[#This Row],[Revenue]]</f>
        <v>0.33333333333333337</v>
      </c>
    </row>
    <row r="63" spans="1:18" x14ac:dyDescent="0.2">
      <c r="A63" s="5">
        <v>62</v>
      </c>
      <c r="B63" s="5">
        <v>39</v>
      </c>
      <c r="C63" s="7">
        <v>45320</v>
      </c>
      <c r="D63" s="5">
        <v>43</v>
      </c>
      <c r="E63" s="4">
        <v>2</v>
      </c>
      <c r="F63" s="12">
        <f t="shared" si="0"/>
        <v>3143.4283999999998</v>
      </c>
      <c r="G63" t="str">
        <f>VLOOKUP(B63,product_tbl[],2,FALSE)</f>
        <v>Perfume 39</v>
      </c>
      <c r="H63" t="str">
        <f>VLOOKUP(B63,product_tbl[],3,FALSE)</f>
        <v>Beauty</v>
      </c>
      <c r="I63">
        <v>1924.5479999999998</v>
      </c>
      <c r="J63">
        <f>VLOOKUP(B63,product_tbl[],5,FALSE)</f>
        <v>3207.58</v>
      </c>
      <c r="K63">
        <f>VLOOKUP(B63,review_tbl[],3,FALSE)</f>
        <v>1</v>
      </c>
      <c r="L63" s="11">
        <v>4134.8487595159449</v>
      </c>
      <c r="M63" s="11">
        <f>AVERAGEIF(Table1[product_id],Master_tbl!B63:B1064,Table1[competitor_price])</f>
        <v>9555.6079999999984</v>
      </c>
      <c r="N63" s="11">
        <f>IFERROR(Table5[[#This Row],[final_sale_price]]*Table5[[#This Row],[quantity_sold ]],0)</f>
        <v>135167.42119999998</v>
      </c>
      <c r="O63" s="11">
        <f>(Table5[[#This Row],[final_sale_price]]-Table5[[#This Row],[cost_price]])*Table5[[#This Row],[quantity_sold ]]</f>
        <v>52411.857199999999</v>
      </c>
      <c r="P63" s="11">
        <f>(Table5[final_sale_price]-Table5[[#This Row],[avg_comp_price]])</f>
        <v>-6412.1795999999986</v>
      </c>
      <c r="Q63" s="15">
        <f>(Table5[[#This Row],[final_sale_price]]-Table5[[#This Row],[avg_comp_price]])/Table5[[#This Row],[avg_comp_price]]</f>
        <v>-0.671038368254537</v>
      </c>
      <c r="R63" s="11">
        <f>Table5[[#This Row],[Profit]]/Table5[[#This Row],[Revenue]]</f>
        <v>0.38775510204081637</v>
      </c>
    </row>
    <row r="64" spans="1:18" x14ac:dyDescent="0.2">
      <c r="A64" s="4">
        <v>63</v>
      </c>
      <c r="B64" s="4">
        <v>54</v>
      </c>
      <c r="C64" s="6">
        <v>45591</v>
      </c>
      <c r="D64" s="4">
        <v>21</v>
      </c>
      <c r="E64" s="4">
        <v>4</v>
      </c>
      <c r="F64" s="12">
        <f t="shared" si="0"/>
        <v>892.36799999999994</v>
      </c>
      <c r="G64" t="str">
        <f>VLOOKUP(B64,product_tbl[],2,FALSE)</f>
        <v>Cookbook 54</v>
      </c>
      <c r="H64" t="str">
        <f>VLOOKUP(B64,product_tbl[],3,FALSE)</f>
        <v>Books</v>
      </c>
      <c r="I64">
        <v>557.7299999999999</v>
      </c>
      <c r="J64">
        <f>VLOOKUP(B64,product_tbl[],5,FALSE)</f>
        <v>929.55</v>
      </c>
      <c r="K64">
        <f>VLOOKUP(B64,review_tbl[],3,FALSE)</f>
        <v>3</v>
      </c>
      <c r="L64" s="11">
        <v>999.93451222733222</v>
      </c>
      <c r="M64" s="11">
        <f>AVERAGEIF(Table1[product_id],Master_tbl!B64:B1065,Table1[competitor_price])</f>
        <v>2958.2974999999997</v>
      </c>
      <c r="N64" s="11">
        <f>IFERROR(Table5[[#This Row],[final_sale_price]]*Table5[[#This Row],[quantity_sold ]],0)</f>
        <v>18739.727999999999</v>
      </c>
      <c r="O64" s="11">
        <f>(Table5[[#This Row],[final_sale_price]]-Table5[[#This Row],[cost_price]])*Table5[[#This Row],[quantity_sold ]]</f>
        <v>7027.398000000001</v>
      </c>
      <c r="P64" s="11">
        <f>(Table5[final_sale_price]-Table5[[#This Row],[avg_comp_price]])</f>
        <v>-2065.9294999999997</v>
      </c>
      <c r="Q64" s="15">
        <f>(Table5[[#This Row],[final_sale_price]]-Table5[[#This Row],[avg_comp_price]])/Table5[[#This Row],[avg_comp_price]]</f>
        <v>-0.69835082509450108</v>
      </c>
      <c r="R64" s="11">
        <f>Table5[[#This Row],[Profit]]/Table5[[#This Row],[Revenue]]</f>
        <v>0.37500000000000006</v>
      </c>
    </row>
    <row r="65" spans="1:18" x14ac:dyDescent="0.2">
      <c r="A65" s="5">
        <v>64</v>
      </c>
      <c r="B65" s="5">
        <v>103</v>
      </c>
      <c r="C65" s="7">
        <v>45533</v>
      </c>
      <c r="D65" s="5">
        <v>6</v>
      </c>
      <c r="E65" s="4">
        <v>10</v>
      </c>
      <c r="F65" s="12">
        <f t="shared" si="0"/>
        <v>5772.6450000000004</v>
      </c>
      <c r="G65" t="str">
        <f>VLOOKUP(B65,product_tbl[],2,FALSE)</f>
        <v>Remote Car 103</v>
      </c>
      <c r="H65" t="str">
        <f>VLOOKUP(B65,product_tbl[],3,FALSE)</f>
        <v>Toys</v>
      </c>
      <c r="I65">
        <v>3848.43</v>
      </c>
      <c r="J65">
        <f>VLOOKUP(B65,product_tbl[],5,FALSE)</f>
        <v>6414.05</v>
      </c>
      <c r="K65">
        <f>VLOOKUP(B65,review_tbl[],3,FALSE)</f>
        <v>4</v>
      </c>
      <c r="L65" s="11">
        <v>6417.5200217033835</v>
      </c>
      <c r="M65" s="11">
        <f>AVERAGEIF(Table1[product_id],Master_tbl!B65:B1066,Table1[competitor_price])</f>
        <v>6457.8324999999995</v>
      </c>
      <c r="N65" s="11">
        <f>IFERROR(Table5[[#This Row],[final_sale_price]]*Table5[[#This Row],[quantity_sold ]],0)</f>
        <v>34635.870000000003</v>
      </c>
      <c r="O65" s="11">
        <f>(Table5[[#This Row],[final_sale_price]]-Table5[[#This Row],[cost_price]])*Table5[[#This Row],[quantity_sold ]]</f>
        <v>11545.290000000005</v>
      </c>
      <c r="P65" s="11">
        <f>(Table5[final_sale_price]-Table5[[#This Row],[avg_comp_price]])</f>
        <v>-685.18749999999909</v>
      </c>
      <c r="Q65" s="15">
        <f>(Table5[[#This Row],[final_sale_price]]-Table5[[#This Row],[avg_comp_price]])/Table5[[#This Row],[avg_comp_price]]</f>
        <v>-0.10610177640872524</v>
      </c>
      <c r="R65" s="11">
        <f>Table5[[#This Row],[Profit]]/Table5[[#This Row],[Revenue]]</f>
        <v>0.33333333333333343</v>
      </c>
    </row>
    <row r="66" spans="1:18" x14ac:dyDescent="0.2">
      <c r="A66" s="4">
        <v>65</v>
      </c>
      <c r="B66" s="4">
        <v>125</v>
      </c>
      <c r="C66" s="6">
        <v>45692</v>
      </c>
      <c r="D66" s="4">
        <v>24</v>
      </c>
      <c r="E66" s="4">
        <v>4</v>
      </c>
      <c r="F66" s="12">
        <f t="shared" ref="F66:F129" si="1">J66*(1-E66/100)</f>
        <v>4177.0271999999995</v>
      </c>
      <c r="G66" t="str">
        <f>VLOOKUP(B66,product_tbl[],2,FALSE)</f>
        <v>Air Conditioner 125</v>
      </c>
      <c r="H66" t="str">
        <f>VLOOKUP(B66,product_tbl[],3,FALSE)</f>
        <v>Home Appliances</v>
      </c>
      <c r="I66">
        <v>2610.6419999999998</v>
      </c>
      <c r="J66">
        <f>VLOOKUP(B66,product_tbl[],5,FALSE)</f>
        <v>4351.07</v>
      </c>
      <c r="K66">
        <f>VLOOKUP(B66,review_tbl[],3,FALSE)</f>
        <v>5</v>
      </c>
      <c r="L66" s="11">
        <v>5469.9757295197842</v>
      </c>
      <c r="M66" s="11">
        <f>AVERAGEIF(Table1[product_id],Master_tbl!B66:B1067,Table1[competitor_price])</f>
        <v>5094.8040000000001</v>
      </c>
      <c r="N66" s="11">
        <f>IFERROR(Table5[[#This Row],[final_sale_price]]*Table5[[#This Row],[quantity_sold ]],0)</f>
        <v>100248.65279999998</v>
      </c>
      <c r="O66" s="11">
        <f>(Table5[[#This Row],[final_sale_price]]-Table5[[#This Row],[cost_price]])*Table5[[#This Row],[quantity_sold ]]</f>
        <v>37593.244799999993</v>
      </c>
      <c r="P66" s="11">
        <f>(Table5[final_sale_price]-Table5[[#This Row],[avg_comp_price]])</f>
        <v>-917.77680000000055</v>
      </c>
      <c r="Q66" s="15">
        <f>(Table5[[#This Row],[final_sale_price]]-Table5[[#This Row],[avg_comp_price]])/Table5[[#This Row],[avg_comp_price]]</f>
        <v>-0.18013976592622613</v>
      </c>
      <c r="R66" s="11">
        <f>Table5[[#This Row],[Profit]]/Table5[[#This Row],[Revenue]]</f>
        <v>0.375</v>
      </c>
    </row>
    <row r="67" spans="1:18" x14ac:dyDescent="0.2">
      <c r="A67" s="5">
        <v>66</v>
      </c>
      <c r="B67" s="5">
        <v>95</v>
      </c>
      <c r="C67" s="7">
        <v>45994</v>
      </c>
      <c r="D67" s="5">
        <v>21</v>
      </c>
      <c r="E67" s="4">
        <v>4</v>
      </c>
      <c r="F67" s="12">
        <f t="shared" si="1"/>
        <v>6689.9232000000002</v>
      </c>
      <c r="G67" t="str">
        <f>VLOOKUP(B67,product_tbl[],2,FALSE)</f>
        <v>Coffee Beans 95</v>
      </c>
      <c r="H67" t="str">
        <f>VLOOKUP(B67,product_tbl[],3,FALSE)</f>
        <v>Grocery</v>
      </c>
      <c r="I67">
        <v>4181.2020000000002</v>
      </c>
      <c r="J67">
        <f>VLOOKUP(B67,product_tbl[],5,FALSE)</f>
        <v>6968.67</v>
      </c>
      <c r="K67">
        <f>VLOOKUP(B67,review_tbl[],3,FALSE)</f>
        <v>2</v>
      </c>
      <c r="L67" s="11">
        <v>8658.1771764859641</v>
      </c>
      <c r="M67" s="11">
        <f>AVERAGEIF(Table1[product_id],Master_tbl!B67:B1068,Table1[competitor_price])</f>
        <v>2797.7239999999997</v>
      </c>
      <c r="N67" s="11">
        <f>IFERROR(Table5[[#This Row],[final_sale_price]]*Table5[[#This Row],[quantity_sold ]],0)</f>
        <v>140488.3872</v>
      </c>
      <c r="O67" s="11">
        <f>(Table5[[#This Row],[final_sale_price]]-Table5[[#This Row],[cost_price]])*Table5[[#This Row],[quantity_sold ]]</f>
        <v>52683.145199999999</v>
      </c>
      <c r="P67" s="11">
        <f>(Table5[final_sale_price]-Table5[[#This Row],[avg_comp_price]])</f>
        <v>3892.1992000000005</v>
      </c>
      <c r="Q67" s="15">
        <f>(Table5[[#This Row],[final_sale_price]]-Table5[[#This Row],[avg_comp_price]])/Table5[[#This Row],[avg_comp_price]]</f>
        <v>1.3912019913329552</v>
      </c>
      <c r="R67" s="11">
        <f>Table5[[#This Row],[Profit]]/Table5[[#This Row],[Revenue]]</f>
        <v>0.375</v>
      </c>
    </row>
    <row r="68" spans="1:18" x14ac:dyDescent="0.2">
      <c r="A68" s="4">
        <v>67</v>
      </c>
      <c r="B68" s="4">
        <v>31</v>
      </c>
      <c r="C68" s="6">
        <v>45664</v>
      </c>
      <c r="D68" s="4">
        <v>50</v>
      </c>
      <c r="E68" s="4">
        <v>8</v>
      </c>
      <c r="F68" s="12">
        <f t="shared" si="1"/>
        <v>941.38080000000002</v>
      </c>
      <c r="G68" t="str">
        <f>VLOOKUP(B68,product_tbl[],2,FALSE)</f>
        <v>Bluetooth Speaker 31</v>
      </c>
      <c r="H68" t="str">
        <f>VLOOKUP(B68,product_tbl[],3,FALSE)</f>
        <v>Electronics</v>
      </c>
      <c r="I68">
        <v>613.94399999999996</v>
      </c>
      <c r="J68">
        <f>VLOOKUP(B68,product_tbl[],5,FALSE)</f>
        <v>1023.24</v>
      </c>
      <c r="K68">
        <f>VLOOKUP(B68,review_tbl[],3,FALSE)</f>
        <v>2</v>
      </c>
      <c r="L68" s="11">
        <v>1032.6482069924298</v>
      </c>
      <c r="M68" s="11">
        <f>AVERAGEIF(Table1[product_id],Master_tbl!B68:B1069,Table1[competitor_price])</f>
        <v>1065.8219999999999</v>
      </c>
      <c r="N68" s="11">
        <f>IFERROR(Table5[[#This Row],[final_sale_price]]*Table5[[#This Row],[quantity_sold ]],0)</f>
        <v>47069.04</v>
      </c>
      <c r="O68" s="11">
        <f>(Table5[[#This Row],[final_sale_price]]-Table5[[#This Row],[cost_price]])*Table5[[#This Row],[quantity_sold ]]</f>
        <v>16371.840000000004</v>
      </c>
      <c r="P68" s="11">
        <f>(Table5[final_sale_price]-Table5[[#This Row],[avg_comp_price]])</f>
        <v>-124.44119999999987</v>
      </c>
      <c r="Q68" s="15">
        <f>(Table5[[#This Row],[final_sale_price]]-Table5[[#This Row],[avg_comp_price]])/Table5[[#This Row],[avg_comp_price]]</f>
        <v>-0.11675608122181741</v>
      </c>
      <c r="R68" s="11">
        <f>Table5[[#This Row],[Profit]]/Table5[[#This Row],[Revenue]]</f>
        <v>0.34782608695652184</v>
      </c>
    </row>
    <row r="69" spans="1:18" x14ac:dyDescent="0.2">
      <c r="A69" s="5">
        <v>68</v>
      </c>
      <c r="B69" s="5">
        <v>68</v>
      </c>
      <c r="C69" s="7">
        <v>45397</v>
      </c>
      <c r="D69" s="5">
        <v>13</v>
      </c>
      <c r="E69" s="4">
        <v>2</v>
      </c>
      <c r="F69" s="12">
        <f t="shared" si="1"/>
        <v>5922.6201999999994</v>
      </c>
      <c r="G69" t="str">
        <f>VLOOKUP(B69,product_tbl[],2,FALSE)</f>
        <v>Lipstick 68</v>
      </c>
      <c r="H69" t="str">
        <f>VLOOKUP(B69,product_tbl[],3,FALSE)</f>
        <v>Beauty</v>
      </c>
      <c r="I69">
        <v>3626.0939999999996</v>
      </c>
      <c r="J69">
        <f>VLOOKUP(B69,product_tbl[],5,FALSE)</f>
        <v>6043.49</v>
      </c>
      <c r="K69">
        <f>VLOOKUP(B69,review_tbl[],3,FALSE)</f>
        <v>2</v>
      </c>
      <c r="L69" s="11">
        <v>6146.6667638192603</v>
      </c>
      <c r="M69" s="11">
        <f>AVERAGEIF(Table1[product_id],Master_tbl!B69:B1070,Table1[competitor_price])</f>
        <v>796.21333333333325</v>
      </c>
      <c r="N69" s="11">
        <f>IFERROR(Table5[[#This Row],[final_sale_price]]*Table5[[#This Row],[quantity_sold ]],0)</f>
        <v>76994.06259999999</v>
      </c>
      <c r="O69" s="11">
        <f>(Table5[[#This Row],[final_sale_price]]-Table5[[#This Row],[cost_price]])*Table5[[#This Row],[quantity_sold ]]</f>
        <v>29854.840599999996</v>
      </c>
      <c r="P69" s="11">
        <f>(Table5[final_sale_price]-Table5[[#This Row],[avg_comp_price]])</f>
        <v>5126.4068666666662</v>
      </c>
      <c r="Q69" s="15">
        <f>(Table5[[#This Row],[final_sale_price]]-Table5[[#This Row],[avg_comp_price]])/Table5[[#This Row],[avg_comp_price]]</f>
        <v>6.4384840746198675</v>
      </c>
      <c r="R69" s="11">
        <f>Table5[[#This Row],[Profit]]/Table5[[#This Row],[Revenue]]</f>
        <v>0.38775510204081631</v>
      </c>
    </row>
    <row r="70" spans="1:18" x14ac:dyDescent="0.2">
      <c r="A70" s="4">
        <v>69</v>
      </c>
      <c r="B70" s="4">
        <v>71</v>
      </c>
      <c r="C70" s="6">
        <v>45482</v>
      </c>
      <c r="D70" s="4">
        <v>44</v>
      </c>
      <c r="E70" s="4">
        <v>5</v>
      </c>
      <c r="F70" s="12">
        <f t="shared" si="1"/>
        <v>4684.6970000000001</v>
      </c>
      <c r="G70" t="str">
        <f>VLOOKUP(B70,product_tbl[],2,FALSE)</f>
        <v>Self Help Book 71</v>
      </c>
      <c r="H70" t="str">
        <f>VLOOKUP(B70,product_tbl[],3,FALSE)</f>
        <v>Books</v>
      </c>
      <c r="I70">
        <v>2958.7559999999999</v>
      </c>
      <c r="J70">
        <f>VLOOKUP(B70,product_tbl[],5,FALSE)</f>
        <v>4931.26</v>
      </c>
      <c r="K70">
        <f>VLOOKUP(B70,review_tbl[],3,FALSE)</f>
        <v>3</v>
      </c>
      <c r="L70" s="11">
        <v>6354.707145794564</v>
      </c>
      <c r="M70" s="11">
        <f>AVERAGEIF(Table1[product_id],Master_tbl!B70:B1071,Table1[competitor_price])</f>
        <v>2482.0633333333335</v>
      </c>
      <c r="N70" s="11">
        <f>IFERROR(Table5[[#This Row],[final_sale_price]]*Table5[[#This Row],[quantity_sold ]],0)</f>
        <v>206126.66800000001</v>
      </c>
      <c r="O70" s="11">
        <f>(Table5[[#This Row],[final_sale_price]]-Table5[[#This Row],[cost_price]])*Table5[[#This Row],[quantity_sold ]]</f>
        <v>75941.40400000001</v>
      </c>
      <c r="P70" s="11">
        <f>(Table5[final_sale_price]-Table5[[#This Row],[avg_comp_price]])</f>
        <v>2202.6336666666666</v>
      </c>
      <c r="Q70" s="15">
        <f>(Table5[[#This Row],[final_sale_price]]-Table5[[#This Row],[avg_comp_price]])/Table5[[#This Row],[avg_comp_price]]</f>
        <v>0.88742041231824587</v>
      </c>
      <c r="R70" s="11">
        <f>Table5[[#This Row],[Profit]]/Table5[[#This Row],[Revenue]]</f>
        <v>0.36842105263157898</v>
      </c>
    </row>
    <row r="71" spans="1:18" x14ac:dyDescent="0.2">
      <c r="A71" s="5">
        <v>70</v>
      </c>
      <c r="B71" s="5">
        <v>57</v>
      </c>
      <c r="C71" s="7">
        <v>45938</v>
      </c>
      <c r="D71" s="5">
        <v>19</v>
      </c>
      <c r="E71" s="4">
        <v>5</v>
      </c>
      <c r="F71" s="12">
        <f t="shared" si="1"/>
        <v>6471.1624999999995</v>
      </c>
      <c r="G71" t="str">
        <f>VLOOKUP(B71,product_tbl[],2,FALSE)</f>
        <v>Face Wash 57</v>
      </c>
      <c r="H71" t="str">
        <f>VLOOKUP(B71,product_tbl[],3,FALSE)</f>
        <v>Beauty</v>
      </c>
      <c r="I71">
        <v>4087.0499999999997</v>
      </c>
      <c r="J71">
        <f>VLOOKUP(B71,product_tbl[],5,FALSE)</f>
        <v>6811.75</v>
      </c>
      <c r="K71">
        <f>VLOOKUP(B71,review_tbl[],3,FALSE)</f>
        <v>2</v>
      </c>
      <c r="L71" s="11">
        <v>7447.361504546474</v>
      </c>
      <c r="M71" s="11">
        <f>AVERAGEIF(Table1[product_id],Master_tbl!B71:B1072,Table1[competitor_price])</f>
        <v>1836.9825000000001</v>
      </c>
      <c r="N71" s="11">
        <f>IFERROR(Table5[[#This Row],[final_sale_price]]*Table5[[#This Row],[quantity_sold ]],0)</f>
        <v>122952.08749999999</v>
      </c>
      <c r="O71" s="11">
        <f>(Table5[[#This Row],[final_sale_price]]-Table5[[#This Row],[cost_price]])*Table5[[#This Row],[quantity_sold ]]</f>
        <v>45298.137499999997</v>
      </c>
      <c r="P71" s="11">
        <f>(Table5[final_sale_price]-Table5[[#This Row],[avg_comp_price]])</f>
        <v>4634.1799999999994</v>
      </c>
      <c r="Q71" s="15">
        <f>(Table5[[#This Row],[final_sale_price]]-Table5[[#This Row],[avg_comp_price]])/Table5[[#This Row],[avg_comp_price]]</f>
        <v>2.5227131994997225</v>
      </c>
      <c r="R71" s="11">
        <f>Table5[[#This Row],[Profit]]/Table5[[#This Row],[Revenue]]</f>
        <v>0.36842105263157893</v>
      </c>
    </row>
    <row r="72" spans="1:18" x14ac:dyDescent="0.2">
      <c r="A72" s="4">
        <v>71</v>
      </c>
      <c r="B72" s="4">
        <v>29</v>
      </c>
      <c r="C72" s="6">
        <v>45294</v>
      </c>
      <c r="D72" s="4">
        <v>18</v>
      </c>
      <c r="E72" s="4">
        <v>2</v>
      </c>
      <c r="F72" s="12">
        <f t="shared" si="1"/>
        <v>7323.54</v>
      </c>
      <c r="G72" t="str">
        <f>VLOOKUP(B72,product_tbl[],2,FALSE)</f>
        <v>Smartwatch 29</v>
      </c>
      <c r="H72" t="str">
        <f>VLOOKUP(B72,product_tbl[],3,FALSE)</f>
        <v>Electronics</v>
      </c>
      <c r="I72">
        <v>4483.8</v>
      </c>
      <c r="J72">
        <f>VLOOKUP(B72,product_tbl[],5,FALSE)</f>
        <v>7473</v>
      </c>
      <c r="K72">
        <f>VLOOKUP(B72,review_tbl[],3,FALSE)</f>
        <v>2</v>
      </c>
      <c r="L72" s="11">
        <v>9128.7916098731075</v>
      </c>
      <c r="M72" s="11">
        <f>AVERAGEIF(Table1[product_id],Master_tbl!B72:B1073,Table1[competitor_price])</f>
        <v>1925.7060000000001</v>
      </c>
      <c r="N72" s="11">
        <f>IFERROR(Table5[[#This Row],[final_sale_price]]*Table5[[#This Row],[quantity_sold ]],0)</f>
        <v>131823.72</v>
      </c>
      <c r="O72" s="11">
        <f>(Table5[[#This Row],[final_sale_price]]-Table5[[#This Row],[cost_price]])*Table5[[#This Row],[quantity_sold ]]</f>
        <v>51115.319999999992</v>
      </c>
      <c r="P72" s="11">
        <f>(Table5[final_sale_price]-Table5[[#This Row],[avg_comp_price]])</f>
        <v>5397.8339999999998</v>
      </c>
      <c r="Q72" s="15">
        <f>(Table5[[#This Row],[final_sale_price]]-Table5[[#This Row],[avg_comp_price]])/Table5[[#This Row],[avg_comp_price]]</f>
        <v>2.8030415857872382</v>
      </c>
      <c r="R72" s="11">
        <f>Table5[[#This Row],[Profit]]/Table5[[#This Row],[Revenue]]</f>
        <v>0.38775510204081626</v>
      </c>
    </row>
    <row r="73" spans="1:18" x14ac:dyDescent="0.2">
      <c r="A73" s="5">
        <v>72</v>
      </c>
      <c r="B73" s="5">
        <v>40</v>
      </c>
      <c r="C73" s="7">
        <v>45567</v>
      </c>
      <c r="D73" s="5">
        <v>7</v>
      </c>
      <c r="E73" s="4">
        <v>5</v>
      </c>
      <c r="F73" s="12">
        <f t="shared" si="1"/>
        <v>467.65649999999994</v>
      </c>
      <c r="G73" t="str">
        <f>VLOOKUP(B73,product_tbl[],2,FALSE)</f>
        <v>Dress 40</v>
      </c>
      <c r="H73" t="str">
        <f>VLOOKUP(B73,product_tbl[],3,FALSE)</f>
        <v>Fashion</v>
      </c>
      <c r="I73">
        <v>295.36199999999997</v>
      </c>
      <c r="J73">
        <f>VLOOKUP(B73,product_tbl[],5,FALSE)</f>
        <v>492.27</v>
      </c>
      <c r="K73">
        <f>VLOOKUP(B73,review_tbl[],3,FALSE)</f>
        <v>1</v>
      </c>
      <c r="L73" s="11">
        <v>518.8678332283497</v>
      </c>
      <c r="M73" s="11">
        <f>AVERAGEIF(Table1[product_id],Master_tbl!B73:B1074,Table1[competitor_price])</f>
        <v>603.70600000000002</v>
      </c>
      <c r="N73" s="11">
        <f>IFERROR(Table5[[#This Row],[final_sale_price]]*Table5[[#This Row],[quantity_sold ]],0)</f>
        <v>3273.5954999999994</v>
      </c>
      <c r="O73" s="11">
        <f>(Table5[[#This Row],[final_sale_price]]-Table5[[#This Row],[cost_price]])*Table5[[#This Row],[quantity_sold ]]</f>
        <v>1206.0614999999998</v>
      </c>
      <c r="P73" s="11">
        <f>(Table5[final_sale_price]-Table5[[#This Row],[avg_comp_price]])</f>
        <v>-136.04950000000008</v>
      </c>
      <c r="Q73" s="15">
        <f>(Table5[[#This Row],[final_sale_price]]-Table5[[#This Row],[avg_comp_price]])/Table5[[#This Row],[avg_comp_price]]</f>
        <v>-0.22535721029772782</v>
      </c>
      <c r="R73" s="11">
        <f>Table5[[#This Row],[Profit]]/Table5[[#This Row],[Revenue]]</f>
        <v>0.36842105263157893</v>
      </c>
    </row>
    <row r="74" spans="1:18" x14ac:dyDescent="0.2">
      <c r="A74" s="4">
        <v>73</v>
      </c>
      <c r="B74" s="4">
        <v>36</v>
      </c>
      <c r="C74" s="6">
        <v>45473</v>
      </c>
      <c r="D74" s="4">
        <v>33</v>
      </c>
      <c r="E74" s="4">
        <v>3</v>
      </c>
      <c r="F74" s="12">
        <f t="shared" si="1"/>
        <v>142.97800000000001</v>
      </c>
      <c r="G74" t="str">
        <f>VLOOKUP(B74,product_tbl[],2,FALSE)</f>
        <v>Refrigerator 36</v>
      </c>
      <c r="H74" t="str">
        <f>VLOOKUP(B74,product_tbl[],3,FALSE)</f>
        <v>Home Appliances</v>
      </c>
      <c r="I74">
        <v>88.44</v>
      </c>
      <c r="J74">
        <f>VLOOKUP(B74,product_tbl[],5,FALSE)</f>
        <v>147.4</v>
      </c>
      <c r="K74">
        <f>VLOOKUP(B74,review_tbl[],3,FALSE)</f>
        <v>3</v>
      </c>
      <c r="L74" s="11">
        <v>154.01868928397144</v>
      </c>
      <c r="M74" s="11">
        <f>AVERAGEIF(Table1[product_id],Master_tbl!B74:B1075,Table1[competitor_price])</f>
        <v>2726.4116666666664</v>
      </c>
      <c r="N74" s="11">
        <f>IFERROR(Table5[[#This Row],[final_sale_price]]*Table5[[#This Row],[quantity_sold ]],0)</f>
        <v>4718.2740000000003</v>
      </c>
      <c r="O74" s="11">
        <f>(Table5[[#This Row],[final_sale_price]]-Table5[[#This Row],[cost_price]])*Table5[[#This Row],[quantity_sold ]]</f>
        <v>1799.7540000000004</v>
      </c>
      <c r="P74" s="11">
        <f>(Table5[final_sale_price]-Table5[[#This Row],[avg_comp_price]])</f>
        <v>-2583.4336666666663</v>
      </c>
      <c r="Q74" s="15">
        <f>(Table5[[#This Row],[final_sale_price]]-Table5[[#This Row],[avg_comp_price]])/Table5[[#This Row],[avg_comp_price]]</f>
        <v>-0.94755817628421235</v>
      </c>
      <c r="R74" s="11">
        <f>Table5[[#This Row],[Profit]]/Table5[[#This Row],[Revenue]]</f>
        <v>0.3814432989690722</v>
      </c>
    </row>
    <row r="75" spans="1:18" x14ac:dyDescent="0.2">
      <c r="A75" s="5">
        <v>74</v>
      </c>
      <c r="B75" s="5">
        <v>136</v>
      </c>
      <c r="C75" s="7">
        <v>45911</v>
      </c>
      <c r="D75" s="5">
        <v>50</v>
      </c>
      <c r="E75" s="4">
        <v>7</v>
      </c>
      <c r="F75" s="12">
        <f t="shared" si="1"/>
        <v>4795.4240999999993</v>
      </c>
      <c r="G75" t="str">
        <f>VLOOKUP(B75,product_tbl[],2,FALSE)</f>
        <v>Handbag 136</v>
      </c>
      <c r="H75" t="str">
        <f>VLOOKUP(B75,product_tbl[],3,FALSE)</f>
        <v>Fashion</v>
      </c>
      <c r="I75">
        <v>3093.8219999999997</v>
      </c>
      <c r="J75">
        <f>VLOOKUP(B75,product_tbl[],5,FALSE)</f>
        <v>5156.37</v>
      </c>
      <c r="K75">
        <f>VLOOKUP(B75,review_tbl[],3,FALSE)</f>
        <v>3</v>
      </c>
      <c r="L75" s="11">
        <v>5953.4595274069889</v>
      </c>
      <c r="M75" s="11">
        <f>AVERAGEIF(Table1[product_id],Master_tbl!B75:B1076,Table1[competitor_price])</f>
        <v>5805.195999999999</v>
      </c>
      <c r="N75" s="11">
        <f>IFERROR(Table5[[#This Row],[final_sale_price]]*Table5[[#This Row],[quantity_sold ]],0)</f>
        <v>239771.20499999996</v>
      </c>
      <c r="O75" s="11">
        <f>(Table5[[#This Row],[final_sale_price]]-Table5[[#This Row],[cost_price]])*Table5[[#This Row],[quantity_sold ]]</f>
        <v>85080.104999999981</v>
      </c>
      <c r="P75" s="11">
        <f>(Table5[final_sale_price]-Table5[[#This Row],[avg_comp_price]])</f>
        <v>-1009.7718999999997</v>
      </c>
      <c r="Q75" s="15">
        <f>(Table5[[#This Row],[final_sale_price]]-Table5[[#This Row],[avg_comp_price]])/Table5[[#This Row],[avg_comp_price]]</f>
        <v>-0.17394277471423875</v>
      </c>
      <c r="R75" s="11">
        <f>Table5[[#This Row],[Profit]]/Table5[[#This Row],[Revenue]]</f>
        <v>0.35483870967741932</v>
      </c>
    </row>
    <row r="76" spans="1:18" x14ac:dyDescent="0.2">
      <c r="A76" s="4">
        <v>75</v>
      </c>
      <c r="B76" s="4">
        <v>116</v>
      </c>
      <c r="C76" s="6">
        <v>45828</v>
      </c>
      <c r="D76" s="4">
        <v>30</v>
      </c>
      <c r="E76" s="4">
        <v>9</v>
      </c>
      <c r="F76" s="12">
        <f t="shared" si="1"/>
        <v>2150.4665</v>
      </c>
      <c r="G76" t="str">
        <f>VLOOKUP(B76,product_tbl[],2,FALSE)</f>
        <v>Building Blocks 116</v>
      </c>
      <c r="H76" t="str">
        <f>VLOOKUP(B76,product_tbl[],3,FALSE)</f>
        <v>Toys</v>
      </c>
      <c r="I76">
        <v>1417.89</v>
      </c>
      <c r="J76">
        <f>VLOOKUP(B76,product_tbl[],5,FALSE)</f>
        <v>2363.15</v>
      </c>
      <c r="K76">
        <f>VLOOKUP(B76,review_tbl[],3,FALSE)</f>
        <v>5</v>
      </c>
      <c r="L76" s="11">
        <v>2681.421864678653</v>
      </c>
      <c r="M76" s="11">
        <f>AVERAGEIF(Table1[product_id],Master_tbl!B76:B1077,Table1[competitor_price])</f>
        <v>4469.4999999999991</v>
      </c>
      <c r="N76" s="11">
        <f>IFERROR(Table5[[#This Row],[final_sale_price]]*Table5[[#This Row],[quantity_sold ]],0)</f>
        <v>64513.995000000003</v>
      </c>
      <c r="O76" s="11">
        <f>(Table5[[#This Row],[final_sale_price]]-Table5[[#This Row],[cost_price]])*Table5[[#This Row],[quantity_sold ]]</f>
        <v>21977.294999999998</v>
      </c>
      <c r="P76" s="11">
        <f>(Table5[final_sale_price]-Table5[[#This Row],[avg_comp_price]])</f>
        <v>-2319.0334999999991</v>
      </c>
      <c r="Q76" s="15">
        <f>(Table5[[#This Row],[final_sale_price]]-Table5[[#This Row],[avg_comp_price]])/Table5[[#This Row],[avg_comp_price]]</f>
        <v>-0.51885747846515262</v>
      </c>
      <c r="R76" s="11">
        <f>Table5[[#This Row],[Profit]]/Table5[[#This Row],[Revenue]]</f>
        <v>0.34065934065934061</v>
      </c>
    </row>
    <row r="77" spans="1:18" x14ac:dyDescent="0.2">
      <c r="A77" s="5">
        <v>76</v>
      </c>
      <c r="B77" s="5">
        <v>126</v>
      </c>
      <c r="C77" s="7">
        <v>44937</v>
      </c>
      <c r="D77" s="5">
        <v>40</v>
      </c>
      <c r="E77" s="4">
        <v>9</v>
      </c>
      <c r="F77" s="12">
        <f t="shared" si="1"/>
        <v>922.03930000000003</v>
      </c>
      <c r="G77" t="str">
        <f>VLOOKUP(B77,product_tbl[],2,FALSE)</f>
        <v>Cricket Bat 126</v>
      </c>
      <c r="H77" t="str">
        <f>VLOOKUP(B77,product_tbl[],3,FALSE)</f>
        <v>Sports</v>
      </c>
      <c r="I77">
        <v>607.93799999999999</v>
      </c>
      <c r="J77">
        <f>VLOOKUP(B77,product_tbl[],5,FALSE)</f>
        <v>1013.23</v>
      </c>
      <c r="K77">
        <f>VLOOKUP(B77,review_tbl[],3,FALSE)</f>
        <v>5</v>
      </c>
      <c r="L77" s="11">
        <v>1054.7528431800156</v>
      </c>
      <c r="M77" s="11">
        <f>AVERAGEIF(Table1[product_id],Master_tbl!B77:B1078,Table1[competitor_price])</f>
        <v>7593.0025000000005</v>
      </c>
      <c r="N77" s="11">
        <f>IFERROR(Table5[[#This Row],[final_sale_price]]*Table5[[#This Row],[quantity_sold ]],0)</f>
        <v>36881.572</v>
      </c>
      <c r="O77" s="11">
        <f>(Table5[[#This Row],[final_sale_price]]-Table5[[#This Row],[cost_price]])*Table5[[#This Row],[quantity_sold ]]</f>
        <v>12564.052000000001</v>
      </c>
      <c r="P77" s="11">
        <f>(Table5[final_sale_price]-Table5[[#This Row],[avg_comp_price]])</f>
        <v>-6670.9632000000001</v>
      </c>
      <c r="Q77" s="15">
        <f>(Table5[[#This Row],[final_sale_price]]-Table5[[#This Row],[avg_comp_price]])/Table5[[#This Row],[avg_comp_price]]</f>
        <v>-0.87856723344948195</v>
      </c>
      <c r="R77" s="11">
        <f>Table5[[#This Row],[Profit]]/Table5[[#This Row],[Revenue]]</f>
        <v>0.34065934065934073</v>
      </c>
    </row>
    <row r="78" spans="1:18" x14ac:dyDescent="0.2">
      <c r="A78" s="4">
        <v>77</v>
      </c>
      <c r="B78" s="4">
        <v>46</v>
      </c>
      <c r="C78" s="6">
        <v>44966</v>
      </c>
      <c r="D78" s="4">
        <v>48</v>
      </c>
      <c r="E78" s="4">
        <v>5</v>
      </c>
      <c r="F78" s="12">
        <f t="shared" si="1"/>
        <v>1537.7270000000001</v>
      </c>
      <c r="G78" t="str">
        <f>VLOOKUP(B78,product_tbl[],2,FALSE)</f>
        <v>Action Figure 46</v>
      </c>
      <c r="H78" t="str">
        <f>VLOOKUP(B78,product_tbl[],3,FALSE)</f>
        <v>Toys</v>
      </c>
      <c r="I78">
        <v>971.19600000000003</v>
      </c>
      <c r="J78">
        <f>VLOOKUP(B78,product_tbl[],5,FALSE)</f>
        <v>1618.66</v>
      </c>
      <c r="K78">
        <f>VLOOKUP(B78,review_tbl[],3,FALSE)</f>
        <v>4</v>
      </c>
      <c r="L78" s="11">
        <v>2075.195926050892</v>
      </c>
      <c r="M78" s="11">
        <f>AVERAGEIF(Table1[product_id],Master_tbl!B78:B1079,Table1[competitor_price])</f>
        <v>4497.6779999999999</v>
      </c>
      <c r="N78" s="11">
        <f>IFERROR(Table5[[#This Row],[final_sale_price]]*Table5[[#This Row],[quantity_sold ]],0)</f>
        <v>73810.896000000008</v>
      </c>
      <c r="O78" s="11">
        <f>(Table5[[#This Row],[final_sale_price]]-Table5[[#This Row],[cost_price]])*Table5[[#This Row],[quantity_sold ]]</f>
        <v>27193.488000000005</v>
      </c>
      <c r="P78" s="11">
        <f>(Table5[final_sale_price]-Table5[[#This Row],[avg_comp_price]])</f>
        <v>-2959.951</v>
      </c>
      <c r="Q78" s="15">
        <f>(Table5[[#This Row],[final_sale_price]]-Table5[[#This Row],[avg_comp_price]])/Table5[[#This Row],[avg_comp_price]]</f>
        <v>-0.65810647182835236</v>
      </c>
      <c r="R78" s="11">
        <f>Table5[[#This Row],[Profit]]/Table5[[#This Row],[Revenue]]</f>
        <v>0.36842105263157898</v>
      </c>
    </row>
    <row r="79" spans="1:18" x14ac:dyDescent="0.2">
      <c r="A79" s="5">
        <v>78</v>
      </c>
      <c r="B79" s="5">
        <v>20</v>
      </c>
      <c r="C79" s="7">
        <v>45184</v>
      </c>
      <c r="D79" s="5">
        <v>1</v>
      </c>
      <c r="E79" s="4">
        <v>4</v>
      </c>
      <c r="F79" s="12">
        <f t="shared" si="1"/>
        <v>2909.9327999999996</v>
      </c>
      <c r="G79" t="str">
        <f>VLOOKUP(B79,product_tbl[],2,FALSE)</f>
        <v>Green Tea 20</v>
      </c>
      <c r="H79" t="str">
        <f>VLOOKUP(B79,product_tbl[],3,FALSE)</f>
        <v>Grocery</v>
      </c>
      <c r="I79">
        <v>1818.7079999999999</v>
      </c>
      <c r="J79">
        <f>VLOOKUP(B79,product_tbl[],5,FALSE)</f>
        <v>3031.18</v>
      </c>
      <c r="K79">
        <f>VLOOKUP(B79,review_tbl[],3,FALSE)</f>
        <v>4</v>
      </c>
      <c r="L79" s="11">
        <v>3674.3240977245491</v>
      </c>
      <c r="M79" s="11">
        <f>AVERAGEIF(Table1[product_id],Master_tbl!B79:B1080,Table1[competitor_price])</f>
        <v>4553.9966666666669</v>
      </c>
      <c r="N79" s="11">
        <f>IFERROR(Table5[[#This Row],[final_sale_price]]*Table5[[#This Row],[quantity_sold ]],0)</f>
        <v>2909.9327999999996</v>
      </c>
      <c r="O79" s="11">
        <f>(Table5[[#This Row],[final_sale_price]]-Table5[[#This Row],[cost_price]])*Table5[[#This Row],[quantity_sold ]]</f>
        <v>1091.2247999999997</v>
      </c>
      <c r="P79" s="11">
        <f>(Table5[final_sale_price]-Table5[[#This Row],[avg_comp_price]])</f>
        <v>-1644.0638666666673</v>
      </c>
      <c r="Q79" s="15">
        <f>(Table5[[#This Row],[final_sale_price]]-Table5[[#This Row],[avg_comp_price]])/Table5[[#This Row],[avg_comp_price]]</f>
        <v>-0.36101560607202915</v>
      </c>
      <c r="R79" s="11">
        <f>Table5[[#This Row],[Profit]]/Table5[[#This Row],[Revenue]]</f>
        <v>0.37499999999999994</v>
      </c>
    </row>
    <row r="80" spans="1:18" x14ac:dyDescent="0.2">
      <c r="A80" s="4">
        <v>79</v>
      </c>
      <c r="B80" s="4">
        <v>4</v>
      </c>
      <c r="C80" s="6">
        <v>45594</v>
      </c>
      <c r="D80" s="4">
        <v>41</v>
      </c>
      <c r="E80" s="4">
        <v>4</v>
      </c>
      <c r="F80" s="12">
        <f t="shared" si="1"/>
        <v>6801.9647999999997</v>
      </c>
      <c r="G80" t="str">
        <f>VLOOKUP(B80,product_tbl[],2,FALSE)</f>
        <v>Gym Gloves 4</v>
      </c>
      <c r="H80" t="str">
        <f>VLOOKUP(B80,product_tbl[],3,FALSE)</f>
        <v>Sports</v>
      </c>
      <c r="I80">
        <v>4251.2280000000001</v>
      </c>
      <c r="J80">
        <f>VLOOKUP(B80,product_tbl[],5,FALSE)</f>
        <v>7085.38</v>
      </c>
      <c r="K80">
        <f>VLOOKUP(B80,review_tbl[],3,FALSE)</f>
        <v>4</v>
      </c>
      <c r="L80" s="11">
        <v>8524.9724133573145</v>
      </c>
      <c r="M80" s="11">
        <f>AVERAGEIF(Table1[product_id],Master_tbl!B80:B1081,Table1[competitor_price])</f>
        <v>3570.2466666666674</v>
      </c>
      <c r="N80" s="11">
        <f>IFERROR(Table5[[#This Row],[final_sale_price]]*Table5[[#This Row],[quantity_sold ]],0)</f>
        <v>278880.55679999996</v>
      </c>
      <c r="O80" s="11">
        <f>(Table5[[#This Row],[final_sale_price]]-Table5[[#This Row],[cost_price]])*Table5[[#This Row],[quantity_sold ]]</f>
        <v>104580.20879999999</v>
      </c>
      <c r="P80" s="11">
        <f>(Table5[final_sale_price]-Table5[[#This Row],[avg_comp_price]])</f>
        <v>3231.7181333333324</v>
      </c>
      <c r="Q80" s="15">
        <f>(Table5[[#This Row],[final_sale_price]]-Table5[[#This Row],[avg_comp_price]])/Table5[[#This Row],[avg_comp_price]]</f>
        <v>0.90518063177707564</v>
      </c>
      <c r="R80" s="11">
        <f>Table5[[#This Row],[Profit]]/Table5[[#This Row],[Revenue]]</f>
        <v>0.375</v>
      </c>
    </row>
    <row r="81" spans="1:18" x14ac:dyDescent="0.2">
      <c r="A81" s="5">
        <v>80</v>
      </c>
      <c r="B81" s="5">
        <v>90</v>
      </c>
      <c r="C81" s="7">
        <v>45884</v>
      </c>
      <c r="D81" s="5">
        <v>33</v>
      </c>
      <c r="E81" s="4">
        <v>10</v>
      </c>
      <c r="F81" s="12">
        <f t="shared" si="1"/>
        <v>1239.039</v>
      </c>
      <c r="G81" t="str">
        <f>VLOOKUP(B81,product_tbl[],2,FALSE)</f>
        <v>Washing Machine 90</v>
      </c>
      <c r="H81" t="str">
        <f>VLOOKUP(B81,product_tbl[],3,FALSE)</f>
        <v>Home Appliances</v>
      </c>
      <c r="I81">
        <v>826.02599999999995</v>
      </c>
      <c r="J81">
        <f>VLOOKUP(B81,product_tbl[],5,FALSE)</f>
        <v>1376.71</v>
      </c>
      <c r="K81">
        <f>VLOOKUP(B81,review_tbl[],3,FALSE)</f>
        <v>4</v>
      </c>
      <c r="L81" s="11">
        <v>1706.7894606014095</v>
      </c>
      <c r="M81" s="11">
        <f>AVERAGEIF(Table1[product_id],Master_tbl!B81:B1082,Table1[competitor_price])</f>
        <v>2414.7550000000001</v>
      </c>
      <c r="N81" s="11">
        <f>IFERROR(Table5[[#This Row],[final_sale_price]]*Table5[[#This Row],[quantity_sold ]],0)</f>
        <v>40888.286999999997</v>
      </c>
      <c r="O81" s="11">
        <f>(Table5[[#This Row],[final_sale_price]]-Table5[[#This Row],[cost_price]])*Table5[[#This Row],[quantity_sold ]]</f>
        <v>13629.429000000002</v>
      </c>
      <c r="P81" s="11">
        <f>(Table5[final_sale_price]-Table5[[#This Row],[avg_comp_price]])</f>
        <v>-1175.7160000000001</v>
      </c>
      <c r="Q81" s="15">
        <f>(Table5[[#This Row],[final_sale_price]]-Table5[[#This Row],[avg_comp_price]])/Table5[[#This Row],[avg_comp_price]]</f>
        <v>-0.48688831786247466</v>
      </c>
      <c r="R81" s="11">
        <f>Table5[[#This Row],[Profit]]/Table5[[#This Row],[Revenue]]</f>
        <v>0.33333333333333343</v>
      </c>
    </row>
    <row r="82" spans="1:18" x14ac:dyDescent="0.2">
      <c r="A82" s="4">
        <v>81</v>
      </c>
      <c r="B82" s="4">
        <v>76</v>
      </c>
      <c r="C82" s="6">
        <v>45241</v>
      </c>
      <c r="D82" s="4">
        <v>15</v>
      </c>
      <c r="E82" s="4">
        <v>2</v>
      </c>
      <c r="F82" s="12">
        <f t="shared" si="1"/>
        <v>3004.2586000000001</v>
      </c>
      <c r="G82" t="str">
        <f>VLOOKUP(B82,product_tbl[],2,FALSE)</f>
        <v>Laptop 76</v>
      </c>
      <c r="H82" t="str">
        <f>VLOOKUP(B82,product_tbl[],3,FALSE)</f>
        <v>Electronics</v>
      </c>
      <c r="I82">
        <v>1839.3420000000001</v>
      </c>
      <c r="J82">
        <f>VLOOKUP(B82,product_tbl[],5,FALSE)</f>
        <v>3065.57</v>
      </c>
      <c r="K82">
        <f>VLOOKUP(B82,review_tbl[],3,FALSE)</f>
        <v>1</v>
      </c>
      <c r="L82" s="11">
        <v>3195.2947075831153</v>
      </c>
      <c r="M82" s="11">
        <f>AVERAGEIF(Table1[product_id],Master_tbl!B82:B1083,Table1[competitor_price])</f>
        <v>831.92600000000004</v>
      </c>
      <c r="N82" s="11">
        <f>IFERROR(Table5[[#This Row],[final_sale_price]]*Table5[[#This Row],[quantity_sold ]],0)</f>
        <v>45063.879000000001</v>
      </c>
      <c r="O82" s="11">
        <f>(Table5[[#This Row],[final_sale_price]]-Table5[[#This Row],[cost_price]])*Table5[[#This Row],[quantity_sold ]]</f>
        <v>17473.749</v>
      </c>
      <c r="P82" s="11">
        <f>(Table5[final_sale_price]-Table5[[#This Row],[avg_comp_price]])</f>
        <v>2172.3326000000002</v>
      </c>
      <c r="Q82" s="15">
        <f>(Table5[[#This Row],[final_sale_price]]-Table5[[#This Row],[avg_comp_price]])/Table5[[#This Row],[avg_comp_price]]</f>
        <v>2.6112089296403767</v>
      </c>
      <c r="R82" s="11">
        <f>Table5[[#This Row],[Profit]]/Table5[[#This Row],[Revenue]]</f>
        <v>0.38775510204081631</v>
      </c>
    </row>
    <row r="83" spans="1:18" x14ac:dyDescent="0.2">
      <c r="A83" s="5">
        <v>82</v>
      </c>
      <c r="B83" s="5">
        <v>20</v>
      </c>
      <c r="C83" s="7">
        <v>45404</v>
      </c>
      <c r="D83" s="5">
        <v>37</v>
      </c>
      <c r="E83" s="4">
        <v>9</v>
      </c>
      <c r="F83" s="12">
        <f t="shared" si="1"/>
        <v>2758.3737999999998</v>
      </c>
      <c r="G83" t="str">
        <f>VLOOKUP(B83,product_tbl[],2,FALSE)</f>
        <v>Green Tea 20</v>
      </c>
      <c r="H83" t="str">
        <f>VLOOKUP(B83,product_tbl[],3,FALSE)</f>
        <v>Grocery</v>
      </c>
      <c r="I83">
        <v>1818.7079999999999</v>
      </c>
      <c r="J83">
        <f>VLOOKUP(B83,product_tbl[],5,FALSE)</f>
        <v>3031.18</v>
      </c>
      <c r="K83">
        <f>VLOOKUP(B83,review_tbl[],3,FALSE)</f>
        <v>4</v>
      </c>
      <c r="L83" s="11">
        <v>3594.4974093166047</v>
      </c>
      <c r="M83" s="11">
        <f>AVERAGEIF(Table1[product_id],Master_tbl!B83:B1084,Table1[competitor_price])</f>
        <v>4553.9966666666669</v>
      </c>
      <c r="N83" s="11">
        <f>IFERROR(Table5[[#This Row],[final_sale_price]]*Table5[[#This Row],[quantity_sold ]],0)</f>
        <v>102059.8306</v>
      </c>
      <c r="O83" s="11">
        <f>(Table5[[#This Row],[final_sale_price]]-Table5[[#This Row],[cost_price]])*Table5[[#This Row],[quantity_sold ]]</f>
        <v>34767.634599999998</v>
      </c>
      <c r="P83" s="11">
        <f>(Table5[final_sale_price]-Table5[[#This Row],[avg_comp_price]])</f>
        <v>-1795.6228666666671</v>
      </c>
      <c r="Q83" s="15">
        <f>(Table5[[#This Row],[final_sale_price]]-Table5[[#This Row],[avg_comp_price]])/Table5[[#This Row],[avg_comp_price]]</f>
        <v>-0.39429604325577761</v>
      </c>
      <c r="R83" s="11">
        <f>Table5[[#This Row],[Profit]]/Table5[[#This Row],[Revenue]]</f>
        <v>0.34065934065934061</v>
      </c>
    </row>
    <row r="84" spans="1:18" x14ac:dyDescent="0.2">
      <c r="A84" s="4">
        <v>83</v>
      </c>
      <c r="B84" s="4">
        <v>29</v>
      </c>
      <c r="C84" s="6">
        <v>45888</v>
      </c>
      <c r="D84" s="4">
        <v>29</v>
      </c>
      <c r="E84" s="4">
        <v>2</v>
      </c>
      <c r="F84" s="12">
        <f t="shared" si="1"/>
        <v>7323.54</v>
      </c>
      <c r="G84" t="str">
        <f>VLOOKUP(B84,product_tbl[],2,FALSE)</f>
        <v>Smartwatch 29</v>
      </c>
      <c r="H84" t="str">
        <f>VLOOKUP(B84,product_tbl[],3,FALSE)</f>
        <v>Electronics</v>
      </c>
      <c r="I84">
        <v>4483.8</v>
      </c>
      <c r="J84">
        <f>VLOOKUP(B84,product_tbl[],5,FALSE)</f>
        <v>7473</v>
      </c>
      <c r="K84">
        <f>VLOOKUP(B84,review_tbl[],3,FALSE)</f>
        <v>2</v>
      </c>
      <c r="L84" s="11">
        <v>7782.0528660720329</v>
      </c>
      <c r="M84" s="11">
        <f>AVERAGEIF(Table1[product_id],Master_tbl!B84:B1085,Table1[competitor_price])</f>
        <v>1925.7060000000001</v>
      </c>
      <c r="N84" s="11">
        <f>IFERROR(Table5[[#This Row],[final_sale_price]]*Table5[[#This Row],[quantity_sold ]],0)</f>
        <v>212382.66</v>
      </c>
      <c r="O84" s="11">
        <f>(Table5[[#This Row],[final_sale_price]]-Table5[[#This Row],[cost_price]])*Table5[[#This Row],[quantity_sold ]]</f>
        <v>82352.459999999992</v>
      </c>
      <c r="P84" s="11">
        <f>(Table5[final_sale_price]-Table5[[#This Row],[avg_comp_price]])</f>
        <v>5397.8339999999998</v>
      </c>
      <c r="Q84" s="15">
        <f>(Table5[[#This Row],[final_sale_price]]-Table5[[#This Row],[avg_comp_price]])/Table5[[#This Row],[avg_comp_price]]</f>
        <v>2.8030415857872382</v>
      </c>
      <c r="R84" s="11">
        <f>Table5[[#This Row],[Profit]]/Table5[[#This Row],[Revenue]]</f>
        <v>0.38775510204081626</v>
      </c>
    </row>
    <row r="85" spans="1:18" x14ac:dyDescent="0.2">
      <c r="A85" s="5">
        <v>84</v>
      </c>
      <c r="B85" s="5">
        <v>2</v>
      </c>
      <c r="C85" s="7">
        <v>45253</v>
      </c>
      <c r="D85" s="5">
        <v>21</v>
      </c>
      <c r="E85" s="4">
        <v>3</v>
      </c>
      <c r="F85" s="12">
        <f t="shared" si="1"/>
        <v>4292.0365999999995</v>
      </c>
      <c r="G85" t="str">
        <f>VLOOKUP(B85,product_tbl[],2,FALSE)</f>
        <v>Air Conditioner 2</v>
      </c>
      <c r="H85" t="str">
        <f>VLOOKUP(B85,product_tbl[],3,FALSE)</f>
        <v>Home Appliances</v>
      </c>
      <c r="I85">
        <v>2654.8679999999999</v>
      </c>
      <c r="J85">
        <f>VLOOKUP(B85,product_tbl[],5,FALSE)</f>
        <v>4424.78</v>
      </c>
      <c r="K85">
        <f>VLOOKUP(B85,review_tbl[],3,FALSE)</f>
        <v>4</v>
      </c>
      <c r="L85" s="11">
        <v>5089.0969699049274</v>
      </c>
      <c r="M85" s="11">
        <f>AVERAGEIF(Table1[product_id],Master_tbl!B85:B1086,Table1[competitor_price])</f>
        <v>1807.3</v>
      </c>
      <c r="N85" s="11">
        <f>IFERROR(Table5[[#This Row],[final_sale_price]]*Table5[[#This Row],[quantity_sold ]],0)</f>
        <v>90132.768599999981</v>
      </c>
      <c r="O85" s="11">
        <f>(Table5[[#This Row],[final_sale_price]]-Table5[[#This Row],[cost_price]])*Table5[[#This Row],[quantity_sold ]]</f>
        <v>34380.540599999993</v>
      </c>
      <c r="P85" s="11">
        <f>(Table5[final_sale_price]-Table5[[#This Row],[avg_comp_price]])</f>
        <v>2484.7365999999993</v>
      </c>
      <c r="Q85" s="15">
        <f>(Table5[[#This Row],[final_sale_price]]-Table5[[#This Row],[avg_comp_price]])/Table5[[#This Row],[avg_comp_price]]</f>
        <v>1.3748335085486634</v>
      </c>
      <c r="R85" s="11">
        <f>Table5[[#This Row],[Profit]]/Table5[[#This Row],[Revenue]]</f>
        <v>0.38144329896907214</v>
      </c>
    </row>
    <row r="86" spans="1:18" x14ac:dyDescent="0.2">
      <c r="A86" s="4">
        <v>85</v>
      </c>
      <c r="B86" s="4">
        <v>7</v>
      </c>
      <c r="C86" s="6">
        <v>45241</v>
      </c>
      <c r="D86" s="4">
        <v>20</v>
      </c>
      <c r="E86" s="4">
        <v>4</v>
      </c>
      <c r="F86" s="12">
        <f t="shared" si="1"/>
        <v>8030.2079999999987</v>
      </c>
      <c r="G86" t="str">
        <f>VLOOKUP(B86,product_tbl[],2,FALSE)</f>
        <v>Handbag 7</v>
      </c>
      <c r="H86" t="str">
        <f>VLOOKUP(B86,product_tbl[],3,FALSE)</f>
        <v>Fashion</v>
      </c>
      <c r="I86">
        <v>5018.8799999999992</v>
      </c>
      <c r="J86">
        <f>VLOOKUP(B86,product_tbl[],5,FALSE)</f>
        <v>8364.7999999999993</v>
      </c>
      <c r="K86">
        <f>VLOOKUP(B86,review_tbl[],3,FALSE)</f>
        <v>1</v>
      </c>
      <c r="L86" s="11">
        <v>8615.5661302780172</v>
      </c>
      <c r="M86" s="11">
        <f>AVERAGEIF(Table1[product_id],Master_tbl!B86:B1087,Table1[competitor_price])</f>
        <v>1679.8333333333333</v>
      </c>
      <c r="N86" s="11">
        <f>IFERROR(Table5[[#This Row],[final_sale_price]]*Table5[[#This Row],[quantity_sold ]],0)</f>
        <v>160604.15999999997</v>
      </c>
      <c r="O86" s="11">
        <f>(Table5[[#This Row],[final_sale_price]]-Table5[[#This Row],[cost_price]])*Table5[[#This Row],[quantity_sold ]]</f>
        <v>60226.55999999999</v>
      </c>
      <c r="P86" s="11">
        <f>(Table5[final_sale_price]-Table5[[#This Row],[avg_comp_price]])</f>
        <v>6350.3746666666657</v>
      </c>
      <c r="Q86" s="15">
        <f>(Table5[[#This Row],[final_sale_price]]-Table5[[#This Row],[avg_comp_price]])/Table5[[#This Row],[avg_comp_price]]</f>
        <v>3.7803599563448751</v>
      </c>
      <c r="R86" s="11">
        <f>Table5[[#This Row],[Profit]]/Table5[[#This Row],[Revenue]]</f>
        <v>0.375</v>
      </c>
    </row>
    <row r="87" spans="1:18" x14ac:dyDescent="0.2">
      <c r="A87" s="5">
        <v>86</v>
      </c>
      <c r="B87" s="5">
        <v>150</v>
      </c>
      <c r="C87" s="7">
        <v>45060</v>
      </c>
      <c r="D87" s="5">
        <v>22</v>
      </c>
      <c r="E87" s="4">
        <v>8</v>
      </c>
      <c r="F87" s="12">
        <f t="shared" si="1"/>
        <v>2106.5423999999998</v>
      </c>
      <c r="G87" t="str">
        <f>VLOOKUP(B87,product_tbl[],2,FALSE)</f>
        <v>Puzzle Set 150</v>
      </c>
      <c r="H87" t="str">
        <f>VLOOKUP(B87,product_tbl[],3,FALSE)</f>
        <v>Toys</v>
      </c>
      <c r="I87">
        <v>1373.8319999999999</v>
      </c>
      <c r="J87">
        <f>VLOOKUP(B87,product_tbl[],5,FALSE)</f>
        <v>2289.7199999999998</v>
      </c>
      <c r="K87">
        <f>VLOOKUP(B87,review_tbl[],3,FALSE)</f>
        <v>3</v>
      </c>
      <c r="L87" s="11">
        <v>2694.6149007741824</v>
      </c>
      <c r="M87" s="11">
        <f>AVERAGEIF(Table1[product_id],Master_tbl!B87:B1088,Table1[competitor_price])</f>
        <v>1810.3166666666666</v>
      </c>
      <c r="N87" s="11">
        <f>IFERROR(Table5[[#This Row],[final_sale_price]]*Table5[[#This Row],[quantity_sold ]],0)</f>
        <v>46343.932799999995</v>
      </c>
      <c r="O87" s="11">
        <f>(Table5[[#This Row],[final_sale_price]]-Table5[[#This Row],[cost_price]])*Table5[[#This Row],[quantity_sold ]]</f>
        <v>16119.628799999999</v>
      </c>
      <c r="P87" s="11">
        <f>(Table5[final_sale_price]-Table5[[#This Row],[avg_comp_price]])</f>
        <v>296.22573333333321</v>
      </c>
      <c r="Q87" s="15">
        <f>(Table5[[#This Row],[final_sale_price]]-Table5[[#This Row],[avg_comp_price]])/Table5[[#This Row],[avg_comp_price]]</f>
        <v>0.16363199808504952</v>
      </c>
      <c r="R87" s="11">
        <f>Table5[[#This Row],[Profit]]/Table5[[#This Row],[Revenue]]</f>
        <v>0.34782608695652173</v>
      </c>
    </row>
    <row r="88" spans="1:18" x14ac:dyDescent="0.2">
      <c r="A88" s="4">
        <v>87</v>
      </c>
      <c r="B88" s="4">
        <v>72</v>
      </c>
      <c r="C88" s="6">
        <v>46009</v>
      </c>
      <c r="D88" s="4">
        <v>13</v>
      </c>
      <c r="E88" s="4">
        <v>4</v>
      </c>
      <c r="F88" s="12">
        <f t="shared" si="1"/>
        <v>5569.3439999999991</v>
      </c>
      <c r="G88" t="str">
        <f>VLOOKUP(B88,product_tbl[],2,FALSE)</f>
        <v>Smartwatch 72</v>
      </c>
      <c r="H88" t="str">
        <f>VLOOKUP(B88,product_tbl[],3,FALSE)</f>
        <v>Electronics</v>
      </c>
      <c r="I88">
        <v>3480.8399999999997</v>
      </c>
      <c r="J88">
        <f>VLOOKUP(B88,product_tbl[],5,FALSE)</f>
        <v>5801.4</v>
      </c>
      <c r="K88">
        <f>VLOOKUP(B88,review_tbl[],3,FALSE)</f>
        <v>3</v>
      </c>
      <c r="L88" s="11">
        <v>6848.9331038301343</v>
      </c>
      <c r="M88" s="11">
        <f>AVERAGEIF(Table1[product_id],Master_tbl!B88:B1089,Table1[competitor_price])</f>
        <v>5210.5919999999996</v>
      </c>
      <c r="N88" s="11">
        <f>IFERROR(Table5[[#This Row],[final_sale_price]]*Table5[[#This Row],[quantity_sold ]],0)</f>
        <v>72401.471999999994</v>
      </c>
      <c r="O88" s="11">
        <f>(Table5[[#This Row],[final_sale_price]]-Table5[[#This Row],[cost_price]])*Table5[[#This Row],[quantity_sold ]]</f>
        <v>27150.551999999992</v>
      </c>
      <c r="P88" s="11">
        <f>(Table5[final_sale_price]-Table5[[#This Row],[avg_comp_price]])</f>
        <v>358.7519999999995</v>
      </c>
      <c r="Q88" s="15">
        <f>(Table5[[#This Row],[final_sale_price]]-Table5[[#This Row],[avg_comp_price]])/Table5[[#This Row],[avg_comp_price]]</f>
        <v>6.885052600549027E-2</v>
      </c>
      <c r="R88" s="11">
        <f>Table5[[#This Row],[Profit]]/Table5[[#This Row],[Revenue]]</f>
        <v>0.37499999999999994</v>
      </c>
    </row>
    <row r="89" spans="1:18" x14ac:dyDescent="0.2">
      <c r="A89" s="5">
        <v>88</v>
      </c>
      <c r="B89" s="5">
        <v>36</v>
      </c>
      <c r="C89" s="7">
        <v>45615</v>
      </c>
      <c r="D89" s="5">
        <v>19</v>
      </c>
      <c r="E89" s="4">
        <v>8</v>
      </c>
      <c r="F89" s="12">
        <f t="shared" si="1"/>
        <v>135.608</v>
      </c>
      <c r="G89" t="str">
        <f>VLOOKUP(B89,product_tbl[],2,FALSE)</f>
        <v>Refrigerator 36</v>
      </c>
      <c r="H89" t="str">
        <f>VLOOKUP(B89,product_tbl[],3,FALSE)</f>
        <v>Home Appliances</v>
      </c>
      <c r="I89">
        <v>88.44</v>
      </c>
      <c r="J89">
        <f>VLOOKUP(B89,product_tbl[],5,FALSE)</f>
        <v>147.4</v>
      </c>
      <c r="K89">
        <f>VLOOKUP(B89,review_tbl[],3,FALSE)</f>
        <v>3</v>
      </c>
      <c r="L89" s="11">
        <v>174.94481737779807</v>
      </c>
      <c r="M89" s="11">
        <f>AVERAGEIF(Table1[product_id],Master_tbl!B89:B1090,Table1[competitor_price])</f>
        <v>2726.4116666666664</v>
      </c>
      <c r="N89" s="11">
        <f>IFERROR(Table5[[#This Row],[final_sale_price]]*Table5[[#This Row],[quantity_sold ]],0)</f>
        <v>2576.5520000000001</v>
      </c>
      <c r="O89" s="11">
        <f>(Table5[[#This Row],[final_sale_price]]-Table5[[#This Row],[cost_price]])*Table5[[#This Row],[quantity_sold ]]</f>
        <v>896.19200000000012</v>
      </c>
      <c r="P89" s="11">
        <f>(Table5[final_sale_price]-Table5[[#This Row],[avg_comp_price]])</f>
        <v>-2590.8036666666662</v>
      </c>
      <c r="Q89" s="15">
        <f>(Table5[[#This Row],[final_sale_price]]-Table5[[#This Row],[avg_comp_price]])/Table5[[#This Row],[avg_comp_price]]</f>
        <v>-0.95026136307368592</v>
      </c>
      <c r="R89" s="11">
        <f>Table5[[#This Row],[Profit]]/Table5[[#This Row],[Revenue]]</f>
        <v>0.34782608695652178</v>
      </c>
    </row>
    <row r="90" spans="1:18" x14ac:dyDescent="0.2">
      <c r="A90" s="4">
        <v>89</v>
      </c>
      <c r="B90" s="4">
        <v>93</v>
      </c>
      <c r="C90" s="6">
        <v>45181</v>
      </c>
      <c r="D90" s="4">
        <v>10</v>
      </c>
      <c r="E90" s="4">
        <v>5</v>
      </c>
      <c r="F90" s="12">
        <f t="shared" si="1"/>
        <v>7279.441499999999</v>
      </c>
      <c r="G90" t="str">
        <f>VLOOKUP(B90,product_tbl[],2,FALSE)</f>
        <v>Cookbook 93</v>
      </c>
      <c r="H90" t="str">
        <f>VLOOKUP(B90,product_tbl[],3,FALSE)</f>
        <v>Books</v>
      </c>
      <c r="I90">
        <v>4597.5419999999995</v>
      </c>
      <c r="J90">
        <f>VLOOKUP(B90,product_tbl[],5,FALSE)</f>
        <v>7662.57</v>
      </c>
      <c r="K90">
        <f>VLOOKUP(B90,review_tbl[],3,FALSE)</f>
        <v>3</v>
      </c>
      <c r="L90" s="11">
        <v>8398.4115320547535</v>
      </c>
      <c r="M90" s="11">
        <f>AVERAGEIF(Table1[product_id],Master_tbl!B90:B1091,Table1[competitor_price])</f>
        <v>991.00333333333344</v>
      </c>
      <c r="N90" s="11">
        <f>IFERROR(Table5[[#This Row],[final_sale_price]]*Table5[[#This Row],[quantity_sold ]],0)</f>
        <v>72794.414999999994</v>
      </c>
      <c r="O90" s="11">
        <f>(Table5[[#This Row],[final_sale_price]]-Table5[[#This Row],[cost_price]])*Table5[[#This Row],[quantity_sold ]]</f>
        <v>26818.994999999995</v>
      </c>
      <c r="P90" s="11">
        <f>(Table5[final_sale_price]-Table5[[#This Row],[avg_comp_price]])</f>
        <v>6288.4381666666659</v>
      </c>
      <c r="Q90" s="15">
        <f>(Table5[[#This Row],[final_sale_price]]-Table5[[#This Row],[avg_comp_price]])/Table5[[#This Row],[avg_comp_price]]</f>
        <v>6.345526755712223</v>
      </c>
      <c r="R90" s="11">
        <f>Table5[[#This Row],[Profit]]/Table5[[#This Row],[Revenue]]</f>
        <v>0.36842105263157893</v>
      </c>
    </row>
    <row r="91" spans="1:18" x14ac:dyDescent="0.2">
      <c r="A91" s="5">
        <v>90</v>
      </c>
      <c r="B91" s="5">
        <v>21</v>
      </c>
      <c r="C91" s="7">
        <v>45685</v>
      </c>
      <c r="D91" s="5">
        <v>37</v>
      </c>
      <c r="E91" s="4">
        <v>9</v>
      </c>
      <c r="F91" s="12">
        <f t="shared" si="1"/>
        <v>2620.1630000000005</v>
      </c>
      <c r="G91" t="str">
        <f>VLOOKUP(B91,product_tbl[],2,FALSE)</f>
        <v>Water Purifier 21</v>
      </c>
      <c r="H91" t="str">
        <f>VLOOKUP(B91,product_tbl[],3,FALSE)</f>
        <v>Home Appliances</v>
      </c>
      <c r="I91">
        <v>1727.5800000000002</v>
      </c>
      <c r="J91">
        <f>VLOOKUP(B91,product_tbl[],5,FALSE)</f>
        <v>2879.3</v>
      </c>
      <c r="K91">
        <f>VLOOKUP(B91,review_tbl[],3,FALSE)</f>
        <v>3</v>
      </c>
      <c r="L91" s="11">
        <v>3249.2922157187622</v>
      </c>
      <c r="M91" s="11">
        <f>AVERAGEIF(Table1[product_id],Master_tbl!B91:B1092,Table1[competitor_price])</f>
        <v>4150.0079999999998</v>
      </c>
      <c r="N91" s="11">
        <f>IFERROR(Table5[[#This Row],[final_sale_price]]*Table5[[#This Row],[quantity_sold ]],0)</f>
        <v>96946.031000000017</v>
      </c>
      <c r="O91" s="11">
        <f>(Table5[[#This Row],[final_sale_price]]-Table5[[#This Row],[cost_price]])*Table5[[#This Row],[quantity_sold ]]</f>
        <v>33025.571000000011</v>
      </c>
      <c r="P91" s="11">
        <f>(Table5[final_sale_price]-Table5[[#This Row],[avg_comp_price]])</f>
        <v>-1529.8449999999993</v>
      </c>
      <c r="Q91" s="15">
        <f>(Table5[[#This Row],[final_sale_price]]-Table5[[#This Row],[avg_comp_price]])/Table5[[#This Row],[avg_comp_price]]</f>
        <v>-0.36863663877274438</v>
      </c>
      <c r="R91" s="11">
        <f>Table5[[#This Row],[Profit]]/Table5[[#This Row],[Revenue]]</f>
        <v>0.34065934065934073</v>
      </c>
    </row>
    <row r="92" spans="1:18" x14ac:dyDescent="0.2">
      <c r="A92" s="4">
        <v>91</v>
      </c>
      <c r="B92" s="4">
        <v>129</v>
      </c>
      <c r="C92" s="6">
        <v>45411</v>
      </c>
      <c r="D92" s="4">
        <v>49</v>
      </c>
      <c r="E92" s="4">
        <v>3</v>
      </c>
      <c r="F92" s="12">
        <f t="shared" si="1"/>
        <v>1223.4222</v>
      </c>
      <c r="G92" t="str">
        <f>VLOOKUP(B92,product_tbl[],2,FALSE)</f>
        <v>Smartphone 129</v>
      </c>
      <c r="H92" t="str">
        <f>VLOOKUP(B92,product_tbl[],3,FALSE)</f>
        <v>Electronics</v>
      </c>
      <c r="I92">
        <v>756.75599999999997</v>
      </c>
      <c r="J92">
        <f>VLOOKUP(B92,product_tbl[],5,FALSE)</f>
        <v>1261.26</v>
      </c>
      <c r="K92">
        <f>VLOOKUP(B92,review_tbl[],3,FALSE)</f>
        <v>4</v>
      </c>
      <c r="L92" s="11">
        <v>1415.7136109627115</v>
      </c>
      <c r="M92" s="11">
        <f>AVERAGEIF(Table1[product_id],Master_tbl!B92:B1093,Table1[competitor_price])</f>
        <v>4881.2166666666662</v>
      </c>
      <c r="N92" s="11">
        <f>IFERROR(Table5[[#This Row],[final_sale_price]]*Table5[[#This Row],[quantity_sold ]],0)</f>
        <v>59947.6878</v>
      </c>
      <c r="O92" s="11">
        <f>(Table5[[#This Row],[final_sale_price]]-Table5[[#This Row],[cost_price]])*Table5[[#This Row],[quantity_sold ]]</f>
        <v>22866.643800000002</v>
      </c>
      <c r="P92" s="11">
        <f>(Table5[final_sale_price]-Table5[[#This Row],[avg_comp_price]])</f>
        <v>-3657.7944666666663</v>
      </c>
      <c r="Q92" s="15">
        <f>(Table5[[#This Row],[final_sale_price]]-Table5[[#This Row],[avg_comp_price]])/Table5[[#This Row],[avg_comp_price]]</f>
        <v>-0.74936121800234234</v>
      </c>
      <c r="R92" s="11">
        <f>Table5[[#This Row],[Profit]]/Table5[[#This Row],[Revenue]]</f>
        <v>0.3814432989690722</v>
      </c>
    </row>
    <row r="93" spans="1:18" x14ac:dyDescent="0.2">
      <c r="A93" s="5">
        <v>92</v>
      </c>
      <c r="B93" s="5">
        <v>6</v>
      </c>
      <c r="C93" s="7">
        <v>45525</v>
      </c>
      <c r="D93" s="5">
        <v>32</v>
      </c>
      <c r="E93" s="4">
        <v>10</v>
      </c>
      <c r="F93" s="12">
        <f t="shared" si="1"/>
        <v>3712.6620000000003</v>
      </c>
      <c r="G93" t="str">
        <f>VLOOKUP(B93,product_tbl[],2,FALSE)</f>
        <v>Microwave 6</v>
      </c>
      <c r="H93" t="str">
        <f>VLOOKUP(B93,product_tbl[],3,FALSE)</f>
        <v>Home Appliances</v>
      </c>
      <c r="I93">
        <v>2475.1080000000002</v>
      </c>
      <c r="J93">
        <f>VLOOKUP(B93,product_tbl[],5,FALSE)</f>
        <v>4125.18</v>
      </c>
      <c r="K93">
        <f>VLOOKUP(B93,review_tbl[],3,FALSE)</f>
        <v>5</v>
      </c>
      <c r="L93" s="11">
        <v>4882.4191886245362</v>
      </c>
      <c r="M93" s="11">
        <f>AVERAGEIF(Table1[product_id],Master_tbl!B93:B1094,Table1[competitor_price])</f>
        <v>6862.0275000000001</v>
      </c>
      <c r="N93" s="11">
        <f>IFERROR(Table5[[#This Row],[final_sale_price]]*Table5[[#This Row],[quantity_sold ]],0)</f>
        <v>118805.18400000001</v>
      </c>
      <c r="O93" s="11">
        <f>(Table5[[#This Row],[final_sale_price]]-Table5[[#This Row],[cost_price]])*Table5[[#This Row],[quantity_sold ]]</f>
        <v>39601.728000000003</v>
      </c>
      <c r="P93" s="11">
        <f>(Table5[final_sale_price]-Table5[[#This Row],[avg_comp_price]])</f>
        <v>-3149.3654999999999</v>
      </c>
      <c r="Q93" s="15">
        <f>(Table5[[#This Row],[final_sale_price]]-Table5[[#This Row],[avg_comp_price]])/Table5[[#This Row],[avg_comp_price]]</f>
        <v>-0.45895553464336886</v>
      </c>
      <c r="R93" s="11">
        <f>Table5[[#This Row],[Profit]]/Table5[[#This Row],[Revenue]]</f>
        <v>0.33333333333333331</v>
      </c>
    </row>
    <row r="94" spans="1:18" x14ac:dyDescent="0.2">
      <c r="A94" s="4">
        <v>93</v>
      </c>
      <c r="B94" s="4">
        <v>45</v>
      </c>
      <c r="C94" s="6">
        <v>45617</v>
      </c>
      <c r="D94" s="4">
        <v>14</v>
      </c>
      <c r="E94" s="4">
        <v>8</v>
      </c>
      <c r="F94" s="12">
        <f t="shared" si="1"/>
        <v>4900.278800000001</v>
      </c>
      <c r="G94" t="str">
        <f>VLOOKUP(B94,product_tbl[],2,FALSE)</f>
        <v>Doll 45</v>
      </c>
      <c r="H94" t="str">
        <f>VLOOKUP(B94,product_tbl[],3,FALSE)</f>
        <v>Toys</v>
      </c>
      <c r="I94">
        <v>3195.8340000000003</v>
      </c>
      <c r="J94">
        <f>VLOOKUP(B94,product_tbl[],5,FALSE)</f>
        <v>5326.39</v>
      </c>
      <c r="K94">
        <f>VLOOKUP(B94,review_tbl[],3,FALSE)</f>
        <v>1</v>
      </c>
      <c r="L94" s="11">
        <v>5348.2147774767363</v>
      </c>
      <c r="M94" s="11">
        <f>AVERAGEIF(Table1[product_id],Master_tbl!B94:B1095,Table1[competitor_price])</f>
        <v>4436.1279999999997</v>
      </c>
      <c r="N94" s="11">
        <f>IFERROR(Table5[[#This Row],[final_sale_price]]*Table5[[#This Row],[quantity_sold ]],0)</f>
        <v>68603.903200000015</v>
      </c>
      <c r="O94" s="11">
        <f>(Table5[[#This Row],[final_sale_price]]-Table5[[#This Row],[cost_price]])*Table5[[#This Row],[quantity_sold ]]</f>
        <v>23862.227200000008</v>
      </c>
      <c r="P94" s="11">
        <f>(Table5[final_sale_price]-Table5[[#This Row],[avg_comp_price]])</f>
        <v>464.15080000000125</v>
      </c>
      <c r="Q94" s="15">
        <f>(Table5[[#This Row],[final_sale_price]]-Table5[[#This Row],[avg_comp_price]])/Table5[[#This Row],[avg_comp_price]]</f>
        <v>0.10462971311918892</v>
      </c>
      <c r="R94" s="11">
        <f>Table5[[#This Row],[Profit]]/Table5[[#This Row],[Revenue]]</f>
        <v>0.34782608695652178</v>
      </c>
    </row>
    <row r="95" spans="1:18" x14ac:dyDescent="0.2">
      <c r="A95" s="5">
        <v>94</v>
      </c>
      <c r="B95" s="5">
        <v>27</v>
      </c>
      <c r="C95" s="7">
        <v>45810</v>
      </c>
      <c r="D95" s="5">
        <v>49</v>
      </c>
      <c r="E95" s="4">
        <v>4</v>
      </c>
      <c r="F95" s="12">
        <f t="shared" si="1"/>
        <v>1557.9839999999999</v>
      </c>
      <c r="G95" t="str">
        <f>VLOOKUP(B95,product_tbl[],2,FALSE)</f>
        <v>Action Figure 27</v>
      </c>
      <c r="H95" t="str">
        <f>VLOOKUP(B95,product_tbl[],3,FALSE)</f>
        <v>Toys</v>
      </c>
      <c r="I95">
        <v>973.74</v>
      </c>
      <c r="J95">
        <f>VLOOKUP(B95,product_tbl[],5,FALSE)</f>
        <v>1622.9</v>
      </c>
      <c r="K95">
        <f>VLOOKUP(B95,review_tbl[],3,FALSE)</f>
        <v>1</v>
      </c>
      <c r="L95" s="11">
        <v>1676.3666361518494</v>
      </c>
      <c r="M95" s="11">
        <f>AVERAGEIF(Table1[product_id],Master_tbl!B95:B1096,Table1[competitor_price])</f>
        <v>4440.416666666667</v>
      </c>
      <c r="N95" s="11">
        <f>IFERROR(Table5[[#This Row],[final_sale_price]]*Table5[[#This Row],[quantity_sold ]],0)</f>
        <v>76341.216</v>
      </c>
      <c r="O95" s="11">
        <f>(Table5[[#This Row],[final_sale_price]]-Table5[[#This Row],[cost_price]])*Table5[[#This Row],[quantity_sold ]]</f>
        <v>28627.955999999995</v>
      </c>
      <c r="P95" s="11">
        <f>(Table5[final_sale_price]-Table5[[#This Row],[avg_comp_price]])</f>
        <v>-2882.432666666667</v>
      </c>
      <c r="Q95" s="15">
        <f>(Table5[[#This Row],[final_sale_price]]-Table5[[#This Row],[avg_comp_price]])/Table5[[#This Row],[avg_comp_price]]</f>
        <v>-0.64913562916392986</v>
      </c>
      <c r="R95" s="11">
        <f>Table5[[#This Row],[Profit]]/Table5[[#This Row],[Revenue]]</f>
        <v>0.37499999999999994</v>
      </c>
    </row>
    <row r="96" spans="1:18" x14ac:dyDescent="0.2">
      <c r="A96" s="4">
        <v>95</v>
      </c>
      <c r="B96" s="4">
        <v>28</v>
      </c>
      <c r="C96" s="6">
        <v>44967</v>
      </c>
      <c r="D96" s="4">
        <v>34</v>
      </c>
      <c r="E96" s="4">
        <v>10</v>
      </c>
      <c r="F96" s="12">
        <f t="shared" si="1"/>
        <v>5144.9579999999996</v>
      </c>
      <c r="G96" t="str">
        <f>VLOOKUP(B96,product_tbl[],2,FALSE)</f>
        <v>Water Purifier 28</v>
      </c>
      <c r="H96" t="str">
        <f>VLOOKUP(B96,product_tbl[],3,FALSE)</f>
        <v>Home Appliances</v>
      </c>
      <c r="I96">
        <v>3429.9719999999998</v>
      </c>
      <c r="J96">
        <f>VLOOKUP(B96,product_tbl[],5,FALSE)</f>
        <v>5716.62</v>
      </c>
      <c r="K96">
        <f>VLOOKUP(B96,review_tbl[],3,FALSE)</f>
        <v>5</v>
      </c>
      <c r="L96" s="11">
        <v>7151.4023257542167</v>
      </c>
      <c r="M96" s="11">
        <f>AVERAGEIF(Table1[product_id],Master_tbl!B96:B1097,Table1[competitor_price])</f>
        <v>3542.9559999999997</v>
      </c>
      <c r="N96" s="11">
        <f>IFERROR(Table5[[#This Row],[final_sale_price]]*Table5[[#This Row],[quantity_sold ]],0)</f>
        <v>174928.57199999999</v>
      </c>
      <c r="O96" s="11">
        <f>(Table5[[#This Row],[final_sale_price]]-Table5[[#This Row],[cost_price]])*Table5[[#This Row],[quantity_sold ]]</f>
        <v>58309.523999999998</v>
      </c>
      <c r="P96" s="11">
        <f>(Table5[final_sale_price]-Table5[[#This Row],[avg_comp_price]])</f>
        <v>1602.002</v>
      </c>
      <c r="Q96" s="15">
        <f>(Table5[[#This Row],[final_sale_price]]-Table5[[#This Row],[avg_comp_price]])/Table5[[#This Row],[avg_comp_price]]</f>
        <v>0.45216536699863052</v>
      </c>
      <c r="R96" s="11">
        <f>Table5[[#This Row],[Profit]]/Table5[[#This Row],[Revenue]]</f>
        <v>0.33333333333333337</v>
      </c>
    </row>
    <row r="97" spans="1:18" x14ac:dyDescent="0.2">
      <c r="A97" s="5">
        <v>96</v>
      </c>
      <c r="B97" s="5">
        <v>115</v>
      </c>
      <c r="C97" s="7">
        <v>45915</v>
      </c>
      <c r="D97" s="5">
        <v>49</v>
      </c>
      <c r="E97" s="4">
        <v>2</v>
      </c>
      <c r="F97" s="12">
        <f t="shared" si="1"/>
        <v>4597.4543999999996</v>
      </c>
      <c r="G97" t="str">
        <f>VLOOKUP(B97,product_tbl[],2,FALSE)</f>
        <v>Children Story Book 115</v>
      </c>
      <c r="H97" t="str">
        <f>VLOOKUP(B97,product_tbl[],3,FALSE)</f>
        <v>Books</v>
      </c>
      <c r="I97">
        <v>2814.7679999999996</v>
      </c>
      <c r="J97">
        <f>VLOOKUP(B97,product_tbl[],5,FALSE)</f>
        <v>4691.28</v>
      </c>
      <c r="K97">
        <f>VLOOKUP(B97,review_tbl[],3,FALSE)</f>
        <v>2</v>
      </c>
      <c r="L97" s="11">
        <v>5288.6877746402033</v>
      </c>
      <c r="M97" s="11">
        <f>AVERAGEIF(Table1[product_id],Master_tbl!B97:B1098,Table1[competitor_price])</f>
        <v>4456.5325000000003</v>
      </c>
      <c r="N97" s="11">
        <f>IFERROR(Table5[[#This Row],[final_sale_price]]*Table5[[#This Row],[quantity_sold ]],0)</f>
        <v>225275.26559999998</v>
      </c>
      <c r="O97" s="11">
        <f>(Table5[[#This Row],[final_sale_price]]-Table5[[#This Row],[cost_price]])*Table5[[#This Row],[quantity_sold ]]</f>
        <v>87351.633600000001</v>
      </c>
      <c r="P97" s="11">
        <f>(Table5[final_sale_price]-Table5[[#This Row],[avg_comp_price]])</f>
        <v>140.92189999999937</v>
      </c>
      <c r="Q97" s="15">
        <f>(Table5[[#This Row],[final_sale_price]]-Table5[[#This Row],[avg_comp_price]])/Table5[[#This Row],[avg_comp_price]]</f>
        <v>3.1621423158026865E-2</v>
      </c>
      <c r="R97" s="11">
        <f>Table5[[#This Row],[Profit]]/Table5[[#This Row],[Revenue]]</f>
        <v>0.38775510204081637</v>
      </c>
    </row>
    <row r="98" spans="1:18" x14ac:dyDescent="0.2">
      <c r="A98" s="4">
        <v>97</v>
      </c>
      <c r="B98" s="4">
        <v>104</v>
      </c>
      <c r="C98" s="6">
        <v>45072</v>
      </c>
      <c r="D98" s="4">
        <v>49</v>
      </c>
      <c r="E98" s="4">
        <v>8</v>
      </c>
      <c r="F98" s="12">
        <f t="shared" si="1"/>
        <v>2974.8660000000004</v>
      </c>
      <c r="G98" t="str">
        <f>VLOOKUP(B98,product_tbl[],2,FALSE)</f>
        <v>Children Story Book 104</v>
      </c>
      <c r="H98" t="str">
        <f>VLOOKUP(B98,product_tbl[],3,FALSE)</f>
        <v>Books</v>
      </c>
      <c r="I98">
        <v>1940.13</v>
      </c>
      <c r="J98">
        <f>VLOOKUP(B98,product_tbl[],5,FALSE)</f>
        <v>3233.55</v>
      </c>
      <c r="K98">
        <f>VLOOKUP(B98,review_tbl[],3,FALSE)</f>
        <v>1</v>
      </c>
      <c r="L98" s="11">
        <v>4017.3166803494951</v>
      </c>
      <c r="M98" s="11">
        <f>AVERAGEIF(Table1[product_id],Master_tbl!B98:B1099,Table1[competitor_price])</f>
        <v>5121.3466666666664</v>
      </c>
      <c r="N98" s="11">
        <f>IFERROR(Table5[[#This Row],[final_sale_price]]*Table5[[#This Row],[quantity_sold ]],0)</f>
        <v>145768.43400000001</v>
      </c>
      <c r="O98" s="11">
        <f>(Table5[[#This Row],[final_sale_price]]-Table5[[#This Row],[cost_price]])*Table5[[#This Row],[quantity_sold ]]</f>
        <v>50702.064000000013</v>
      </c>
      <c r="P98" s="11">
        <f>(Table5[final_sale_price]-Table5[[#This Row],[avg_comp_price]])</f>
        <v>-2146.4806666666659</v>
      </c>
      <c r="Q98" s="15">
        <f>(Table5[[#This Row],[final_sale_price]]-Table5[[#This Row],[avg_comp_price]])/Table5[[#This Row],[avg_comp_price]]</f>
        <v>-0.41912426679441073</v>
      </c>
      <c r="R98" s="11">
        <f>Table5[[#This Row],[Profit]]/Table5[[#This Row],[Revenue]]</f>
        <v>0.34782608695652178</v>
      </c>
    </row>
    <row r="99" spans="1:18" x14ac:dyDescent="0.2">
      <c r="A99" s="5">
        <v>98</v>
      </c>
      <c r="B99" s="5">
        <v>41</v>
      </c>
      <c r="C99" s="7">
        <v>45933</v>
      </c>
      <c r="D99" s="5">
        <v>29</v>
      </c>
      <c r="E99" s="4">
        <v>2</v>
      </c>
      <c r="F99" s="12">
        <f t="shared" si="1"/>
        <v>3019.8405999999995</v>
      </c>
      <c r="G99" t="str">
        <f>VLOOKUP(B99,product_tbl[],2,FALSE)</f>
        <v>Olive Oil 41</v>
      </c>
      <c r="H99" t="str">
        <f>VLOOKUP(B99,product_tbl[],3,FALSE)</f>
        <v>Grocery</v>
      </c>
      <c r="I99">
        <v>1848.8819999999998</v>
      </c>
      <c r="J99">
        <f>VLOOKUP(B99,product_tbl[],5,FALSE)</f>
        <v>3081.47</v>
      </c>
      <c r="K99">
        <f>VLOOKUP(B99,review_tbl[],3,FALSE)</f>
        <v>1</v>
      </c>
      <c r="L99" s="11">
        <v>3537.5320656049948</v>
      </c>
      <c r="M99" s="11">
        <f>AVERAGEIF(Table1[product_id],Master_tbl!B99:B1100,Table1[competitor_price])</f>
        <v>1589.1249999999998</v>
      </c>
      <c r="N99" s="11">
        <f>IFERROR(Table5[[#This Row],[final_sale_price]]*Table5[[#This Row],[quantity_sold ]],0)</f>
        <v>87575.377399999983</v>
      </c>
      <c r="O99" s="11">
        <f>(Table5[[#This Row],[final_sale_price]]-Table5[[#This Row],[cost_price]])*Table5[[#This Row],[quantity_sold ]]</f>
        <v>33957.799399999989</v>
      </c>
      <c r="P99" s="11">
        <f>(Table5[final_sale_price]-Table5[[#This Row],[avg_comp_price]])</f>
        <v>1430.7155999999998</v>
      </c>
      <c r="Q99" s="15">
        <f>(Table5[[#This Row],[final_sale_price]]-Table5[[#This Row],[avg_comp_price]])/Table5[[#This Row],[avg_comp_price]]</f>
        <v>0.90031658931802094</v>
      </c>
      <c r="R99" s="11">
        <f>Table5[[#This Row],[Profit]]/Table5[[#This Row],[Revenue]]</f>
        <v>0.38775510204081626</v>
      </c>
    </row>
    <row r="100" spans="1:18" x14ac:dyDescent="0.2">
      <c r="A100" s="4">
        <v>99</v>
      </c>
      <c r="B100" s="4">
        <v>97</v>
      </c>
      <c r="C100" s="6">
        <v>45875</v>
      </c>
      <c r="D100" s="4">
        <v>43</v>
      </c>
      <c r="E100" s="4">
        <v>10</v>
      </c>
      <c r="F100" s="12">
        <f t="shared" si="1"/>
        <v>829.476</v>
      </c>
      <c r="G100" t="str">
        <f>VLOOKUP(B100,product_tbl[],2,FALSE)</f>
        <v>Washing Machine 97</v>
      </c>
      <c r="H100" t="str">
        <f>VLOOKUP(B100,product_tbl[],3,FALSE)</f>
        <v>Home Appliances</v>
      </c>
      <c r="I100">
        <v>552.98399999999992</v>
      </c>
      <c r="J100">
        <f>VLOOKUP(B100,product_tbl[],5,FALSE)</f>
        <v>921.64</v>
      </c>
      <c r="K100">
        <f>VLOOKUP(B100,review_tbl[],3,FALSE)</f>
        <v>3</v>
      </c>
      <c r="L100" s="11">
        <v>1156.8213398972653</v>
      </c>
      <c r="M100" s="11">
        <f>AVERAGEIF(Table1[product_id],Master_tbl!B100:B1101,Table1[competitor_price])</f>
        <v>2464.87</v>
      </c>
      <c r="N100" s="11">
        <f>IFERROR(Table5[[#This Row],[final_sale_price]]*Table5[[#This Row],[quantity_sold ]],0)</f>
        <v>35667.468000000001</v>
      </c>
      <c r="O100" s="11">
        <f>(Table5[[#This Row],[final_sale_price]]-Table5[[#This Row],[cost_price]])*Table5[[#This Row],[quantity_sold ]]</f>
        <v>11889.156000000003</v>
      </c>
      <c r="P100" s="11">
        <f>(Table5[final_sale_price]-Table5[[#This Row],[avg_comp_price]])</f>
        <v>-1635.3939999999998</v>
      </c>
      <c r="Q100" s="15">
        <f>(Table5[[#This Row],[final_sale_price]]-Table5[[#This Row],[avg_comp_price]])/Table5[[#This Row],[avg_comp_price]]</f>
        <v>-0.66348083266054592</v>
      </c>
      <c r="R100" s="11">
        <f>Table5[[#This Row],[Profit]]/Table5[[#This Row],[Revenue]]</f>
        <v>0.33333333333333343</v>
      </c>
    </row>
    <row r="101" spans="1:18" x14ac:dyDescent="0.2">
      <c r="A101" s="5">
        <v>100</v>
      </c>
      <c r="B101" s="5">
        <v>32</v>
      </c>
      <c r="C101" s="7">
        <v>45160</v>
      </c>
      <c r="D101" s="5">
        <v>36</v>
      </c>
      <c r="E101" s="4">
        <v>10</v>
      </c>
      <c r="F101" s="12">
        <f t="shared" si="1"/>
        <v>854.06400000000008</v>
      </c>
      <c r="G101" t="str">
        <f>VLOOKUP(B101,product_tbl[],2,FALSE)</f>
        <v>Fiction Novel 32</v>
      </c>
      <c r="H101" t="str">
        <f>VLOOKUP(B101,product_tbl[],3,FALSE)</f>
        <v>Books</v>
      </c>
      <c r="I101">
        <v>569.37599999999998</v>
      </c>
      <c r="J101">
        <f>VLOOKUP(B101,product_tbl[],5,FALSE)</f>
        <v>948.96</v>
      </c>
      <c r="K101">
        <f>VLOOKUP(B101,review_tbl[],3,FALSE)</f>
        <v>4</v>
      </c>
      <c r="L101" s="11">
        <v>963.76972723360484</v>
      </c>
      <c r="M101" s="11">
        <f>AVERAGEIF(Table1[product_id],Master_tbl!B101:B1102,Table1[competitor_price])</f>
        <v>2168.4866666666671</v>
      </c>
      <c r="N101" s="11">
        <f>IFERROR(Table5[[#This Row],[final_sale_price]]*Table5[[#This Row],[quantity_sold ]],0)</f>
        <v>30746.304000000004</v>
      </c>
      <c r="O101" s="11">
        <f>(Table5[[#This Row],[final_sale_price]]-Table5[[#This Row],[cost_price]])*Table5[[#This Row],[quantity_sold ]]</f>
        <v>10248.768000000004</v>
      </c>
      <c r="P101" s="11">
        <f>(Table5[final_sale_price]-Table5[[#This Row],[avg_comp_price]])</f>
        <v>-1314.4226666666671</v>
      </c>
      <c r="Q101" s="15">
        <f>(Table5[[#This Row],[final_sale_price]]-Table5[[#This Row],[avg_comp_price]])/Table5[[#This Row],[avg_comp_price]]</f>
        <v>-0.60614745152533411</v>
      </c>
      <c r="R101" s="11">
        <f>Table5[[#This Row],[Profit]]/Table5[[#This Row],[Revenue]]</f>
        <v>0.33333333333333343</v>
      </c>
    </row>
    <row r="102" spans="1:18" x14ac:dyDescent="0.2">
      <c r="A102" s="4">
        <v>101</v>
      </c>
      <c r="B102" s="4">
        <v>104</v>
      </c>
      <c r="C102" s="6">
        <v>45005</v>
      </c>
      <c r="D102" s="4">
        <v>44</v>
      </c>
      <c r="E102" s="4">
        <v>3</v>
      </c>
      <c r="F102" s="12">
        <f t="shared" si="1"/>
        <v>3136.5435000000002</v>
      </c>
      <c r="G102" t="str">
        <f>VLOOKUP(B102,product_tbl[],2,FALSE)</f>
        <v>Children Story Book 104</v>
      </c>
      <c r="H102" t="str">
        <f>VLOOKUP(B102,product_tbl[],3,FALSE)</f>
        <v>Books</v>
      </c>
      <c r="I102">
        <v>1940.13</v>
      </c>
      <c r="J102">
        <f>VLOOKUP(B102,product_tbl[],5,FALSE)</f>
        <v>3233.55</v>
      </c>
      <c r="K102">
        <f>VLOOKUP(B102,review_tbl[],3,FALSE)</f>
        <v>1</v>
      </c>
      <c r="L102" s="11">
        <v>3765.3756334287204</v>
      </c>
      <c r="M102" s="11">
        <f>AVERAGEIF(Table1[product_id],Master_tbl!B102:B1103,Table1[competitor_price])</f>
        <v>5121.3466666666664</v>
      </c>
      <c r="N102" s="11">
        <f>IFERROR(Table5[[#This Row],[final_sale_price]]*Table5[[#This Row],[quantity_sold ]],0)</f>
        <v>138007.91400000002</v>
      </c>
      <c r="O102" s="11">
        <f>(Table5[[#This Row],[final_sale_price]]-Table5[[#This Row],[cost_price]])*Table5[[#This Row],[quantity_sold ]]</f>
        <v>52642.194000000003</v>
      </c>
      <c r="P102" s="11">
        <f>(Table5[final_sale_price]-Table5[[#This Row],[avg_comp_price]])</f>
        <v>-1984.8031666666661</v>
      </c>
      <c r="Q102" s="15">
        <f>(Table5[[#This Row],[final_sale_price]]-Table5[[#This Row],[avg_comp_price]])/Table5[[#This Row],[avg_comp_price]]</f>
        <v>-0.38755493346802006</v>
      </c>
      <c r="R102" s="11">
        <f>Table5[[#This Row],[Profit]]/Table5[[#This Row],[Revenue]]</f>
        <v>0.38144329896907214</v>
      </c>
    </row>
    <row r="103" spans="1:18" x14ac:dyDescent="0.2">
      <c r="A103" s="5">
        <v>102</v>
      </c>
      <c r="B103" s="5">
        <v>106</v>
      </c>
      <c r="C103" s="7">
        <v>45495</v>
      </c>
      <c r="D103" s="5">
        <v>50</v>
      </c>
      <c r="E103" s="4">
        <v>5</v>
      </c>
      <c r="F103" s="12">
        <f t="shared" si="1"/>
        <v>1362.3284999999998</v>
      </c>
      <c r="G103" t="str">
        <f>VLOOKUP(B103,product_tbl[],2,FALSE)</f>
        <v>Doll 106</v>
      </c>
      <c r="H103" t="str">
        <f>VLOOKUP(B103,product_tbl[],3,FALSE)</f>
        <v>Toys</v>
      </c>
      <c r="I103">
        <v>860.41800000000001</v>
      </c>
      <c r="J103">
        <f>VLOOKUP(B103,product_tbl[],5,FALSE)</f>
        <v>1434.03</v>
      </c>
      <c r="K103">
        <f>VLOOKUP(B103,review_tbl[],3,FALSE)</f>
        <v>2</v>
      </c>
      <c r="L103" s="11">
        <v>1449.2246498436778</v>
      </c>
      <c r="M103" s="11">
        <f>AVERAGEIF(Table1[product_id],Master_tbl!B103:B1104,Table1[competitor_price])</f>
        <v>695.38400000000001</v>
      </c>
      <c r="N103" s="11">
        <f>IFERROR(Table5[[#This Row],[final_sale_price]]*Table5[[#This Row],[quantity_sold ]],0)</f>
        <v>68116.424999999988</v>
      </c>
      <c r="O103" s="11">
        <f>(Table5[[#This Row],[final_sale_price]]-Table5[[#This Row],[cost_price]])*Table5[[#This Row],[quantity_sold ]]</f>
        <v>25095.524999999991</v>
      </c>
      <c r="P103" s="11">
        <f>(Table5[final_sale_price]-Table5[[#This Row],[avg_comp_price]])</f>
        <v>666.94449999999983</v>
      </c>
      <c r="Q103" s="15">
        <f>(Table5[[#This Row],[final_sale_price]]-Table5[[#This Row],[avg_comp_price]])/Table5[[#This Row],[avg_comp_price]]</f>
        <v>0.95910245274553318</v>
      </c>
      <c r="R103" s="11">
        <f>Table5[[#This Row],[Profit]]/Table5[[#This Row],[Revenue]]</f>
        <v>0.36842105263157887</v>
      </c>
    </row>
    <row r="104" spans="1:18" x14ac:dyDescent="0.2">
      <c r="A104" s="4">
        <v>103</v>
      </c>
      <c r="B104" s="4">
        <v>76</v>
      </c>
      <c r="C104" s="6">
        <v>45419</v>
      </c>
      <c r="D104" s="4">
        <v>48</v>
      </c>
      <c r="E104" s="4">
        <v>4</v>
      </c>
      <c r="F104" s="12">
        <f t="shared" si="1"/>
        <v>2942.9472000000001</v>
      </c>
      <c r="G104" t="str">
        <f>VLOOKUP(B104,product_tbl[],2,FALSE)</f>
        <v>Laptop 76</v>
      </c>
      <c r="H104" t="str">
        <f>VLOOKUP(B104,product_tbl[],3,FALSE)</f>
        <v>Electronics</v>
      </c>
      <c r="I104">
        <v>1839.3420000000001</v>
      </c>
      <c r="J104">
        <f>VLOOKUP(B104,product_tbl[],5,FALSE)</f>
        <v>3065.57</v>
      </c>
      <c r="K104">
        <f>VLOOKUP(B104,review_tbl[],3,FALSE)</f>
        <v>1</v>
      </c>
      <c r="L104" s="11">
        <v>3269.6717752940699</v>
      </c>
      <c r="M104" s="11">
        <f>AVERAGEIF(Table1[product_id],Master_tbl!B104:B1105,Table1[competitor_price])</f>
        <v>831.92600000000004</v>
      </c>
      <c r="N104" s="11">
        <f>IFERROR(Table5[[#This Row],[final_sale_price]]*Table5[[#This Row],[quantity_sold ]],0)</f>
        <v>141261.4656</v>
      </c>
      <c r="O104" s="11">
        <f>(Table5[[#This Row],[final_sale_price]]-Table5[[#This Row],[cost_price]])*Table5[[#This Row],[quantity_sold ]]</f>
        <v>52973.049599999998</v>
      </c>
      <c r="P104" s="11">
        <f>(Table5[final_sale_price]-Table5[[#This Row],[avg_comp_price]])</f>
        <v>2111.0212000000001</v>
      </c>
      <c r="Q104" s="15">
        <f>(Table5[[#This Row],[final_sale_price]]-Table5[[#This Row],[avg_comp_price]])/Table5[[#This Row],[avg_comp_price]]</f>
        <v>2.5375107882191443</v>
      </c>
      <c r="R104" s="11">
        <f>Table5[[#This Row],[Profit]]/Table5[[#This Row],[Revenue]]</f>
        <v>0.375</v>
      </c>
    </row>
    <row r="105" spans="1:18" x14ac:dyDescent="0.2">
      <c r="A105" s="5">
        <v>104</v>
      </c>
      <c r="B105" s="5">
        <v>22</v>
      </c>
      <c r="C105" s="7">
        <v>45558</v>
      </c>
      <c r="D105" s="5">
        <v>41</v>
      </c>
      <c r="E105" s="4">
        <v>6</v>
      </c>
      <c r="F105" s="12">
        <f t="shared" si="1"/>
        <v>1536.4299999999998</v>
      </c>
      <c r="G105" t="str">
        <f>VLOOKUP(B105,product_tbl[],2,FALSE)</f>
        <v>Dress 22</v>
      </c>
      <c r="H105" t="str">
        <f>VLOOKUP(B105,product_tbl[],3,FALSE)</f>
        <v>Fashion</v>
      </c>
      <c r="I105">
        <v>980.69999999999993</v>
      </c>
      <c r="J105">
        <f>VLOOKUP(B105,product_tbl[],5,FALSE)</f>
        <v>1634.5</v>
      </c>
      <c r="K105">
        <f>VLOOKUP(B105,review_tbl[],3,FALSE)</f>
        <v>1</v>
      </c>
      <c r="L105" s="11">
        <v>2042.2480462808776</v>
      </c>
      <c r="M105" s="11">
        <f>AVERAGEIF(Table1[product_id],Master_tbl!B105:B1106,Table1[competitor_price])</f>
        <v>3187.4450000000002</v>
      </c>
      <c r="N105" s="11">
        <f>IFERROR(Table5[[#This Row],[final_sale_price]]*Table5[[#This Row],[quantity_sold ]],0)</f>
        <v>62993.62999999999</v>
      </c>
      <c r="O105" s="11">
        <f>(Table5[[#This Row],[final_sale_price]]-Table5[[#This Row],[cost_price]])*Table5[[#This Row],[quantity_sold ]]</f>
        <v>22784.929999999997</v>
      </c>
      <c r="P105" s="11">
        <f>(Table5[final_sale_price]-Table5[[#This Row],[avg_comp_price]])</f>
        <v>-1651.0150000000003</v>
      </c>
      <c r="Q105" s="15">
        <f>(Table5[[#This Row],[final_sale_price]]-Table5[[#This Row],[avg_comp_price]])/Table5[[#This Row],[avg_comp_price]]</f>
        <v>-0.51797442779404834</v>
      </c>
      <c r="R105" s="11">
        <f>Table5[[#This Row],[Profit]]/Table5[[#This Row],[Revenue]]</f>
        <v>0.36170212765957449</v>
      </c>
    </row>
    <row r="106" spans="1:18" x14ac:dyDescent="0.2">
      <c r="A106" s="4">
        <v>105</v>
      </c>
      <c r="B106" s="4">
        <v>126</v>
      </c>
      <c r="C106" s="6">
        <v>45975</v>
      </c>
      <c r="D106" s="4">
        <v>47</v>
      </c>
      <c r="E106" s="4">
        <v>7</v>
      </c>
      <c r="F106" s="12">
        <f t="shared" si="1"/>
        <v>942.3039</v>
      </c>
      <c r="G106" t="str">
        <f>VLOOKUP(B106,product_tbl[],2,FALSE)</f>
        <v>Cricket Bat 126</v>
      </c>
      <c r="H106" t="str">
        <f>VLOOKUP(B106,product_tbl[],3,FALSE)</f>
        <v>Sports</v>
      </c>
      <c r="I106">
        <v>607.93799999999999</v>
      </c>
      <c r="J106">
        <f>VLOOKUP(B106,product_tbl[],5,FALSE)</f>
        <v>1013.23</v>
      </c>
      <c r="K106">
        <f>VLOOKUP(B106,review_tbl[],3,FALSE)</f>
        <v>5</v>
      </c>
      <c r="L106" s="11">
        <v>1290.8411885327321</v>
      </c>
      <c r="M106" s="11">
        <f>AVERAGEIF(Table1[product_id],Master_tbl!B106:B1107,Table1[competitor_price])</f>
        <v>7593.0025000000005</v>
      </c>
      <c r="N106" s="11">
        <f>IFERROR(Table5[[#This Row],[final_sale_price]]*Table5[[#This Row],[quantity_sold ]],0)</f>
        <v>44288.283300000003</v>
      </c>
      <c r="O106" s="11">
        <f>(Table5[[#This Row],[final_sale_price]]-Table5[[#This Row],[cost_price]])*Table5[[#This Row],[quantity_sold ]]</f>
        <v>15715.1973</v>
      </c>
      <c r="P106" s="11">
        <f>(Table5[final_sale_price]-Table5[[#This Row],[avg_comp_price]])</f>
        <v>-6650.6986000000006</v>
      </c>
      <c r="Q106" s="15">
        <f>(Table5[[#This Row],[final_sale_price]]-Table5[[#This Row],[avg_comp_price]])/Table5[[#This Row],[avg_comp_price]]</f>
        <v>-0.87589838143738263</v>
      </c>
      <c r="R106" s="11">
        <f>Table5[[#This Row],[Profit]]/Table5[[#This Row],[Revenue]]</f>
        <v>0.35483870967741932</v>
      </c>
    </row>
    <row r="107" spans="1:18" x14ac:dyDescent="0.2">
      <c r="A107" s="5">
        <v>106</v>
      </c>
      <c r="B107" s="5">
        <v>93</v>
      </c>
      <c r="C107" s="7">
        <v>45660</v>
      </c>
      <c r="D107" s="5">
        <v>2</v>
      </c>
      <c r="E107" s="4">
        <v>5</v>
      </c>
      <c r="F107" s="12">
        <f t="shared" si="1"/>
        <v>7279.441499999999</v>
      </c>
      <c r="G107" t="str">
        <f>VLOOKUP(B107,product_tbl[],2,FALSE)</f>
        <v>Cookbook 93</v>
      </c>
      <c r="H107" t="str">
        <f>VLOOKUP(B107,product_tbl[],3,FALSE)</f>
        <v>Books</v>
      </c>
      <c r="I107">
        <v>4597.5419999999995</v>
      </c>
      <c r="J107">
        <f>VLOOKUP(B107,product_tbl[],5,FALSE)</f>
        <v>7662.57</v>
      </c>
      <c r="K107">
        <f>VLOOKUP(B107,review_tbl[],3,FALSE)</f>
        <v>3</v>
      </c>
      <c r="L107" s="11">
        <v>9628.6310393828808</v>
      </c>
      <c r="M107" s="11">
        <f>AVERAGEIF(Table1[product_id],Master_tbl!B107:B1108,Table1[competitor_price])</f>
        <v>991.00333333333344</v>
      </c>
      <c r="N107" s="11">
        <f>IFERROR(Table5[[#This Row],[final_sale_price]]*Table5[[#This Row],[quantity_sold ]],0)</f>
        <v>14558.882999999998</v>
      </c>
      <c r="O107" s="11">
        <f>(Table5[[#This Row],[final_sale_price]]-Table5[[#This Row],[cost_price]])*Table5[[#This Row],[quantity_sold ]]</f>
        <v>5363.7989999999991</v>
      </c>
      <c r="P107" s="11">
        <f>(Table5[final_sale_price]-Table5[[#This Row],[avg_comp_price]])</f>
        <v>6288.4381666666659</v>
      </c>
      <c r="Q107" s="15">
        <f>(Table5[[#This Row],[final_sale_price]]-Table5[[#This Row],[avg_comp_price]])/Table5[[#This Row],[avg_comp_price]]</f>
        <v>6.345526755712223</v>
      </c>
      <c r="R107" s="11">
        <f>Table5[[#This Row],[Profit]]/Table5[[#This Row],[Revenue]]</f>
        <v>0.36842105263157893</v>
      </c>
    </row>
    <row r="108" spans="1:18" x14ac:dyDescent="0.2">
      <c r="A108" s="4">
        <v>107</v>
      </c>
      <c r="B108" s="4">
        <v>104</v>
      </c>
      <c r="C108" s="6">
        <v>45924</v>
      </c>
      <c r="D108" s="4">
        <v>35</v>
      </c>
      <c r="E108" s="4">
        <v>4</v>
      </c>
      <c r="F108" s="12">
        <f t="shared" si="1"/>
        <v>3104.2080000000001</v>
      </c>
      <c r="G108" t="str">
        <f>VLOOKUP(B108,product_tbl[],2,FALSE)</f>
        <v>Children Story Book 104</v>
      </c>
      <c r="H108" t="str">
        <f>VLOOKUP(B108,product_tbl[],3,FALSE)</f>
        <v>Books</v>
      </c>
      <c r="I108">
        <v>1940.13</v>
      </c>
      <c r="J108">
        <f>VLOOKUP(B108,product_tbl[],5,FALSE)</f>
        <v>3233.55</v>
      </c>
      <c r="K108">
        <f>VLOOKUP(B108,review_tbl[],3,FALSE)</f>
        <v>1</v>
      </c>
      <c r="L108" s="11">
        <v>4011.054927526136</v>
      </c>
      <c r="M108" s="11">
        <f>AVERAGEIF(Table1[product_id],Master_tbl!B108:B1109,Table1[competitor_price])</f>
        <v>5121.3466666666664</v>
      </c>
      <c r="N108" s="11">
        <f>IFERROR(Table5[[#This Row],[final_sale_price]]*Table5[[#This Row],[quantity_sold ]],0)</f>
        <v>108647.28</v>
      </c>
      <c r="O108" s="11">
        <f>(Table5[[#This Row],[final_sale_price]]-Table5[[#This Row],[cost_price]])*Table5[[#This Row],[quantity_sold ]]</f>
        <v>40742.729999999996</v>
      </c>
      <c r="P108" s="11">
        <f>(Table5[final_sale_price]-Table5[[#This Row],[avg_comp_price]])</f>
        <v>-2017.1386666666663</v>
      </c>
      <c r="Q108" s="15">
        <f>(Table5[[#This Row],[final_sale_price]]-Table5[[#This Row],[avg_comp_price]])/Table5[[#This Row],[avg_comp_price]]</f>
        <v>-0.39386880013329822</v>
      </c>
      <c r="R108" s="11">
        <f>Table5[[#This Row],[Profit]]/Table5[[#This Row],[Revenue]]</f>
        <v>0.37499999999999994</v>
      </c>
    </row>
    <row r="109" spans="1:18" x14ac:dyDescent="0.2">
      <c r="A109" s="5">
        <v>108</v>
      </c>
      <c r="B109" s="5">
        <v>52</v>
      </c>
      <c r="C109" s="7">
        <v>45352</v>
      </c>
      <c r="D109" s="5">
        <v>5</v>
      </c>
      <c r="E109" s="4">
        <v>3</v>
      </c>
      <c r="F109" s="12">
        <f t="shared" si="1"/>
        <v>4325.4045999999998</v>
      </c>
      <c r="G109" t="str">
        <f>VLOOKUP(B109,product_tbl[],2,FALSE)</f>
        <v>Cookbook 52</v>
      </c>
      <c r="H109" t="str">
        <f>VLOOKUP(B109,product_tbl[],3,FALSE)</f>
        <v>Books</v>
      </c>
      <c r="I109">
        <v>2675.5080000000003</v>
      </c>
      <c r="J109">
        <f>VLOOKUP(B109,product_tbl[],5,FALSE)</f>
        <v>4459.18</v>
      </c>
      <c r="K109">
        <f>VLOOKUP(B109,review_tbl[],3,FALSE)</f>
        <v>3</v>
      </c>
      <c r="L109" s="11">
        <v>5329.4370720087209</v>
      </c>
      <c r="M109" s="11">
        <f>AVERAGEIF(Table1[product_id],Master_tbl!B109:B1110,Table1[competitor_price])</f>
        <v>6258.09</v>
      </c>
      <c r="N109" s="11">
        <f>IFERROR(Table5[[#This Row],[final_sale_price]]*Table5[[#This Row],[quantity_sold ]],0)</f>
        <v>21627.023000000001</v>
      </c>
      <c r="O109" s="11">
        <f>(Table5[[#This Row],[final_sale_price]]-Table5[[#This Row],[cost_price]])*Table5[[#This Row],[quantity_sold ]]</f>
        <v>8249.4829999999984</v>
      </c>
      <c r="P109" s="11">
        <f>(Table5[final_sale_price]-Table5[[#This Row],[avg_comp_price]])</f>
        <v>-1932.6854000000003</v>
      </c>
      <c r="Q109" s="15">
        <f>(Table5[[#This Row],[final_sale_price]]-Table5[[#This Row],[avg_comp_price]])/Table5[[#This Row],[avg_comp_price]]</f>
        <v>-0.30882991455859538</v>
      </c>
      <c r="R109" s="11">
        <f>Table5[[#This Row],[Profit]]/Table5[[#This Row],[Revenue]]</f>
        <v>0.38144329896907209</v>
      </c>
    </row>
    <row r="110" spans="1:18" x14ac:dyDescent="0.2">
      <c r="A110" s="4">
        <v>109</v>
      </c>
      <c r="B110" s="4">
        <v>83</v>
      </c>
      <c r="C110" s="6">
        <v>45801</v>
      </c>
      <c r="D110" s="4">
        <v>32</v>
      </c>
      <c r="E110" s="4">
        <v>4</v>
      </c>
      <c r="F110" s="12">
        <f t="shared" si="1"/>
        <v>3663.7727999999997</v>
      </c>
      <c r="G110" t="str">
        <f>VLOOKUP(B110,product_tbl[],2,FALSE)</f>
        <v>Foundation 83</v>
      </c>
      <c r="H110" t="str">
        <f>VLOOKUP(B110,product_tbl[],3,FALSE)</f>
        <v>Beauty</v>
      </c>
      <c r="I110">
        <v>2289.8579999999997</v>
      </c>
      <c r="J110">
        <f>VLOOKUP(B110,product_tbl[],5,FALSE)</f>
        <v>3816.43</v>
      </c>
      <c r="K110">
        <f>VLOOKUP(B110,review_tbl[],3,FALSE)</f>
        <v>2</v>
      </c>
      <c r="L110" s="11">
        <v>4469.2280838586084</v>
      </c>
      <c r="M110" s="11">
        <f>AVERAGEIF(Table1[product_id],Master_tbl!B110:B1111,Table1[competitor_price])</f>
        <v>2990.2349999999997</v>
      </c>
      <c r="N110" s="11">
        <f>IFERROR(Table5[[#This Row],[final_sale_price]]*Table5[[#This Row],[quantity_sold ]],0)</f>
        <v>117240.72959999999</v>
      </c>
      <c r="O110" s="11">
        <f>(Table5[[#This Row],[final_sale_price]]-Table5[[#This Row],[cost_price]])*Table5[[#This Row],[quantity_sold ]]</f>
        <v>43965.2736</v>
      </c>
      <c r="P110" s="11">
        <f>(Table5[final_sale_price]-Table5[[#This Row],[avg_comp_price]])</f>
        <v>673.53780000000006</v>
      </c>
      <c r="Q110" s="15">
        <f>(Table5[[#This Row],[final_sale_price]]-Table5[[#This Row],[avg_comp_price]])/Table5[[#This Row],[avg_comp_price]]</f>
        <v>0.22524577499761728</v>
      </c>
      <c r="R110" s="11">
        <f>Table5[[#This Row],[Profit]]/Table5[[#This Row],[Revenue]]</f>
        <v>0.37500000000000006</v>
      </c>
    </row>
    <row r="111" spans="1:18" x14ac:dyDescent="0.2">
      <c r="A111" s="5">
        <v>110</v>
      </c>
      <c r="B111" s="5">
        <v>67</v>
      </c>
      <c r="C111" s="7">
        <v>44958</v>
      </c>
      <c r="D111" s="5">
        <v>27</v>
      </c>
      <c r="E111" s="4">
        <v>2</v>
      </c>
      <c r="F111" s="12">
        <f t="shared" si="1"/>
        <v>1127.6958</v>
      </c>
      <c r="G111" t="str">
        <f>VLOOKUP(B111,product_tbl[],2,FALSE)</f>
        <v>Perfume 67</v>
      </c>
      <c r="H111" t="str">
        <f>VLOOKUP(B111,product_tbl[],3,FALSE)</f>
        <v>Beauty</v>
      </c>
      <c r="I111">
        <v>690.42600000000004</v>
      </c>
      <c r="J111">
        <f>VLOOKUP(B111,product_tbl[],5,FALSE)</f>
        <v>1150.71</v>
      </c>
      <c r="K111">
        <f>VLOOKUP(B111,review_tbl[],3,FALSE)</f>
        <v>4</v>
      </c>
      <c r="L111" s="11">
        <v>1341.6605694967284</v>
      </c>
      <c r="M111" s="11">
        <f>AVERAGEIF(Table1[product_id],Master_tbl!B111:B1112,Table1[competitor_price])</f>
        <v>7069.7</v>
      </c>
      <c r="N111" s="11">
        <f>IFERROR(Table5[[#This Row],[final_sale_price]]*Table5[[#This Row],[quantity_sold ]],0)</f>
        <v>30447.786599999999</v>
      </c>
      <c r="O111" s="11">
        <f>(Table5[[#This Row],[final_sale_price]]-Table5[[#This Row],[cost_price]])*Table5[[#This Row],[quantity_sold ]]</f>
        <v>11806.284599999997</v>
      </c>
      <c r="P111" s="11">
        <f>(Table5[final_sale_price]-Table5[[#This Row],[avg_comp_price]])</f>
        <v>-5942.0041999999994</v>
      </c>
      <c r="Q111" s="15">
        <f>(Table5[[#This Row],[final_sale_price]]-Table5[[#This Row],[avg_comp_price]])/Table5[[#This Row],[avg_comp_price]]</f>
        <v>-0.84048887505834757</v>
      </c>
      <c r="R111" s="11">
        <f>Table5[[#This Row],[Profit]]/Table5[[#This Row],[Revenue]]</f>
        <v>0.38775510204081626</v>
      </c>
    </row>
    <row r="112" spans="1:18" x14ac:dyDescent="0.2">
      <c r="A112" s="4">
        <v>111</v>
      </c>
      <c r="B112" s="4">
        <v>97</v>
      </c>
      <c r="C112" s="6">
        <v>45966</v>
      </c>
      <c r="D112" s="4">
        <v>26</v>
      </c>
      <c r="E112" s="4">
        <v>7</v>
      </c>
      <c r="F112" s="12">
        <f t="shared" si="1"/>
        <v>857.12519999999995</v>
      </c>
      <c r="G112" t="str">
        <f>VLOOKUP(B112,product_tbl[],2,FALSE)</f>
        <v>Washing Machine 97</v>
      </c>
      <c r="H112" t="str">
        <f>VLOOKUP(B112,product_tbl[],3,FALSE)</f>
        <v>Home Appliances</v>
      </c>
      <c r="I112">
        <v>552.98399999999992</v>
      </c>
      <c r="J112">
        <f>VLOOKUP(B112,product_tbl[],5,FALSE)</f>
        <v>921.64</v>
      </c>
      <c r="K112">
        <f>VLOOKUP(B112,review_tbl[],3,FALSE)</f>
        <v>3</v>
      </c>
      <c r="L112" s="11">
        <v>1176.2473335542591</v>
      </c>
      <c r="M112" s="11">
        <f>AVERAGEIF(Table1[product_id],Master_tbl!B112:B1113,Table1[competitor_price])</f>
        <v>2464.87</v>
      </c>
      <c r="N112" s="11">
        <f>IFERROR(Table5[[#This Row],[final_sale_price]]*Table5[[#This Row],[quantity_sold ]],0)</f>
        <v>22285.2552</v>
      </c>
      <c r="O112" s="11">
        <f>(Table5[[#This Row],[final_sale_price]]-Table5[[#This Row],[cost_price]])*Table5[[#This Row],[quantity_sold ]]</f>
        <v>7907.6712000000007</v>
      </c>
      <c r="P112" s="11">
        <f>(Table5[final_sale_price]-Table5[[#This Row],[avg_comp_price]])</f>
        <v>-1607.7447999999999</v>
      </c>
      <c r="Q112" s="15">
        <f>(Table5[[#This Row],[final_sale_price]]-Table5[[#This Row],[avg_comp_price]])/Table5[[#This Row],[avg_comp_price]]</f>
        <v>-0.65226352708256419</v>
      </c>
      <c r="R112" s="11">
        <f>Table5[[#This Row],[Profit]]/Table5[[#This Row],[Revenue]]</f>
        <v>0.35483870967741937</v>
      </c>
    </row>
    <row r="113" spans="1:18" x14ac:dyDescent="0.2">
      <c r="A113" s="5">
        <v>112</v>
      </c>
      <c r="B113" s="5">
        <v>48</v>
      </c>
      <c r="C113" s="7">
        <v>45967</v>
      </c>
      <c r="D113" s="5">
        <v>34</v>
      </c>
      <c r="E113" s="4">
        <v>7</v>
      </c>
      <c r="F113" s="12">
        <f t="shared" si="1"/>
        <v>3430.0910999999996</v>
      </c>
      <c r="G113" t="str">
        <f>VLOOKUP(B113,product_tbl[],2,FALSE)</f>
        <v>Water Purifier 48</v>
      </c>
      <c r="H113" t="str">
        <f>VLOOKUP(B113,product_tbl[],3,FALSE)</f>
        <v>Home Appliances</v>
      </c>
      <c r="I113">
        <v>2212.962</v>
      </c>
      <c r="J113">
        <f>VLOOKUP(B113,product_tbl[],5,FALSE)</f>
        <v>3688.27</v>
      </c>
      <c r="K113">
        <f>VLOOKUP(B113,review_tbl[],3,FALSE)</f>
        <v>4</v>
      </c>
      <c r="L113" s="11">
        <v>4497.8374552696196</v>
      </c>
      <c r="M113" s="11">
        <f>AVERAGEIF(Table1[product_id],Master_tbl!B113:B1114,Table1[competitor_price])</f>
        <v>1050.3625000000002</v>
      </c>
      <c r="N113" s="11">
        <f>IFERROR(Table5[[#This Row],[final_sale_price]]*Table5[[#This Row],[quantity_sold ]],0)</f>
        <v>116623.09739999998</v>
      </c>
      <c r="O113" s="11">
        <f>(Table5[[#This Row],[final_sale_price]]-Table5[[#This Row],[cost_price]])*Table5[[#This Row],[quantity_sold ]]</f>
        <v>41382.389399999985</v>
      </c>
      <c r="P113" s="11">
        <f>(Table5[final_sale_price]-Table5[[#This Row],[avg_comp_price]])</f>
        <v>2379.7285999999995</v>
      </c>
      <c r="Q113" s="15">
        <f>(Table5[[#This Row],[final_sale_price]]-Table5[[#This Row],[avg_comp_price]])/Table5[[#This Row],[avg_comp_price]]</f>
        <v>2.2656260100679519</v>
      </c>
      <c r="R113" s="11">
        <f>Table5[[#This Row],[Profit]]/Table5[[#This Row],[Revenue]]</f>
        <v>0.35483870967741926</v>
      </c>
    </row>
    <row r="114" spans="1:18" x14ac:dyDescent="0.2">
      <c r="A114" s="4">
        <v>113</v>
      </c>
      <c r="B114" s="4">
        <v>144</v>
      </c>
      <c r="C114" s="6">
        <v>45676</v>
      </c>
      <c r="D114" s="4">
        <v>28</v>
      </c>
      <c r="E114" s="4">
        <v>2</v>
      </c>
      <c r="F114" s="12">
        <f t="shared" si="1"/>
        <v>1546.6556</v>
      </c>
      <c r="G114" t="str">
        <f>VLOOKUP(B114,product_tbl[],2,FALSE)</f>
        <v>Air Conditioner 144</v>
      </c>
      <c r="H114" t="str">
        <f>VLOOKUP(B114,product_tbl[],3,FALSE)</f>
        <v>Home Appliances</v>
      </c>
      <c r="I114">
        <v>946.93200000000002</v>
      </c>
      <c r="J114">
        <f>VLOOKUP(B114,product_tbl[],5,FALSE)</f>
        <v>1578.22</v>
      </c>
      <c r="K114">
        <f>VLOOKUP(B114,review_tbl[],3,FALSE)</f>
        <v>2</v>
      </c>
      <c r="L114" s="11">
        <v>1590.3232965394957</v>
      </c>
      <c r="M114" s="11">
        <f>AVERAGEIF(Table1[product_id],Master_tbl!B114:B1115,Table1[competitor_price])</f>
        <v>6414.0239999999994</v>
      </c>
      <c r="N114" s="11">
        <f>IFERROR(Table5[[#This Row],[final_sale_price]]*Table5[[#This Row],[quantity_sold ]],0)</f>
        <v>43306.356800000001</v>
      </c>
      <c r="O114" s="11">
        <f>(Table5[[#This Row],[final_sale_price]]-Table5[[#This Row],[cost_price]])*Table5[[#This Row],[quantity_sold ]]</f>
        <v>16792.2608</v>
      </c>
      <c r="P114" s="11">
        <f>(Table5[final_sale_price]-Table5[[#This Row],[avg_comp_price]])</f>
        <v>-4867.3683999999994</v>
      </c>
      <c r="Q114" s="15">
        <f>(Table5[[#This Row],[final_sale_price]]-Table5[[#This Row],[avg_comp_price]])/Table5[[#This Row],[avg_comp_price]]</f>
        <v>-0.75886345295870417</v>
      </c>
      <c r="R114" s="11">
        <f>Table5[[#This Row],[Profit]]/Table5[[#This Row],[Revenue]]</f>
        <v>0.38775510204081631</v>
      </c>
    </row>
    <row r="115" spans="1:18" x14ac:dyDescent="0.2">
      <c r="A115" s="5">
        <v>114</v>
      </c>
      <c r="B115" s="5">
        <v>74</v>
      </c>
      <c r="C115" s="7">
        <v>45389</v>
      </c>
      <c r="D115" s="5">
        <v>38</v>
      </c>
      <c r="E115" s="4">
        <v>2</v>
      </c>
      <c r="F115" s="12">
        <f t="shared" si="1"/>
        <v>1867.1058</v>
      </c>
      <c r="G115" t="str">
        <f>VLOOKUP(B115,product_tbl[],2,FALSE)</f>
        <v>Sneakers 74</v>
      </c>
      <c r="H115" t="str">
        <f>VLOOKUP(B115,product_tbl[],3,FALSE)</f>
        <v>Fashion</v>
      </c>
      <c r="I115">
        <v>1143.126</v>
      </c>
      <c r="J115">
        <f>VLOOKUP(B115,product_tbl[],5,FALSE)</f>
        <v>1905.21</v>
      </c>
      <c r="K115">
        <f>VLOOKUP(B115,review_tbl[],3,FALSE)</f>
        <v>5</v>
      </c>
      <c r="L115" s="11">
        <v>2462.524656141477</v>
      </c>
      <c r="M115" s="11">
        <f>AVERAGEIF(Table1[product_id],Master_tbl!B115:B1116,Table1[competitor_price])</f>
        <v>2585.9039999999995</v>
      </c>
      <c r="N115" s="11">
        <f>IFERROR(Table5[[#This Row],[final_sale_price]]*Table5[[#This Row],[quantity_sold ]],0)</f>
        <v>70950.020400000009</v>
      </c>
      <c r="O115" s="11">
        <f>(Table5[[#This Row],[final_sale_price]]-Table5[[#This Row],[cost_price]])*Table5[[#This Row],[quantity_sold ]]</f>
        <v>27511.232400000001</v>
      </c>
      <c r="P115" s="11">
        <f>(Table5[final_sale_price]-Table5[[#This Row],[avg_comp_price]])</f>
        <v>-718.7981999999995</v>
      </c>
      <c r="Q115" s="15">
        <f>(Table5[[#This Row],[final_sale_price]]-Table5[[#This Row],[avg_comp_price]])/Table5[[#This Row],[avg_comp_price]]</f>
        <v>-0.27796785959571568</v>
      </c>
      <c r="R115" s="11">
        <f>Table5[[#This Row],[Profit]]/Table5[[#This Row],[Revenue]]</f>
        <v>0.38775510204081631</v>
      </c>
    </row>
    <row r="116" spans="1:18" x14ac:dyDescent="0.2">
      <c r="A116" s="4">
        <v>115</v>
      </c>
      <c r="B116" s="4">
        <v>139</v>
      </c>
      <c r="C116" s="6">
        <v>45704</v>
      </c>
      <c r="D116" s="4">
        <v>41</v>
      </c>
      <c r="E116" s="4">
        <v>3</v>
      </c>
      <c r="F116" s="12">
        <f t="shared" si="1"/>
        <v>2513.3476000000001</v>
      </c>
      <c r="G116" t="str">
        <f>VLOOKUP(B116,product_tbl[],2,FALSE)</f>
        <v>Jacket 139</v>
      </c>
      <c r="H116" t="str">
        <f>VLOOKUP(B116,product_tbl[],3,FALSE)</f>
        <v>Fashion</v>
      </c>
      <c r="I116">
        <v>1554.6479999999999</v>
      </c>
      <c r="J116">
        <f>VLOOKUP(B116,product_tbl[],5,FALSE)</f>
        <v>2591.08</v>
      </c>
      <c r="K116">
        <f>VLOOKUP(B116,review_tbl[],3,FALSE)</f>
        <v>5</v>
      </c>
      <c r="L116" s="11">
        <v>3118.8918857614367</v>
      </c>
      <c r="M116" s="11">
        <f>AVERAGEIF(Table1[product_id],Master_tbl!B116:B1117,Table1[competitor_price])</f>
        <v>2839.1733333333336</v>
      </c>
      <c r="N116" s="11">
        <f>IFERROR(Table5[[#This Row],[final_sale_price]]*Table5[[#This Row],[quantity_sold ]],0)</f>
        <v>103047.2516</v>
      </c>
      <c r="O116" s="11">
        <f>(Table5[[#This Row],[final_sale_price]]-Table5[[#This Row],[cost_price]])*Table5[[#This Row],[quantity_sold ]]</f>
        <v>39306.683600000004</v>
      </c>
      <c r="P116" s="11">
        <f>(Table5[final_sale_price]-Table5[[#This Row],[avg_comp_price]])</f>
        <v>-325.82573333333357</v>
      </c>
      <c r="Q116" s="15">
        <f>(Table5[[#This Row],[final_sale_price]]-Table5[[#This Row],[avg_comp_price]])/Table5[[#This Row],[avg_comp_price]]</f>
        <v>-0.11476077543698172</v>
      </c>
      <c r="R116" s="11">
        <f>Table5[[#This Row],[Profit]]/Table5[[#This Row],[Revenue]]</f>
        <v>0.3814432989690722</v>
      </c>
    </row>
    <row r="117" spans="1:18" x14ac:dyDescent="0.2">
      <c r="A117" s="5">
        <v>116</v>
      </c>
      <c r="B117" s="5">
        <v>62</v>
      </c>
      <c r="C117" s="7">
        <v>45158</v>
      </c>
      <c r="D117" s="5">
        <v>2</v>
      </c>
      <c r="E117" s="4">
        <v>9</v>
      </c>
      <c r="F117" s="12">
        <f t="shared" si="1"/>
        <v>3146.7254000000003</v>
      </c>
      <c r="G117" t="str">
        <f>VLOOKUP(B117,product_tbl[],2,FALSE)</f>
        <v>Olive Oil 62</v>
      </c>
      <c r="H117" t="str">
        <f>VLOOKUP(B117,product_tbl[],3,FALSE)</f>
        <v>Grocery</v>
      </c>
      <c r="I117">
        <v>2074.7640000000001</v>
      </c>
      <c r="J117">
        <f>VLOOKUP(B117,product_tbl[],5,FALSE)</f>
        <v>3457.94</v>
      </c>
      <c r="K117">
        <f>VLOOKUP(B117,review_tbl[],3,FALSE)</f>
        <v>4</v>
      </c>
      <c r="L117" s="11">
        <v>4439.8241004402735</v>
      </c>
      <c r="M117" s="11">
        <f>AVERAGEIF(Table1[product_id],Master_tbl!B117:B1118,Table1[competitor_price])</f>
        <v>5560.3266666666668</v>
      </c>
      <c r="N117" s="11">
        <f>IFERROR(Table5[[#This Row],[final_sale_price]]*Table5[[#This Row],[quantity_sold ]],0)</f>
        <v>6293.4508000000005</v>
      </c>
      <c r="O117" s="11">
        <f>(Table5[[#This Row],[final_sale_price]]-Table5[[#This Row],[cost_price]])*Table5[[#This Row],[quantity_sold ]]</f>
        <v>2143.9228000000003</v>
      </c>
      <c r="P117" s="11">
        <f>(Table5[final_sale_price]-Table5[[#This Row],[avg_comp_price]])</f>
        <v>-2413.6012666666666</v>
      </c>
      <c r="Q117" s="15">
        <f>(Table5[[#This Row],[final_sale_price]]-Table5[[#This Row],[avg_comp_price]])/Table5[[#This Row],[avg_comp_price]]</f>
        <v>-0.43407544400868531</v>
      </c>
      <c r="R117" s="11">
        <f>Table5[[#This Row],[Profit]]/Table5[[#This Row],[Revenue]]</f>
        <v>0.34065934065934067</v>
      </c>
    </row>
    <row r="118" spans="1:18" x14ac:dyDescent="0.2">
      <c r="A118" s="4">
        <v>117</v>
      </c>
      <c r="B118" s="4">
        <v>63</v>
      </c>
      <c r="C118" s="6">
        <v>45363</v>
      </c>
      <c r="D118" s="4">
        <v>4</v>
      </c>
      <c r="E118" s="4">
        <v>3</v>
      </c>
      <c r="F118" s="12">
        <f t="shared" si="1"/>
        <v>6791.7169000000004</v>
      </c>
      <c r="G118" t="str">
        <f>VLOOKUP(B118,product_tbl[],2,FALSE)</f>
        <v>Sugar 63</v>
      </c>
      <c r="H118" t="str">
        <f>VLOOKUP(B118,product_tbl[],3,FALSE)</f>
        <v>Grocery</v>
      </c>
      <c r="I118">
        <v>4201.0619999999999</v>
      </c>
      <c r="J118">
        <f>VLOOKUP(B118,product_tbl[],5,FALSE)</f>
        <v>7001.77</v>
      </c>
      <c r="K118">
        <f>VLOOKUP(B118,review_tbl[],3,FALSE)</f>
        <v>4</v>
      </c>
      <c r="L118" s="11">
        <v>7887.7982029102268</v>
      </c>
      <c r="M118" s="11">
        <f>AVERAGEIF(Table1[product_id],Master_tbl!B118:B1119,Table1[competitor_price])</f>
        <v>4859.22</v>
      </c>
      <c r="N118" s="11">
        <f>IFERROR(Table5[[#This Row],[final_sale_price]]*Table5[[#This Row],[quantity_sold ]],0)</f>
        <v>27166.867600000001</v>
      </c>
      <c r="O118" s="11">
        <f>(Table5[[#This Row],[final_sale_price]]-Table5[[#This Row],[cost_price]])*Table5[[#This Row],[quantity_sold ]]</f>
        <v>10362.619600000002</v>
      </c>
      <c r="P118" s="11">
        <f>(Table5[final_sale_price]-Table5[[#This Row],[avg_comp_price]])</f>
        <v>1932.4969000000001</v>
      </c>
      <c r="Q118" s="15">
        <f>(Table5[[#This Row],[final_sale_price]]-Table5[[#This Row],[avg_comp_price]])/Table5[[#This Row],[avg_comp_price]]</f>
        <v>0.3976969348990167</v>
      </c>
      <c r="R118" s="11">
        <f>Table5[[#This Row],[Profit]]/Table5[[#This Row],[Revenue]]</f>
        <v>0.3814432989690722</v>
      </c>
    </row>
    <row r="119" spans="1:18" x14ac:dyDescent="0.2">
      <c r="A119" s="5">
        <v>118</v>
      </c>
      <c r="B119" s="5">
        <v>125</v>
      </c>
      <c r="C119" s="7">
        <v>45995</v>
      </c>
      <c r="D119" s="5">
        <v>45</v>
      </c>
      <c r="E119" s="4">
        <v>9</v>
      </c>
      <c r="F119" s="12">
        <f t="shared" si="1"/>
        <v>3959.4737</v>
      </c>
      <c r="G119" t="str">
        <f>VLOOKUP(B119,product_tbl[],2,FALSE)</f>
        <v>Air Conditioner 125</v>
      </c>
      <c r="H119" t="str">
        <f>VLOOKUP(B119,product_tbl[],3,FALSE)</f>
        <v>Home Appliances</v>
      </c>
      <c r="I119">
        <v>2610.6419999999998</v>
      </c>
      <c r="J119">
        <f>VLOOKUP(B119,product_tbl[],5,FALSE)</f>
        <v>4351.07</v>
      </c>
      <c r="K119">
        <f>VLOOKUP(B119,review_tbl[],3,FALSE)</f>
        <v>5</v>
      </c>
      <c r="L119" s="11">
        <v>5465.1512604095496</v>
      </c>
      <c r="M119" s="11">
        <f>AVERAGEIF(Table1[product_id],Master_tbl!B119:B1120,Table1[competitor_price])</f>
        <v>5094.8040000000001</v>
      </c>
      <c r="N119" s="11">
        <f>IFERROR(Table5[[#This Row],[final_sale_price]]*Table5[[#This Row],[quantity_sold ]],0)</f>
        <v>178176.31649999999</v>
      </c>
      <c r="O119" s="11">
        <f>(Table5[[#This Row],[final_sale_price]]-Table5[[#This Row],[cost_price]])*Table5[[#This Row],[quantity_sold ]]</f>
        <v>60697.426500000009</v>
      </c>
      <c r="P119" s="11">
        <f>(Table5[final_sale_price]-Table5[[#This Row],[avg_comp_price]])</f>
        <v>-1135.3303000000001</v>
      </c>
      <c r="Q119" s="15">
        <f>(Table5[[#This Row],[final_sale_price]]-Table5[[#This Row],[avg_comp_price]])/Table5[[#This Row],[avg_comp_price]]</f>
        <v>-0.22284081978423509</v>
      </c>
      <c r="R119" s="11">
        <f>Table5[[#This Row],[Profit]]/Table5[[#This Row],[Revenue]]</f>
        <v>0.34065934065934073</v>
      </c>
    </row>
    <row r="120" spans="1:18" x14ac:dyDescent="0.2">
      <c r="A120" s="4">
        <v>119</v>
      </c>
      <c r="B120" s="4">
        <v>84</v>
      </c>
      <c r="C120" s="6">
        <v>45068</v>
      </c>
      <c r="D120" s="4">
        <v>2</v>
      </c>
      <c r="E120" s="4">
        <v>3</v>
      </c>
      <c r="F120" s="12">
        <f t="shared" si="1"/>
        <v>7527.3552</v>
      </c>
      <c r="G120" t="str">
        <f>VLOOKUP(B120,product_tbl[],2,FALSE)</f>
        <v>Moisturizer 84</v>
      </c>
      <c r="H120" t="str">
        <f>VLOOKUP(B120,product_tbl[],3,FALSE)</f>
        <v>Beauty</v>
      </c>
      <c r="I120">
        <v>4656.0959999999995</v>
      </c>
      <c r="J120">
        <f>VLOOKUP(B120,product_tbl[],5,FALSE)</f>
        <v>7760.16</v>
      </c>
      <c r="K120">
        <f>VLOOKUP(B120,review_tbl[],3,FALSE)</f>
        <v>1</v>
      </c>
      <c r="L120" s="11">
        <v>9175.2473866050696</v>
      </c>
      <c r="M120" s="11">
        <f>AVERAGEIF(Table1[product_id],Master_tbl!B120:B1121,Table1[competitor_price])</f>
        <v>2588.9250000000002</v>
      </c>
      <c r="N120" s="11">
        <f>IFERROR(Table5[[#This Row],[final_sale_price]]*Table5[[#This Row],[quantity_sold ]],0)</f>
        <v>15054.7104</v>
      </c>
      <c r="O120" s="11">
        <f>(Table5[[#This Row],[final_sale_price]]-Table5[[#This Row],[cost_price]])*Table5[[#This Row],[quantity_sold ]]</f>
        <v>5742.5184000000008</v>
      </c>
      <c r="P120" s="11">
        <f>(Table5[final_sale_price]-Table5[[#This Row],[avg_comp_price]])</f>
        <v>4938.4301999999998</v>
      </c>
      <c r="Q120" s="15">
        <f>(Table5[[#This Row],[final_sale_price]]-Table5[[#This Row],[avg_comp_price]])/Table5[[#This Row],[avg_comp_price]]</f>
        <v>1.9075215388626552</v>
      </c>
      <c r="R120" s="11">
        <f>Table5[[#This Row],[Profit]]/Table5[[#This Row],[Revenue]]</f>
        <v>0.3814432989690722</v>
      </c>
    </row>
    <row r="121" spans="1:18" x14ac:dyDescent="0.2">
      <c r="A121" s="5">
        <v>120</v>
      </c>
      <c r="B121" s="5">
        <v>66</v>
      </c>
      <c r="C121" s="7">
        <v>45555</v>
      </c>
      <c r="D121" s="5">
        <v>6</v>
      </c>
      <c r="E121" s="4">
        <v>8</v>
      </c>
      <c r="F121" s="12">
        <f t="shared" si="1"/>
        <v>5359.0092000000004</v>
      </c>
      <c r="G121" t="str">
        <f>VLOOKUP(B121,product_tbl[],2,FALSE)</f>
        <v>Olive Oil 66</v>
      </c>
      <c r="H121" t="str">
        <f>VLOOKUP(B121,product_tbl[],3,FALSE)</f>
        <v>Grocery</v>
      </c>
      <c r="I121">
        <v>3495.0059999999999</v>
      </c>
      <c r="J121">
        <f>VLOOKUP(B121,product_tbl[],5,FALSE)</f>
        <v>5825.01</v>
      </c>
      <c r="K121">
        <f>VLOOKUP(B121,review_tbl[],3,FALSE)</f>
        <v>1</v>
      </c>
      <c r="L121" s="11">
        <v>6734.6258017153459</v>
      </c>
      <c r="M121" s="11">
        <f>AVERAGEIF(Table1[product_id],Master_tbl!B121:B1122,Table1[competitor_price])</f>
        <v>6051.7379999999994</v>
      </c>
      <c r="N121" s="11">
        <f>IFERROR(Table5[[#This Row],[final_sale_price]]*Table5[[#This Row],[quantity_sold ]],0)</f>
        <v>32154.055200000003</v>
      </c>
      <c r="O121" s="11">
        <f>(Table5[[#This Row],[final_sale_price]]-Table5[[#This Row],[cost_price]])*Table5[[#This Row],[quantity_sold ]]</f>
        <v>11184.019200000002</v>
      </c>
      <c r="P121" s="11">
        <f>(Table5[final_sale_price]-Table5[[#This Row],[avg_comp_price]])</f>
        <v>-692.72879999999896</v>
      </c>
      <c r="Q121" s="15">
        <f>(Table5[[#This Row],[final_sale_price]]-Table5[[#This Row],[avg_comp_price]])/Table5[[#This Row],[avg_comp_price]]</f>
        <v>-0.11446774463798648</v>
      </c>
      <c r="R121" s="11">
        <f>Table5[[#This Row],[Profit]]/Table5[[#This Row],[Revenue]]</f>
        <v>0.34782608695652178</v>
      </c>
    </row>
    <row r="122" spans="1:18" x14ac:dyDescent="0.2">
      <c r="A122" s="4">
        <v>121</v>
      </c>
      <c r="B122" s="4">
        <v>64</v>
      </c>
      <c r="C122" s="6">
        <v>45583</v>
      </c>
      <c r="D122" s="4">
        <v>24</v>
      </c>
      <c r="E122" s="4">
        <v>6</v>
      </c>
      <c r="F122" s="12">
        <f t="shared" si="1"/>
        <v>3008</v>
      </c>
      <c r="G122" t="str">
        <f>VLOOKUP(B122,product_tbl[],2,FALSE)</f>
        <v>Children Story Book 64</v>
      </c>
      <c r="H122" t="str">
        <f>VLOOKUP(B122,product_tbl[],3,FALSE)</f>
        <v>Books</v>
      </c>
      <c r="I122">
        <v>1920</v>
      </c>
      <c r="J122">
        <f>VLOOKUP(B122,product_tbl[],5,FALSE)</f>
        <v>3200</v>
      </c>
      <c r="K122">
        <f>VLOOKUP(B122,review_tbl[],3,FALSE)</f>
        <v>2</v>
      </c>
      <c r="L122" s="11">
        <v>3956.7749330368342</v>
      </c>
      <c r="M122" s="11">
        <f>AVERAGEIF(Table1[product_id],Master_tbl!B122:B1123,Table1[competitor_price])</f>
        <v>3782.0099999999998</v>
      </c>
      <c r="N122" s="11">
        <f>IFERROR(Table5[[#This Row],[final_sale_price]]*Table5[[#This Row],[quantity_sold ]],0)</f>
        <v>72192</v>
      </c>
      <c r="O122" s="11">
        <f>(Table5[[#This Row],[final_sale_price]]-Table5[[#This Row],[cost_price]])*Table5[[#This Row],[quantity_sold ]]</f>
        <v>26112</v>
      </c>
      <c r="P122" s="11">
        <f>(Table5[final_sale_price]-Table5[[#This Row],[avg_comp_price]])</f>
        <v>-774.00999999999976</v>
      </c>
      <c r="Q122" s="15">
        <f>(Table5[[#This Row],[final_sale_price]]-Table5[[#This Row],[avg_comp_price]])/Table5[[#This Row],[avg_comp_price]]</f>
        <v>-0.20465572539469748</v>
      </c>
      <c r="R122" s="11">
        <f>Table5[[#This Row],[Profit]]/Table5[[#This Row],[Revenue]]</f>
        <v>0.36170212765957449</v>
      </c>
    </row>
    <row r="123" spans="1:18" x14ac:dyDescent="0.2">
      <c r="A123" s="5">
        <v>122</v>
      </c>
      <c r="B123" s="5">
        <v>63</v>
      </c>
      <c r="C123" s="7">
        <v>45470</v>
      </c>
      <c r="D123" s="5">
        <v>47</v>
      </c>
      <c r="E123" s="4">
        <v>9</v>
      </c>
      <c r="F123" s="12">
        <f t="shared" si="1"/>
        <v>6371.6107000000002</v>
      </c>
      <c r="G123" t="str">
        <f>VLOOKUP(B123,product_tbl[],2,FALSE)</f>
        <v>Sugar 63</v>
      </c>
      <c r="H123" t="str">
        <f>VLOOKUP(B123,product_tbl[],3,FALSE)</f>
        <v>Grocery</v>
      </c>
      <c r="I123">
        <v>4201.0619999999999</v>
      </c>
      <c r="J123">
        <f>VLOOKUP(B123,product_tbl[],5,FALSE)</f>
        <v>7001.77</v>
      </c>
      <c r="K123">
        <f>VLOOKUP(B123,review_tbl[],3,FALSE)</f>
        <v>4</v>
      </c>
      <c r="L123" s="11">
        <v>7056.671437090944</v>
      </c>
      <c r="M123" s="11">
        <f>AVERAGEIF(Table1[product_id],Master_tbl!B123:B1124,Table1[competitor_price])</f>
        <v>4859.22</v>
      </c>
      <c r="N123" s="11">
        <f>IFERROR(Table5[[#This Row],[final_sale_price]]*Table5[[#This Row],[quantity_sold ]],0)</f>
        <v>299465.70290000003</v>
      </c>
      <c r="O123" s="11">
        <f>(Table5[[#This Row],[final_sale_price]]-Table5[[#This Row],[cost_price]])*Table5[[#This Row],[quantity_sold ]]</f>
        <v>102015.78890000001</v>
      </c>
      <c r="P123" s="11">
        <f>(Table5[final_sale_price]-Table5[[#This Row],[avg_comp_price]])</f>
        <v>1512.3906999999999</v>
      </c>
      <c r="Q123" s="15">
        <f>(Table5[[#This Row],[final_sale_price]]-Table5[[#This Row],[avg_comp_price]])/Table5[[#This Row],[avg_comp_price]]</f>
        <v>0.31124145438979917</v>
      </c>
      <c r="R123" s="11">
        <f>Table5[[#This Row],[Profit]]/Table5[[#This Row],[Revenue]]</f>
        <v>0.34065934065934067</v>
      </c>
    </row>
    <row r="124" spans="1:18" x14ac:dyDescent="0.2">
      <c r="A124" s="4">
        <v>123</v>
      </c>
      <c r="B124" s="4">
        <v>108</v>
      </c>
      <c r="C124" s="6">
        <v>45641</v>
      </c>
      <c r="D124" s="4">
        <v>26</v>
      </c>
      <c r="E124" s="4">
        <v>8</v>
      </c>
      <c r="F124" s="12">
        <f t="shared" si="1"/>
        <v>773.29679999999996</v>
      </c>
      <c r="G124" t="str">
        <f>VLOOKUP(B124,product_tbl[],2,FALSE)</f>
        <v>Lipstick 108</v>
      </c>
      <c r="H124" t="str">
        <f>VLOOKUP(B124,product_tbl[],3,FALSE)</f>
        <v>Beauty</v>
      </c>
      <c r="I124">
        <v>504.32399999999996</v>
      </c>
      <c r="J124">
        <f>VLOOKUP(B124,product_tbl[],5,FALSE)</f>
        <v>840.54</v>
      </c>
      <c r="K124">
        <f>VLOOKUP(B124,review_tbl[],3,FALSE)</f>
        <v>3</v>
      </c>
      <c r="L124" s="11">
        <v>993.29763226588477</v>
      </c>
      <c r="M124" s="11">
        <f>AVERAGEIF(Table1[product_id],Master_tbl!B124:B1125,Table1[competitor_price])</f>
        <v>5163.7120000000004</v>
      </c>
      <c r="N124" s="11">
        <f>IFERROR(Table5[[#This Row],[final_sale_price]]*Table5[[#This Row],[quantity_sold ]],0)</f>
        <v>20105.716799999998</v>
      </c>
      <c r="O124" s="11">
        <f>(Table5[[#This Row],[final_sale_price]]-Table5[[#This Row],[cost_price]])*Table5[[#This Row],[quantity_sold ]]</f>
        <v>6993.2928000000002</v>
      </c>
      <c r="P124" s="11">
        <f>(Table5[final_sale_price]-Table5[[#This Row],[avg_comp_price]])</f>
        <v>-4390.4152000000004</v>
      </c>
      <c r="Q124" s="15">
        <f>(Table5[[#This Row],[final_sale_price]]-Table5[[#This Row],[avg_comp_price]])/Table5[[#This Row],[avg_comp_price]]</f>
        <v>-0.85024401051026854</v>
      </c>
      <c r="R124" s="11">
        <f>Table5[[#This Row],[Profit]]/Table5[[#This Row],[Revenue]]</f>
        <v>0.34782608695652178</v>
      </c>
    </row>
    <row r="125" spans="1:18" x14ac:dyDescent="0.2">
      <c r="A125" s="5">
        <v>124</v>
      </c>
      <c r="B125" s="5">
        <v>28</v>
      </c>
      <c r="C125" s="7">
        <v>45309</v>
      </c>
      <c r="D125" s="5">
        <v>48</v>
      </c>
      <c r="E125" s="4">
        <v>5</v>
      </c>
      <c r="F125" s="12">
        <f t="shared" si="1"/>
        <v>5430.7889999999998</v>
      </c>
      <c r="G125" t="str">
        <f>VLOOKUP(B125,product_tbl[],2,FALSE)</f>
        <v>Water Purifier 28</v>
      </c>
      <c r="H125" t="str">
        <f>VLOOKUP(B125,product_tbl[],3,FALSE)</f>
        <v>Home Appliances</v>
      </c>
      <c r="I125">
        <v>3429.9719999999998</v>
      </c>
      <c r="J125">
        <f>VLOOKUP(B125,product_tbl[],5,FALSE)</f>
        <v>5716.62</v>
      </c>
      <c r="K125">
        <f>VLOOKUP(B125,review_tbl[],3,FALSE)</f>
        <v>5</v>
      </c>
      <c r="L125" s="11">
        <v>6024.3320121330389</v>
      </c>
      <c r="M125" s="11">
        <f>AVERAGEIF(Table1[product_id],Master_tbl!B125:B1126,Table1[competitor_price])</f>
        <v>3542.9559999999997</v>
      </c>
      <c r="N125" s="11">
        <f>IFERROR(Table5[[#This Row],[final_sale_price]]*Table5[[#This Row],[quantity_sold ]],0)</f>
        <v>260677.87199999997</v>
      </c>
      <c r="O125" s="11">
        <f>(Table5[[#This Row],[final_sale_price]]-Table5[[#This Row],[cost_price]])*Table5[[#This Row],[quantity_sold ]]</f>
        <v>96039.216</v>
      </c>
      <c r="P125" s="11">
        <f>(Table5[final_sale_price]-Table5[[#This Row],[avg_comp_price]])</f>
        <v>1887.8330000000001</v>
      </c>
      <c r="Q125" s="15">
        <f>(Table5[[#This Row],[final_sale_price]]-Table5[[#This Row],[avg_comp_price]])/Table5[[#This Row],[avg_comp_price]]</f>
        <v>0.53284122072077678</v>
      </c>
      <c r="R125" s="11">
        <f>Table5[[#This Row],[Profit]]/Table5[[#This Row],[Revenue]]</f>
        <v>0.36842105263157898</v>
      </c>
    </row>
    <row r="126" spans="1:18" x14ac:dyDescent="0.2">
      <c r="A126" s="4">
        <v>125</v>
      </c>
      <c r="B126" s="4">
        <v>18</v>
      </c>
      <c r="C126" s="6">
        <v>45942</v>
      </c>
      <c r="D126" s="4">
        <v>14</v>
      </c>
      <c r="E126" s="4">
        <v>7</v>
      </c>
      <c r="F126" s="12">
        <f t="shared" si="1"/>
        <v>7845.4335000000001</v>
      </c>
      <c r="G126" t="str">
        <f>VLOOKUP(B126,product_tbl[],2,FALSE)</f>
        <v>Coffee Beans 18</v>
      </c>
      <c r="H126" t="str">
        <f>VLOOKUP(B126,product_tbl[],3,FALSE)</f>
        <v>Grocery</v>
      </c>
      <c r="I126">
        <v>5061.5700000000006</v>
      </c>
      <c r="J126">
        <f>VLOOKUP(B126,product_tbl[],5,FALSE)</f>
        <v>8435.9500000000007</v>
      </c>
      <c r="K126">
        <f>VLOOKUP(B126,review_tbl[],3,FALSE)</f>
        <v>3</v>
      </c>
      <c r="L126" s="11">
        <v>8738.9681396462383</v>
      </c>
      <c r="M126" s="11">
        <f>AVERAGEIF(Table1[product_id],Master_tbl!B126:B1127,Table1[competitor_price])</f>
        <v>1552.9240000000002</v>
      </c>
      <c r="N126" s="11">
        <f>IFERROR(Table5[[#This Row],[final_sale_price]]*Table5[[#This Row],[quantity_sold ]],0)</f>
        <v>109836.069</v>
      </c>
      <c r="O126" s="11">
        <f>(Table5[[#This Row],[final_sale_price]]-Table5[[#This Row],[cost_price]])*Table5[[#This Row],[quantity_sold ]]</f>
        <v>38974.088999999993</v>
      </c>
      <c r="P126" s="11">
        <f>(Table5[final_sale_price]-Table5[[#This Row],[avg_comp_price]])</f>
        <v>6292.5095000000001</v>
      </c>
      <c r="Q126" s="15">
        <f>(Table5[[#This Row],[final_sale_price]]-Table5[[#This Row],[avg_comp_price]])/Table5[[#This Row],[avg_comp_price]]</f>
        <v>4.0520395718013242</v>
      </c>
      <c r="R126" s="11">
        <f>Table5[[#This Row],[Profit]]/Table5[[#This Row],[Revenue]]</f>
        <v>0.35483870967741926</v>
      </c>
    </row>
    <row r="127" spans="1:18" x14ac:dyDescent="0.2">
      <c r="A127" s="5">
        <v>126</v>
      </c>
      <c r="B127" s="5">
        <v>62</v>
      </c>
      <c r="C127" s="7">
        <v>45418</v>
      </c>
      <c r="D127" s="5">
        <v>6</v>
      </c>
      <c r="E127" s="4">
        <v>5</v>
      </c>
      <c r="F127" s="12">
        <f t="shared" si="1"/>
        <v>3285.0430000000001</v>
      </c>
      <c r="G127" t="str">
        <f>VLOOKUP(B127,product_tbl[],2,FALSE)</f>
        <v>Olive Oil 62</v>
      </c>
      <c r="H127" t="str">
        <f>VLOOKUP(B127,product_tbl[],3,FALSE)</f>
        <v>Grocery</v>
      </c>
      <c r="I127">
        <v>2074.7640000000001</v>
      </c>
      <c r="J127">
        <f>VLOOKUP(B127,product_tbl[],5,FALSE)</f>
        <v>3457.94</v>
      </c>
      <c r="K127">
        <f>VLOOKUP(B127,review_tbl[],3,FALSE)</f>
        <v>4</v>
      </c>
      <c r="L127" s="11">
        <v>3638.4030393751527</v>
      </c>
      <c r="M127" s="11">
        <f>AVERAGEIF(Table1[product_id],Master_tbl!B127:B1128,Table1[competitor_price])</f>
        <v>5560.3266666666668</v>
      </c>
      <c r="N127" s="11">
        <f>IFERROR(Table5[[#This Row],[final_sale_price]]*Table5[[#This Row],[quantity_sold ]],0)</f>
        <v>19710.258000000002</v>
      </c>
      <c r="O127" s="11">
        <f>(Table5[[#This Row],[final_sale_price]]-Table5[[#This Row],[cost_price]])*Table5[[#This Row],[quantity_sold ]]</f>
        <v>7261.674</v>
      </c>
      <c r="P127" s="11">
        <f>(Table5[final_sale_price]-Table5[[#This Row],[avg_comp_price]])</f>
        <v>-2275.2836666666667</v>
      </c>
      <c r="Q127" s="15">
        <f>(Table5[[#This Row],[final_sale_price]]-Table5[[#This Row],[avg_comp_price]])/Table5[[#This Row],[avg_comp_price]]</f>
        <v>-0.40919963934972647</v>
      </c>
      <c r="R127" s="11">
        <f>Table5[[#This Row],[Profit]]/Table5[[#This Row],[Revenue]]</f>
        <v>0.36842105263157893</v>
      </c>
    </row>
    <row r="128" spans="1:18" x14ac:dyDescent="0.2">
      <c r="A128" s="4">
        <v>127</v>
      </c>
      <c r="B128" s="4">
        <v>73</v>
      </c>
      <c r="C128" s="6">
        <v>46005</v>
      </c>
      <c r="D128" s="4">
        <v>28</v>
      </c>
      <c r="E128" s="4">
        <v>7</v>
      </c>
      <c r="F128" s="12">
        <f t="shared" si="1"/>
        <v>4218.0986999999996</v>
      </c>
      <c r="G128" t="str">
        <f>VLOOKUP(B128,product_tbl[],2,FALSE)</f>
        <v>Action Figure 73</v>
      </c>
      <c r="H128" t="str">
        <f>VLOOKUP(B128,product_tbl[],3,FALSE)</f>
        <v>Toys</v>
      </c>
      <c r="I128">
        <v>2721.3539999999998</v>
      </c>
      <c r="J128">
        <f>VLOOKUP(B128,product_tbl[],5,FALSE)</f>
        <v>4535.59</v>
      </c>
      <c r="K128">
        <f>VLOOKUP(B128,review_tbl[],3,FALSE)</f>
        <v>1</v>
      </c>
      <c r="L128" s="11">
        <v>5595.4253765184258</v>
      </c>
      <c r="M128" s="11">
        <f>AVERAGEIF(Table1[product_id],Master_tbl!B128:B1129,Table1[competitor_price])</f>
        <v>5380.9516666666668</v>
      </c>
      <c r="N128" s="11">
        <f>IFERROR(Table5[[#This Row],[final_sale_price]]*Table5[[#This Row],[quantity_sold ]],0)</f>
        <v>118106.76359999999</v>
      </c>
      <c r="O128" s="11">
        <f>(Table5[[#This Row],[final_sale_price]]-Table5[[#This Row],[cost_price]])*Table5[[#This Row],[quantity_sold ]]</f>
        <v>41908.851599999995</v>
      </c>
      <c r="P128" s="11">
        <f>(Table5[final_sale_price]-Table5[[#This Row],[avg_comp_price]])</f>
        <v>-1162.8529666666673</v>
      </c>
      <c r="Q128" s="15">
        <f>(Table5[[#This Row],[final_sale_price]]-Table5[[#This Row],[avg_comp_price]])/Table5[[#This Row],[avg_comp_price]]</f>
        <v>-0.21610544727063469</v>
      </c>
      <c r="R128" s="11">
        <f>Table5[[#This Row],[Profit]]/Table5[[#This Row],[Revenue]]</f>
        <v>0.35483870967741932</v>
      </c>
    </row>
    <row r="129" spans="1:18" x14ac:dyDescent="0.2">
      <c r="A129" s="5">
        <v>128</v>
      </c>
      <c r="B129" s="5">
        <v>46</v>
      </c>
      <c r="C129" s="7">
        <v>45721</v>
      </c>
      <c r="D129" s="5">
        <v>45</v>
      </c>
      <c r="E129" s="4">
        <v>3</v>
      </c>
      <c r="F129" s="12">
        <f t="shared" si="1"/>
        <v>1570.1002000000001</v>
      </c>
      <c r="G129" t="str">
        <f>VLOOKUP(B129,product_tbl[],2,FALSE)</f>
        <v>Action Figure 46</v>
      </c>
      <c r="H129" t="str">
        <f>VLOOKUP(B129,product_tbl[],3,FALSE)</f>
        <v>Toys</v>
      </c>
      <c r="I129">
        <v>971.19600000000003</v>
      </c>
      <c r="J129">
        <f>VLOOKUP(B129,product_tbl[],5,FALSE)</f>
        <v>1618.66</v>
      </c>
      <c r="K129">
        <f>VLOOKUP(B129,review_tbl[],3,FALSE)</f>
        <v>4</v>
      </c>
      <c r="L129" s="11">
        <v>1765.804741807219</v>
      </c>
      <c r="M129" s="11">
        <f>AVERAGEIF(Table1[product_id],Master_tbl!B129:B1130,Table1[competitor_price])</f>
        <v>4497.6779999999999</v>
      </c>
      <c r="N129" s="11">
        <f>IFERROR(Table5[[#This Row],[final_sale_price]]*Table5[[#This Row],[quantity_sold ]],0)</f>
        <v>70654.509000000005</v>
      </c>
      <c r="O129" s="11">
        <f>(Table5[[#This Row],[final_sale_price]]-Table5[[#This Row],[cost_price]])*Table5[[#This Row],[quantity_sold ]]</f>
        <v>26950.689000000002</v>
      </c>
      <c r="P129" s="11">
        <f>(Table5[final_sale_price]-Table5[[#This Row],[avg_comp_price]])</f>
        <v>-2927.5778</v>
      </c>
      <c r="Q129" s="15">
        <f>(Table5[[#This Row],[final_sale_price]]-Table5[[#This Row],[avg_comp_price]])/Table5[[#This Row],[avg_comp_price]]</f>
        <v>-0.65090871334052813</v>
      </c>
      <c r="R129" s="11">
        <f>Table5[[#This Row],[Profit]]/Table5[[#This Row],[Revenue]]</f>
        <v>0.38144329896907214</v>
      </c>
    </row>
    <row r="130" spans="1:18" x14ac:dyDescent="0.2">
      <c r="A130" s="4">
        <v>129</v>
      </c>
      <c r="B130" s="4">
        <v>82</v>
      </c>
      <c r="C130" s="6">
        <v>45000</v>
      </c>
      <c r="D130" s="4">
        <v>47</v>
      </c>
      <c r="E130" s="4">
        <v>4</v>
      </c>
      <c r="F130" s="12">
        <f t="shared" ref="F130:F193" si="2">J130*(1-E130/100)</f>
        <v>1220.3712</v>
      </c>
      <c r="G130" t="str">
        <f>VLOOKUP(B130,product_tbl[],2,FALSE)</f>
        <v>Yoga Mat 82</v>
      </c>
      <c r="H130" t="str">
        <f>VLOOKUP(B130,product_tbl[],3,FALSE)</f>
        <v>Sports</v>
      </c>
      <c r="I130">
        <v>762.73199999999997</v>
      </c>
      <c r="J130">
        <f>VLOOKUP(B130,product_tbl[],5,FALSE)</f>
        <v>1271.22</v>
      </c>
      <c r="K130">
        <f>VLOOKUP(B130,review_tbl[],3,FALSE)</f>
        <v>2</v>
      </c>
      <c r="L130" s="11">
        <v>1362.7510823944738</v>
      </c>
      <c r="M130" s="11">
        <f>AVERAGEIF(Table1[product_id],Master_tbl!B130:B1131,Table1[competitor_price])</f>
        <v>2617.7080000000001</v>
      </c>
      <c r="N130" s="11">
        <f>IFERROR(Table5[[#This Row],[final_sale_price]]*Table5[[#This Row],[quantity_sold ]],0)</f>
        <v>57357.446400000001</v>
      </c>
      <c r="O130" s="11">
        <f>(Table5[[#This Row],[final_sale_price]]-Table5[[#This Row],[cost_price]])*Table5[[#This Row],[quantity_sold ]]</f>
        <v>21509.042400000002</v>
      </c>
      <c r="P130" s="11">
        <f>(Table5[final_sale_price]-Table5[[#This Row],[avg_comp_price]])</f>
        <v>-1397.3368</v>
      </c>
      <c r="Q130" s="15">
        <f>(Table5[[#This Row],[final_sale_price]]-Table5[[#This Row],[avg_comp_price]])/Table5[[#This Row],[avg_comp_price]]</f>
        <v>-0.53380163104517386</v>
      </c>
      <c r="R130" s="11">
        <f>Table5[[#This Row],[Profit]]/Table5[[#This Row],[Revenue]]</f>
        <v>0.37500000000000006</v>
      </c>
    </row>
    <row r="131" spans="1:18" x14ac:dyDescent="0.2">
      <c r="A131" s="5">
        <v>130</v>
      </c>
      <c r="B131" s="5">
        <v>116</v>
      </c>
      <c r="C131" s="7">
        <v>45234</v>
      </c>
      <c r="D131" s="5">
        <v>29</v>
      </c>
      <c r="E131" s="4">
        <v>9</v>
      </c>
      <c r="F131" s="12">
        <f t="shared" si="2"/>
        <v>2150.4665</v>
      </c>
      <c r="G131" t="str">
        <f>VLOOKUP(B131,product_tbl[],2,FALSE)</f>
        <v>Building Blocks 116</v>
      </c>
      <c r="H131" t="str">
        <f>VLOOKUP(B131,product_tbl[],3,FALSE)</f>
        <v>Toys</v>
      </c>
      <c r="I131">
        <v>1417.89</v>
      </c>
      <c r="J131">
        <f>VLOOKUP(B131,product_tbl[],5,FALSE)</f>
        <v>2363.15</v>
      </c>
      <c r="K131">
        <f>VLOOKUP(B131,review_tbl[],3,FALSE)</f>
        <v>5</v>
      </c>
      <c r="L131" s="11">
        <v>2796.3804908417233</v>
      </c>
      <c r="M131" s="11">
        <f>AVERAGEIF(Table1[product_id],Master_tbl!B131:B1132,Table1[competitor_price])</f>
        <v>4469.4999999999991</v>
      </c>
      <c r="N131" s="11">
        <f>IFERROR(Table5[[#This Row],[final_sale_price]]*Table5[[#This Row],[quantity_sold ]],0)</f>
        <v>62363.5285</v>
      </c>
      <c r="O131" s="11">
        <f>(Table5[[#This Row],[final_sale_price]]-Table5[[#This Row],[cost_price]])*Table5[[#This Row],[quantity_sold ]]</f>
        <v>21244.718499999995</v>
      </c>
      <c r="P131" s="11">
        <f>(Table5[final_sale_price]-Table5[[#This Row],[avg_comp_price]])</f>
        <v>-2319.0334999999991</v>
      </c>
      <c r="Q131" s="15">
        <f>(Table5[[#This Row],[final_sale_price]]-Table5[[#This Row],[avg_comp_price]])/Table5[[#This Row],[avg_comp_price]]</f>
        <v>-0.51885747846515262</v>
      </c>
      <c r="R131" s="11">
        <f>Table5[[#This Row],[Profit]]/Table5[[#This Row],[Revenue]]</f>
        <v>0.34065934065934056</v>
      </c>
    </row>
    <row r="132" spans="1:18" x14ac:dyDescent="0.2">
      <c r="A132" s="4">
        <v>131</v>
      </c>
      <c r="B132" s="4">
        <v>149</v>
      </c>
      <c r="C132" s="6">
        <v>45774</v>
      </c>
      <c r="D132" s="4">
        <v>35</v>
      </c>
      <c r="E132" s="4">
        <v>9</v>
      </c>
      <c r="F132" s="12">
        <f t="shared" si="2"/>
        <v>5576.2798000000003</v>
      </c>
      <c r="G132" t="str">
        <f>VLOOKUP(B132,product_tbl[],2,FALSE)</f>
        <v>Smartphone 149</v>
      </c>
      <c r="H132" t="str">
        <f>VLOOKUP(B132,product_tbl[],3,FALSE)</f>
        <v>Electronics</v>
      </c>
      <c r="I132">
        <v>3676.6679999999997</v>
      </c>
      <c r="J132">
        <f>VLOOKUP(B132,product_tbl[],5,FALSE)</f>
        <v>6127.78</v>
      </c>
      <c r="K132">
        <f>VLOOKUP(B132,review_tbl[],3,FALSE)</f>
        <v>4</v>
      </c>
      <c r="L132" s="11">
        <v>7231.8093261526392</v>
      </c>
      <c r="M132" s="11">
        <f>AVERAGEIF(Table1[product_id],Master_tbl!B132:B1133,Table1[competitor_price])</f>
        <v>3159.4639999999999</v>
      </c>
      <c r="N132" s="11">
        <f>IFERROR(Table5[[#This Row],[final_sale_price]]*Table5[[#This Row],[quantity_sold ]],0)</f>
        <v>195169.79300000001</v>
      </c>
      <c r="O132" s="11">
        <f>(Table5[[#This Row],[final_sale_price]]-Table5[[#This Row],[cost_price]])*Table5[[#This Row],[quantity_sold ]]</f>
        <v>66486.413000000015</v>
      </c>
      <c r="P132" s="11">
        <f>(Table5[final_sale_price]-Table5[[#This Row],[avg_comp_price]])</f>
        <v>2416.8158000000003</v>
      </c>
      <c r="Q132" s="15">
        <f>(Table5[[#This Row],[final_sale_price]]-Table5[[#This Row],[avg_comp_price]])/Table5[[#This Row],[avg_comp_price]]</f>
        <v>0.76494487672592582</v>
      </c>
      <c r="R132" s="11">
        <f>Table5[[#This Row],[Profit]]/Table5[[#This Row],[Revenue]]</f>
        <v>0.34065934065934073</v>
      </c>
    </row>
    <row r="133" spans="1:18" x14ac:dyDescent="0.2">
      <c r="A133" s="5">
        <v>132</v>
      </c>
      <c r="B133" s="5">
        <v>33</v>
      </c>
      <c r="C133" s="7">
        <v>45018</v>
      </c>
      <c r="D133" s="5">
        <v>17</v>
      </c>
      <c r="E133" s="4">
        <v>5</v>
      </c>
      <c r="F133" s="12">
        <f t="shared" si="2"/>
        <v>4800.3404999999993</v>
      </c>
      <c r="G133" t="str">
        <f>VLOOKUP(B133,product_tbl[],2,FALSE)</f>
        <v>Washing Machine 33</v>
      </c>
      <c r="H133" t="str">
        <f>VLOOKUP(B133,product_tbl[],3,FALSE)</f>
        <v>Home Appliances</v>
      </c>
      <c r="I133">
        <v>3031.7939999999999</v>
      </c>
      <c r="J133">
        <f>VLOOKUP(B133,product_tbl[],5,FALSE)</f>
        <v>5052.99</v>
      </c>
      <c r="K133">
        <f>VLOOKUP(B133,review_tbl[],3,FALSE)</f>
        <v>3</v>
      </c>
      <c r="L133" s="11">
        <v>5576.2225734579433</v>
      </c>
      <c r="M133" s="11">
        <f>AVERAGEIF(Table1[product_id],Master_tbl!B133:B1134,Table1[competitor_price])</f>
        <v>2776.7875000000004</v>
      </c>
      <c r="N133" s="11">
        <f>IFERROR(Table5[[#This Row],[final_sale_price]]*Table5[[#This Row],[quantity_sold ]],0)</f>
        <v>81605.788499999995</v>
      </c>
      <c r="O133" s="11">
        <f>(Table5[[#This Row],[final_sale_price]]-Table5[[#This Row],[cost_price]])*Table5[[#This Row],[quantity_sold ]]</f>
        <v>30065.290499999992</v>
      </c>
      <c r="P133" s="11">
        <f>(Table5[final_sale_price]-Table5[[#This Row],[avg_comp_price]])</f>
        <v>2023.552999999999</v>
      </c>
      <c r="Q133" s="15">
        <f>(Table5[[#This Row],[final_sale_price]]-Table5[[#This Row],[avg_comp_price]])/Table5[[#This Row],[avg_comp_price]]</f>
        <v>0.72873887540908289</v>
      </c>
      <c r="R133" s="11">
        <f>Table5[[#This Row],[Profit]]/Table5[[#This Row],[Revenue]]</f>
        <v>0.36842105263157887</v>
      </c>
    </row>
    <row r="134" spans="1:18" x14ac:dyDescent="0.2">
      <c r="A134" s="4">
        <v>133</v>
      </c>
      <c r="B134" s="4">
        <v>101</v>
      </c>
      <c r="C134" s="6">
        <v>45635</v>
      </c>
      <c r="D134" s="4">
        <v>42</v>
      </c>
      <c r="E134" s="4">
        <v>8</v>
      </c>
      <c r="F134" s="12">
        <f t="shared" si="2"/>
        <v>4342.6668</v>
      </c>
      <c r="G134" t="str">
        <f>VLOOKUP(B134,product_tbl[],2,FALSE)</f>
        <v>Jacket 101</v>
      </c>
      <c r="H134" t="str">
        <f>VLOOKUP(B134,product_tbl[],3,FALSE)</f>
        <v>Fashion</v>
      </c>
      <c r="I134">
        <v>2832.174</v>
      </c>
      <c r="J134">
        <f>VLOOKUP(B134,product_tbl[],5,FALSE)</f>
        <v>4720.29</v>
      </c>
      <c r="K134">
        <f>VLOOKUP(B134,review_tbl[],3,FALSE)</f>
        <v>2</v>
      </c>
      <c r="L134" s="11">
        <v>4832.0605992436713</v>
      </c>
      <c r="M134" s="11">
        <f>AVERAGEIF(Table1[product_id],Master_tbl!B134:B1135,Table1[competitor_price])</f>
        <v>6068.0179999999991</v>
      </c>
      <c r="N134" s="11">
        <f>IFERROR(Table5[[#This Row],[final_sale_price]]*Table5[[#This Row],[quantity_sold ]],0)</f>
        <v>182392.0056</v>
      </c>
      <c r="O134" s="11">
        <f>(Table5[[#This Row],[final_sale_price]]-Table5[[#This Row],[cost_price]])*Table5[[#This Row],[quantity_sold ]]</f>
        <v>63440.6976</v>
      </c>
      <c r="P134" s="11">
        <f>(Table5[final_sale_price]-Table5[[#This Row],[avg_comp_price]])</f>
        <v>-1725.3511999999992</v>
      </c>
      <c r="Q134" s="15">
        <f>(Table5[[#This Row],[final_sale_price]]-Table5[[#This Row],[avg_comp_price]])/Table5[[#This Row],[avg_comp_price]]</f>
        <v>-0.28433521456264621</v>
      </c>
      <c r="R134" s="11">
        <f>Table5[[#This Row],[Profit]]/Table5[[#This Row],[Revenue]]</f>
        <v>0.34782608695652173</v>
      </c>
    </row>
    <row r="135" spans="1:18" x14ac:dyDescent="0.2">
      <c r="A135" s="5">
        <v>134</v>
      </c>
      <c r="B135" s="5">
        <v>105</v>
      </c>
      <c r="C135" s="7">
        <v>45908</v>
      </c>
      <c r="D135" s="5">
        <v>29</v>
      </c>
      <c r="E135" s="4">
        <v>6</v>
      </c>
      <c r="F135" s="12">
        <f t="shared" si="2"/>
        <v>3894.4951999999998</v>
      </c>
      <c r="G135" t="str">
        <f>VLOOKUP(B135,product_tbl[],2,FALSE)</f>
        <v>Action Figure 105</v>
      </c>
      <c r="H135" t="str">
        <f>VLOOKUP(B135,product_tbl[],3,FALSE)</f>
        <v>Toys</v>
      </c>
      <c r="I135">
        <v>2485.848</v>
      </c>
      <c r="J135">
        <f>VLOOKUP(B135,product_tbl[],5,FALSE)</f>
        <v>4143.08</v>
      </c>
      <c r="K135">
        <f>VLOOKUP(B135,review_tbl[],3,FALSE)</f>
        <v>3</v>
      </c>
      <c r="L135" s="11">
        <v>5354.9779214739037</v>
      </c>
      <c r="M135" s="11">
        <f>AVERAGEIF(Table1[product_id],Master_tbl!B135:B1136,Table1[competitor_price])</f>
        <v>4778.8849999999993</v>
      </c>
      <c r="N135" s="11">
        <f>IFERROR(Table5[[#This Row],[final_sale_price]]*Table5[[#This Row],[quantity_sold ]],0)</f>
        <v>112940.36079999999</v>
      </c>
      <c r="O135" s="11">
        <f>(Table5[[#This Row],[final_sale_price]]-Table5[[#This Row],[cost_price]])*Table5[[#This Row],[quantity_sold ]]</f>
        <v>40850.768799999998</v>
      </c>
      <c r="P135" s="11">
        <f>(Table5[final_sale_price]-Table5[[#This Row],[avg_comp_price]])</f>
        <v>-884.38979999999947</v>
      </c>
      <c r="Q135" s="15">
        <f>(Table5[[#This Row],[final_sale_price]]-Table5[[#This Row],[avg_comp_price]])/Table5[[#This Row],[avg_comp_price]]</f>
        <v>-0.18506195482837515</v>
      </c>
      <c r="R135" s="11">
        <f>Table5[[#This Row],[Profit]]/Table5[[#This Row],[Revenue]]</f>
        <v>0.36170212765957449</v>
      </c>
    </row>
    <row r="136" spans="1:18" x14ac:dyDescent="0.2">
      <c r="A136" s="4">
        <v>135</v>
      </c>
      <c r="B136" s="4">
        <v>141</v>
      </c>
      <c r="C136" s="6">
        <v>45715</v>
      </c>
      <c r="D136" s="4">
        <v>33</v>
      </c>
      <c r="E136" s="4">
        <v>3</v>
      </c>
      <c r="F136" s="12">
        <f t="shared" si="2"/>
        <v>7629.2342999999992</v>
      </c>
      <c r="G136" t="str">
        <f>VLOOKUP(B136,product_tbl[],2,FALSE)</f>
        <v>Puzzle Set 141</v>
      </c>
      <c r="H136" t="str">
        <f>VLOOKUP(B136,product_tbl[],3,FALSE)</f>
        <v>Toys</v>
      </c>
      <c r="I136">
        <v>4719.1139999999996</v>
      </c>
      <c r="J136">
        <f>VLOOKUP(B136,product_tbl[],5,FALSE)</f>
        <v>7865.19</v>
      </c>
      <c r="K136">
        <f>VLOOKUP(B136,review_tbl[],3,FALSE)</f>
        <v>5</v>
      </c>
      <c r="L136" s="11">
        <v>8883.6060969308855</v>
      </c>
      <c r="M136" s="11">
        <f>AVERAGEIF(Table1[product_id],Master_tbl!B136:B1137,Table1[competitor_price])</f>
        <v>7586.8133333333344</v>
      </c>
      <c r="N136" s="11">
        <f>IFERROR(Table5[[#This Row],[final_sale_price]]*Table5[[#This Row],[quantity_sold ]],0)</f>
        <v>251764.73189999998</v>
      </c>
      <c r="O136" s="11">
        <f>(Table5[[#This Row],[final_sale_price]]-Table5[[#This Row],[cost_price]])*Table5[[#This Row],[quantity_sold ]]</f>
        <v>96033.969899999982</v>
      </c>
      <c r="P136" s="11">
        <f>(Table5[final_sale_price]-Table5[[#This Row],[avg_comp_price]])</f>
        <v>42.420966666664754</v>
      </c>
      <c r="Q136" s="15">
        <f>(Table5[[#This Row],[final_sale_price]]-Table5[[#This Row],[avg_comp_price]])/Table5[[#This Row],[avg_comp_price]]</f>
        <v>5.5914077232247818E-3</v>
      </c>
      <c r="R136" s="11">
        <f>Table5[[#This Row],[Profit]]/Table5[[#This Row],[Revenue]]</f>
        <v>0.38144329896907214</v>
      </c>
    </row>
    <row r="137" spans="1:18" x14ac:dyDescent="0.2">
      <c r="A137" s="5">
        <v>136</v>
      </c>
      <c r="B137" s="5">
        <v>104</v>
      </c>
      <c r="C137" s="7">
        <v>45710</v>
      </c>
      <c r="D137" s="5">
        <v>43</v>
      </c>
      <c r="E137" s="4">
        <v>10</v>
      </c>
      <c r="F137" s="12">
        <f t="shared" si="2"/>
        <v>2910.1950000000002</v>
      </c>
      <c r="G137" t="str">
        <f>VLOOKUP(B137,product_tbl[],2,FALSE)</f>
        <v>Children Story Book 104</v>
      </c>
      <c r="H137" t="str">
        <f>VLOOKUP(B137,product_tbl[],3,FALSE)</f>
        <v>Books</v>
      </c>
      <c r="I137">
        <v>1940.13</v>
      </c>
      <c r="J137">
        <f>VLOOKUP(B137,product_tbl[],5,FALSE)</f>
        <v>3233.55</v>
      </c>
      <c r="K137">
        <f>VLOOKUP(B137,review_tbl[],3,FALSE)</f>
        <v>1</v>
      </c>
      <c r="L137" s="11">
        <v>3629.063079368218</v>
      </c>
      <c r="M137" s="11">
        <f>AVERAGEIF(Table1[product_id],Master_tbl!B137:B1138,Table1[competitor_price])</f>
        <v>5121.3466666666664</v>
      </c>
      <c r="N137" s="11">
        <f>IFERROR(Table5[[#This Row],[final_sale_price]]*Table5[[#This Row],[quantity_sold ]],0)</f>
        <v>125138.38500000001</v>
      </c>
      <c r="O137" s="11">
        <f>(Table5[[#This Row],[final_sale_price]]-Table5[[#This Row],[cost_price]])*Table5[[#This Row],[quantity_sold ]]</f>
        <v>41712.795000000006</v>
      </c>
      <c r="P137" s="11">
        <f>(Table5[final_sale_price]-Table5[[#This Row],[avg_comp_price]])</f>
        <v>-2211.1516666666662</v>
      </c>
      <c r="Q137" s="15">
        <f>(Table5[[#This Row],[final_sale_price]]-Table5[[#This Row],[avg_comp_price]])/Table5[[#This Row],[avg_comp_price]]</f>
        <v>-0.43175200012496706</v>
      </c>
      <c r="R137" s="11">
        <f>Table5[[#This Row],[Profit]]/Table5[[#This Row],[Revenue]]</f>
        <v>0.33333333333333337</v>
      </c>
    </row>
    <row r="138" spans="1:18" x14ac:dyDescent="0.2">
      <c r="A138" s="4">
        <v>137</v>
      </c>
      <c r="B138" s="4">
        <v>113</v>
      </c>
      <c r="C138" s="6">
        <v>45927</v>
      </c>
      <c r="D138" s="4">
        <v>44</v>
      </c>
      <c r="E138" s="4">
        <v>5</v>
      </c>
      <c r="F138" s="12">
        <f t="shared" si="2"/>
        <v>4587.7019999999993</v>
      </c>
      <c r="G138" t="str">
        <f>VLOOKUP(B138,product_tbl[],2,FALSE)</f>
        <v>Green Tea 113</v>
      </c>
      <c r="H138" t="str">
        <f>VLOOKUP(B138,product_tbl[],3,FALSE)</f>
        <v>Grocery</v>
      </c>
      <c r="I138">
        <v>2897.4959999999996</v>
      </c>
      <c r="J138">
        <f>VLOOKUP(B138,product_tbl[],5,FALSE)</f>
        <v>4829.16</v>
      </c>
      <c r="K138">
        <f>VLOOKUP(B138,review_tbl[],3,FALSE)</f>
        <v>1</v>
      </c>
      <c r="L138" s="11">
        <v>5599.1960722145868</v>
      </c>
      <c r="M138" s="11">
        <f>AVERAGEIF(Table1[product_id],Master_tbl!B138:B1139,Table1[competitor_price])</f>
        <v>4302.05</v>
      </c>
      <c r="N138" s="11">
        <f>IFERROR(Table5[[#This Row],[final_sale_price]]*Table5[[#This Row],[quantity_sold ]],0)</f>
        <v>201858.88799999998</v>
      </c>
      <c r="O138" s="11">
        <f>(Table5[[#This Row],[final_sale_price]]-Table5[[#This Row],[cost_price]])*Table5[[#This Row],[quantity_sold ]]</f>
        <v>74369.063999999984</v>
      </c>
      <c r="P138" s="11">
        <f>(Table5[final_sale_price]-Table5[[#This Row],[avg_comp_price]])</f>
        <v>285.65199999999913</v>
      </c>
      <c r="Q138" s="15">
        <f>(Table5[[#This Row],[final_sale_price]]-Table5[[#This Row],[avg_comp_price]])/Table5[[#This Row],[avg_comp_price]]</f>
        <v>6.6399042317034696E-2</v>
      </c>
      <c r="R138" s="11">
        <f>Table5[[#This Row],[Profit]]/Table5[[#This Row],[Revenue]]</f>
        <v>0.36842105263157893</v>
      </c>
    </row>
    <row r="139" spans="1:18" x14ac:dyDescent="0.2">
      <c r="A139" s="5">
        <v>138</v>
      </c>
      <c r="B139" s="5">
        <v>92</v>
      </c>
      <c r="C139" s="7">
        <v>45263</v>
      </c>
      <c r="D139" s="5">
        <v>35</v>
      </c>
      <c r="E139" s="4">
        <v>10</v>
      </c>
      <c r="F139" s="12">
        <f t="shared" si="2"/>
        <v>3220.2179999999998</v>
      </c>
      <c r="G139" t="str">
        <f>VLOOKUP(B139,product_tbl[],2,FALSE)</f>
        <v>Puzzle Set 92</v>
      </c>
      <c r="H139" t="str">
        <f>VLOOKUP(B139,product_tbl[],3,FALSE)</f>
        <v>Toys</v>
      </c>
      <c r="I139">
        <v>2146.8119999999999</v>
      </c>
      <c r="J139">
        <f>VLOOKUP(B139,product_tbl[],5,FALSE)</f>
        <v>3578.02</v>
      </c>
      <c r="K139">
        <f>VLOOKUP(B139,review_tbl[],3,FALSE)</f>
        <v>5</v>
      </c>
      <c r="L139" s="11">
        <v>3836.5910804032846</v>
      </c>
      <c r="M139" s="11">
        <f>AVERAGEIF(Table1[product_id],Master_tbl!B139:B1140,Table1[competitor_price])</f>
        <v>5387.83</v>
      </c>
      <c r="N139" s="11">
        <f>IFERROR(Table5[[#This Row],[final_sale_price]]*Table5[[#This Row],[quantity_sold ]],0)</f>
        <v>112707.62999999999</v>
      </c>
      <c r="O139" s="11">
        <f>(Table5[[#This Row],[final_sale_price]]-Table5[[#This Row],[cost_price]])*Table5[[#This Row],[quantity_sold ]]</f>
        <v>37569.21</v>
      </c>
      <c r="P139" s="11">
        <f>(Table5[final_sale_price]-Table5[[#This Row],[avg_comp_price]])</f>
        <v>-2167.6120000000001</v>
      </c>
      <c r="Q139" s="15">
        <f>(Table5[[#This Row],[final_sale_price]]-Table5[[#This Row],[avg_comp_price]])/Table5[[#This Row],[avg_comp_price]]</f>
        <v>-0.40231633143584711</v>
      </c>
      <c r="R139" s="11">
        <f>Table5[[#This Row],[Profit]]/Table5[[#This Row],[Revenue]]</f>
        <v>0.33333333333333337</v>
      </c>
    </row>
    <row r="140" spans="1:18" x14ac:dyDescent="0.2">
      <c r="A140" s="4">
        <v>139</v>
      </c>
      <c r="B140" s="4">
        <v>46</v>
      </c>
      <c r="C140" s="6">
        <v>45888</v>
      </c>
      <c r="D140" s="4">
        <v>8</v>
      </c>
      <c r="E140" s="4">
        <v>8</v>
      </c>
      <c r="F140" s="12">
        <f t="shared" si="2"/>
        <v>1489.1672000000001</v>
      </c>
      <c r="G140" t="str">
        <f>VLOOKUP(B140,product_tbl[],2,FALSE)</f>
        <v>Action Figure 46</v>
      </c>
      <c r="H140" t="str">
        <f>VLOOKUP(B140,product_tbl[],3,FALSE)</f>
        <v>Toys</v>
      </c>
      <c r="I140">
        <v>971.19600000000003</v>
      </c>
      <c r="J140">
        <f>VLOOKUP(B140,product_tbl[],5,FALSE)</f>
        <v>1618.66</v>
      </c>
      <c r="K140">
        <f>VLOOKUP(B140,review_tbl[],3,FALSE)</f>
        <v>4</v>
      </c>
      <c r="L140" s="11">
        <v>1716.9367958175808</v>
      </c>
      <c r="M140" s="11">
        <f>AVERAGEIF(Table1[product_id],Master_tbl!B140:B1141,Table1[competitor_price])</f>
        <v>4497.6779999999999</v>
      </c>
      <c r="N140" s="11">
        <f>IFERROR(Table5[[#This Row],[final_sale_price]]*Table5[[#This Row],[quantity_sold ]],0)</f>
        <v>11913.337600000001</v>
      </c>
      <c r="O140" s="11">
        <f>(Table5[[#This Row],[final_sale_price]]-Table5[[#This Row],[cost_price]])*Table5[[#This Row],[quantity_sold ]]</f>
        <v>4143.7696000000005</v>
      </c>
      <c r="P140" s="11">
        <f>(Table5[final_sale_price]-Table5[[#This Row],[avg_comp_price]])</f>
        <v>-3008.5108</v>
      </c>
      <c r="Q140" s="15">
        <f>(Table5[[#This Row],[final_sale_price]]-Table5[[#This Row],[avg_comp_price]])/Table5[[#This Row],[avg_comp_price]]</f>
        <v>-0.66890310956008858</v>
      </c>
      <c r="R140" s="11">
        <f>Table5[[#This Row],[Profit]]/Table5[[#This Row],[Revenue]]</f>
        <v>0.34782608695652178</v>
      </c>
    </row>
    <row r="141" spans="1:18" x14ac:dyDescent="0.2">
      <c r="A141" s="5">
        <v>140</v>
      </c>
      <c r="B141" s="5">
        <v>122</v>
      </c>
      <c r="C141" s="7">
        <v>45205</v>
      </c>
      <c r="D141" s="5">
        <v>10</v>
      </c>
      <c r="E141" s="4">
        <v>10</v>
      </c>
      <c r="F141" s="12">
        <f t="shared" si="2"/>
        <v>4632.9660000000003</v>
      </c>
      <c r="G141" t="str">
        <f>VLOOKUP(B141,product_tbl[],2,FALSE)</f>
        <v>Shampoo 122</v>
      </c>
      <c r="H141" t="str">
        <f>VLOOKUP(B141,product_tbl[],3,FALSE)</f>
        <v>Beauty</v>
      </c>
      <c r="I141">
        <v>3088.6439999999998</v>
      </c>
      <c r="J141">
        <f>VLOOKUP(B141,product_tbl[],5,FALSE)</f>
        <v>5147.74</v>
      </c>
      <c r="K141">
        <f>VLOOKUP(B141,review_tbl[],3,FALSE)</f>
        <v>3</v>
      </c>
      <c r="L141" s="11">
        <v>5498.8020022108885</v>
      </c>
      <c r="M141" s="11">
        <f>AVERAGEIF(Table1[product_id],Master_tbl!B141:B1142,Table1[competitor_price])</f>
        <v>4724.1475</v>
      </c>
      <c r="N141" s="11">
        <f>IFERROR(Table5[[#This Row],[final_sale_price]]*Table5[[#This Row],[quantity_sold ]],0)</f>
        <v>46329.66</v>
      </c>
      <c r="O141" s="11">
        <f>(Table5[[#This Row],[final_sale_price]]-Table5[[#This Row],[cost_price]])*Table5[[#This Row],[quantity_sold ]]</f>
        <v>15443.220000000005</v>
      </c>
      <c r="P141" s="11">
        <f>(Table5[final_sale_price]-Table5[[#This Row],[avg_comp_price]])</f>
        <v>-91.181499999999687</v>
      </c>
      <c r="Q141" s="15">
        <f>(Table5[[#This Row],[final_sale_price]]-Table5[[#This Row],[avg_comp_price]])/Table5[[#This Row],[avg_comp_price]]</f>
        <v>-1.9301154335253014E-2</v>
      </c>
      <c r="R141" s="11">
        <f>Table5[[#This Row],[Profit]]/Table5[[#This Row],[Revenue]]</f>
        <v>0.33333333333333343</v>
      </c>
    </row>
    <row r="142" spans="1:18" x14ac:dyDescent="0.2">
      <c r="A142" s="4">
        <v>141</v>
      </c>
      <c r="B142" s="4">
        <v>65</v>
      </c>
      <c r="C142" s="6">
        <v>45409</v>
      </c>
      <c r="D142" s="4">
        <v>3</v>
      </c>
      <c r="E142" s="4">
        <v>5</v>
      </c>
      <c r="F142" s="12">
        <f t="shared" si="2"/>
        <v>4285.7919999999995</v>
      </c>
      <c r="G142" t="str">
        <f>VLOOKUP(B142,product_tbl[],2,FALSE)</f>
        <v>Biography 65</v>
      </c>
      <c r="H142" t="str">
        <f>VLOOKUP(B142,product_tbl[],3,FALSE)</f>
        <v>Books</v>
      </c>
      <c r="I142">
        <v>2706.8159999999998</v>
      </c>
      <c r="J142">
        <f>VLOOKUP(B142,product_tbl[],5,FALSE)</f>
        <v>4511.3599999999997</v>
      </c>
      <c r="K142">
        <f>VLOOKUP(B142,review_tbl[],3,FALSE)</f>
        <v>1</v>
      </c>
      <c r="L142" s="11">
        <v>4550.2782235459463</v>
      </c>
      <c r="M142" s="11">
        <f>AVERAGEIF(Table1[product_id],Master_tbl!B142:B1143,Table1[competitor_price])</f>
        <v>1786.8475000000001</v>
      </c>
      <c r="N142" s="11">
        <f>IFERROR(Table5[[#This Row],[final_sale_price]]*Table5[[#This Row],[quantity_sold ]],0)</f>
        <v>12857.375999999998</v>
      </c>
      <c r="O142" s="11">
        <f>(Table5[[#This Row],[final_sale_price]]-Table5[[#This Row],[cost_price]])*Table5[[#This Row],[quantity_sold ]]</f>
        <v>4736.927999999999</v>
      </c>
      <c r="P142" s="11">
        <f>(Table5[final_sale_price]-Table5[[#This Row],[avg_comp_price]])</f>
        <v>2498.9444999999996</v>
      </c>
      <c r="Q142" s="15">
        <f>(Table5[[#This Row],[final_sale_price]]-Table5[[#This Row],[avg_comp_price]])/Table5[[#This Row],[avg_comp_price]]</f>
        <v>1.3985214183079415</v>
      </c>
      <c r="R142" s="11">
        <f>Table5[[#This Row],[Profit]]/Table5[[#This Row],[Revenue]]</f>
        <v>0.36842105263157893</v>
      </c>
    </row>
    <row r="143" spans="1:18" x14ac:dyDescent="0.2">
      <c r="A143" s="5">
        <v>142</v>
      </c>
      <c r="B143" s="5">
        <v>116</v>
      </c>
      <c r="C143" s="7">
        <v>45036</v>
      </c>
      <c r="D143" s="5">
        <v>44</v>
      </c>
      <c r="E143" s="4">
        <v>4</v>
      </c>
      <c r="F143" s="12">
        <f t="shared" si="2"/>
        <v>2268.6239999999998</v>
      </c>
      <c r="G143" t="str">
        <f>VLOOKUP(B143,product_tbl[],2,FALSE)</f>
        <v>Building Blocks 116</v>
      </c>
      <c r="H143" t="str">
        <f>VLOOKUP(B143,product_tbl[],3,FALSE)</f>
        <v>Toys</v>
      </c>
      <c r="I143">
        <v>1417.89</v>
      </c>
      <c r="J143">
        <f>VLOOKUP(B143,product_tbl[],5,FALSE)</f>
        <v>2363.15</v>
      </c>
      <c r="K143">
        <f>VLOOKUP(B143,review_tbl[],3,FALSE)</f>
        <v>5</v>
      </c>
      <c r="L143" s="11">
        <v>2596.0878239540257</v>
      </c>
      <c r="M143" s="11">
        <f>AVERAGEIF(Table1[product_id],Master_tbl!B143:B1144,Table1[competitor_price])</f>
        <v>4469.4999999999991</v>
      </c>
      <c r="N143" s="11">
        <f>IFERROR(Table5[[#This Row],[final_sale_price]]*Table5[[#This Row],[quantity_sold ]],0)</f>
        <v>99819.455999999991</v>
      </c>
      <c r="O143" s="11">
        <f>(Table5[[#This Row],[final_sale_price]]-Table5[[#This Row],[cost_price]])*Table5[[#This Row],[quantity_sold ]]</f>
        <v>37432.295999999988</v>
      </c>
      <c r="P143" s="11">
        <f>(Table5[final_sale_price]-Table5[[#This Row],[avg_comp_price]])</f>
        <v>-2200.8759999999993</v>
      </c>
      <c r="Q143" s="15">
        <f>(Table5[[#This Row],[final_sale_price]]-Table5[[#This Row],[avg_comp_price]])/Table5[[#This Row],[avg_comp_price]]</f>
        <v>-0.49242107618301817</v>
      </c>
      <c r="R143" s="11">
        <f>Table5[[#This Row],[Profit]]/Table5[[#This Row],[Revenue]]</f>
        <v>0.37499999999999989</v>
      </c>
    </row>
    <row r="144" spans="1:18" x14ac:dyDescent="0.2">
      <c r="A144" s="4">
        <v>143</v>
      </c>
      <c r="B144" s="4">
        <v>110</v>
      </c>
      <c r="C144" s="6">
        <v>45236</v>
      </c>
      <c r="D144" s="4">
        <v>48</v>
      </c>
      <c r="E144" s="4">
        <v>8</v>
      </c>
      <c r="F144" s="12">
        <f t="shared" si="2"/>
        <v>1429.8732</v>
      </c>
      <c r="G144" t="str">
        <f>VLOOKUP(B144,product_tbl[],2,FALSE)</f>
        <v>Cookbook 110</v>
      </c>
      <c r="H144" t="str">
        <f>VLOOKUP(B144,product_tbl[],3,FALSE)</f>
        <v>Books</v>
      </c>
      <c r="I144">
        <v>932.52599999999995</v>
      </c>
      <c r="J144">
        <f>VLOOKUP(B144,product_tbl[],5,FALSE)</f>
        <v>1554.21</v>
      </c>
      <c r="K144">
        <f>VLOOKUP(B144,review_tbl[],3,FALSE)</f>
        <v>3</v>
      </c>
      <c r="L144" s="11">
        <v>1732.8967545362618</v>
      </c>
      <c r="M144" s="11">
        <f>AVERAGEIF(Table1[product_id],Master_tbl!B144:B1145,Table1[competitor_price])</f>
        <v>764.66499999999996</v>
      </c>
      <c r="N144" s="11">
        <f>IFERROR(Table5[[#This Row],[final_sale_price]]*Table5[[#This Row],[quantity_sold ]],0)</f>
        <v>68633.9136</v>
      </c>
      <c r="O144" s="11">
        <f>(Table5[[#This Row],[final_sale_price]]-Table5[[#This Row],[cost_price]])*Table5[[#This Row],[quantity_sold ]]</f>
        <v>23872.6656</v>
      </c>
      <c r="P144" s="11">
        <f>(Table5[final_sale_price]-Table5[[#This Row],[avg_comp_price]])</f>
        <v>665.20820000000003</v>
      </c>
      <c r="Q144" s="15">
        <f>(Table5[[#This Row],[final_sale_price]]-Table5[[#This Row],[avg_comp_price]])/Table5[[#This Row],[avg_comp_price]]</f>
        <v>0.86993415417208853</v>
      </c>
      <c r="R144" s="11">
        <f>Table5[[#This Row],[Profit]]/Table5[[#This Row],[Revenue]]</f>
        <v>0.34782608695652173</v>
      </c>
    </row>
    <row r="145" spans="1:18" x14ac:dyDescent="0.2">
      <c r="A145" s="5">
        <v>144</v>
      </c>
      <c r="B145" s="5">
        <v>78</v>
      </c>
      <c r="C145" s="7">
        <v>45035</v>
      </c>
      <c r="D145" s="5">
        <v>49</v>
      </c>
      <c r="E145" s="4">
        <v>6</v>
      </c>
      <c r="F145" s="12">
        <f t="shared" si="2"/>
        <v>813.79559999999992</v>
      </c>
      <c r="G145" t="str">
        <f>VLOOKUP(B145,product_tbl[],2,FALSE)</f>
        <v>Biography 78</v>
      </c>
      <c r="H145" t="str">
        <f>VLOOKUP(B145,product_tbl[],3,FALSE)</f>
        <v>Books</v>
      </c>
      <c r="I145">
        <v>519.44399999999996</v>
      </c>
      <c r="J145">
        <f>VLOOKUP(B145,product_tbl[],5,FALSE)</f>
        <v>865.74</v>
      </c>
      <c r="K145">
        <f>VLOOKUP(B145,review_tbl[],3,FALSE)</f>
        <v>4</v>
      </c>
      <c r="L145" s="11">
        <v>914.54787512309622</v>
      </c>
      <c r="M145" s="11">
        <f>AVERAGEIF(Table1[product_id],Master_tbl!B145:B1146,Table1[competitor_price])</f>
        <v>398.392</v>
      </c>
      <c r="N145" s="11">
        <f>IFERROR(Table5[[#This Row],[final_sale_price]]*Table5[[#This Row],[quantity_sold ]],0)</f>
        <v>39875.984399999994</v>
      </c>
      <c r="O145" s="11">
        <f>(Table5[[#This Row],[final_sale_price]]-Table5[[#This Row],[cost_price]])*Table5[[#This Row],[quantity_sold ]]</f>
        <v>14423.228399999998</v>
      </c>
      <c r="P145" s="11">
        <f>(Table5[final_sale_price]-Table5[[#This Row],[avg_comp_price]])</f>
        <v>415.40359999999993</v>
      </c>
      <c r="Q145" s="15">
        <f>(Table5[[#This Row],[final_sale_price]]-Table5[[#This Row],[avg_comp_price]])/Table5[[#This Row],[avg_comp_price]]</f>
        <v>1.0427006566396915</v>
      </c>
      <c r="R145" s="11">
        <f>Table5[[#This Row],[Profit]]/Table5[[#This Row],[Revenue]]</f>
        <v>0.36170212765957449</v>
      </c>
    </row>
    <row r="146" spans="1:18" x14ac:dyDescent="0.2">
      <c r="A146" s="4">
        <v>145</v>
      </c>
      <c r="B146" s="4">
        <v>140</v>
      </c>
      <c r="C146" s="6">
        <v>45001</v>
      </c>
      <c r="D146" s="4">
        <v>42</v>
      </c>
      <c r="E146" s="4">
        <v>9</v>
      </c>
      <c r="F146" s="12">
        <f t="shared" si="2"/>
        <v>813.32159999999999</v>
      </c>
      <c r="G146" t="str">
        <f>VLOOKUP(B146,product_tbl[],2,FALSE)</f>
        <v>Remote Car 140</v>
      </c>
      <c r="H146" t="str">
        <f>VLOOKUP(B146,product_tbl[],3,FALSE)</f>
        <v>Toys</v>
      </c>
      <c r="I146">
        <v>536.25599999999997</v>
      </c>
      <c r="J146">
        <f>VLOOKUP(B146,product_tbl[],5,FALSE)</f>
        <v>893.76</v>
      </c>
      <c r="K146">
        <f>VLOOKUP(B146,review_tbl[],3,FALSE)</f>
        <v>3</v>
      </c>
      <c r="L146" s="11">
        <v>1082.2847234535923</v>
      </c>
      <c r="M146" s="11">
        <f>AVERAGEIF(Table1[product_id],Master_tbl!B146:B1147,Table1[competitor_price])</f>
        <v>4472.5149999999994</v>
      </c>
      <c r="N146" s="11">
        <f>IFERROR(Table5[[#This Row],[final_sale_price]]*Table5[[#This Row],[quantity_sold ]],0)</f>
        <v>34159.5072</v>
      </c>
      <c r="O146" s="11">
        <f>(Table5[[#This Row],[final_sale_price]]-Table5[[#This Row],[cost_price]])*Table5[[#This Row],[quantity_sold ]]</f>
        <v>11636.755200000001</v>
      </c>
      <c r="P146" s="11">
        <f>(Table5[final_sale_price]-Table5[[#This Row],[avg_comp_price]])</f>
        <v>-3659.1933999999992</v>
      </c>
      <c r="Q146" s="15">
        <f>(Table5[[#This Row],[final_sale_price]]-Table5[[#This Row],[avg_comp_price]])/Table5[[#This Row],[avg_comp_price]]</f>
        <v>-0.81815117445106378</v>
      </c>
      <c r="R146" s="11">
        <f>Table5[[#This Row],[Profit]]/Table5[[#This Row],[Revenue]]</f>
        <v>0.34065934065934073</v>
      </c>
    </row>
    <row r="147" spans="1:18" x14ac:dyDescent="0.2">
      <c r="A147" s="5">
        <v>146</v>
      </c>
      <c r="B147" s="5">
        <v>76</v>
      </c>
      <c r="C147" s="7">
        <v>45302</v>
      </c>
      <c r="D147" s="5">
        <v>50</v>
      </c>
      <c r="E147" s="4">
        <v>7</v>
      </c>
      <c r="F147" s="12">
        <f t="shared" si="2"/>
        <v>2850.9800999999998</v>
      </c>
      <c r="G147" t="str">
        <f>VLOOKUP(B147,product_tbl[],2,FALSE)</f>
        <v>Laptop 76</v>
      </c>
      <c r="H147" t="str">
        <f>VLOOKUP(B147,product_tbl[],3,FALSE)</f>
        <v>Electronics</v>
      </c>
      <c r="I147">
        <v>1839.3420000000001</v>
      </c>
      <c r="J147">
        <f>VLOOKUP(B147,product_tbl[],5,FALSE)</f>
        <v>3065.57</v>
      </c>
      <c r="K147">
        <f>VLOOKUP(B147,review_tbl[],3,FALSE)</f>
        <v>1</v>
      </c>
      <c r="L147" s="11">
        <v>3791.7497221341405</v>
      </c>
      <c r="M147" s="11">
        <f>AVERAGEIF(Table1[product_id],Master_tbl!B147:B1148,Table1[competitor_price])</f>
        <v>831.92600000000004</v>
      </c>
      <c r="N147" s="11">
        <f>IFERROR(Table5[[#This Row],[final_sale_price]]*Table5[[#This Row],[quantity_sold ]],0)</f>
        <v>142549.00499999998</v>
      </c>
      <c r="O147" s="11">
        <f>(Table5[[#This Row],[final_sale_price]]-Table5[[#This Row],[cost_price]])*Table5[[#This Row],[quantity_sold ]]</f>
        <v>50581.904999999984</v>
      </c>
      <c r="P147" s="11">
        <f>(Table5[final_sale_price]-Table5[[#This Row],[avg_comp_price]])</f>
        <v>2019.0540999999998</v>
      </c>
      <c r="Q147" s="15">
        <f>(Table5[[#This Row],[final_sale_price]]-Table5[[#This Row],[avg_comp_price]])/Table5[[#This Row],[avg_comp_price]]</f>
        <v>2.4269635760872958</v>
      </c>
      <c r="R147" s="11">
        <f>Table5[[#This Row],[Profit]]/Table5[[#This Row],[Revenue]]</f>
        <v>0.35483870967741932</v>
      </c>
    </row>
    <row r="148" spans="1:18" x14ac:dyDescent="0.2">
      <c r="A148" s="4">
        <v>147</v>
      </c>
      <c r="B148" s="4">
        <v>13</v>
      </c>
      <c r="C148" s="6">
        <v>45320</v>
      </c>
      <c r="D148" s="4">
        <v>6</v>
      </c>
      <c r="E148" s="4">
        <v>10</v>
      </c>
      <c r="F148" s="12">
        <f t="shared" si="2"/>
        <v>1617.354</v>
      </c>
      <c r="G148" t="str">
        <f>VLOOKUP(B148,product_tbl[],2,FALSE)</f>
        <v>Football 13</v>
      </c>
      <c r="H148" t="str">
        <f>VLOOKUP(B148,product_tbl[],3,FALSE)</f>
        <v>Sports</v>
      </c>
      <c r="I148">
        <v>1078.2359999999999</v>
      </c>
      <c r="J148">
        <f>VLOOKUP(B148,product_tbl[],5,FALSE)</f>
        <v>1797.06</v>
      </c>
      <c r="K148">
        <f>VLOOKUP(B148,review_tbl[],3,FALSE)</f>
        <v>5</v>
      </c>
      <c r="L148" s="11">
        <v>1970.2045742813107</v>
      </c>
      <c r="M148" s="11">
        <f>AVERAGEIF(Table1[product_id],Master_tbl!B148:B1149,Table1[competitor_price])</f>
        <v>1712.5580000000002</v>
      </c>
      <c r="N148" s="11">
        <f>IFERROR(Table5[[#This Row],[final_sale_price]]*Table5[[#This Row],[quantity_sold ]],0)</f>
        <v>9704.1239999999998</v>
      </c>
      <c r="O148" s="11">
        <f>(Table5[[#This Row],[final_sale_price]]-Table5[[#This Row],[cost_price]])*Table5[[#This Row],[quantity_sold ]]</f>
        <v>3234.708000000001</v>
      </c>
      <c r="P148" s="11">
        <f>(Table5[final_sale_price]-Table5[[#This Row],[avg_comp_price]])</f>
        <v>-95.204000000000178</v>
      </c>
      <c r="Q148" s="15">
        <f>(Table5[[#This Row],[final_sale_price]]-Table5[[#This Row],[avg_comp_price]])/Table5[[#This Row],[avg_comp_price]]</f>
        <v>-5.5591693828763854E-2</v>
      </c>
      <c r="R148" s="11">
        <f>Table5[[#This Row],[Profit]]/Table5[[#This Row],[Revenue]]</f>
        <v>0.33333333333333343</v>
      </c>
    </row>
    <row r="149" spans="1:18" x14ac:dyDescent="0.2">
      <c r="A149" s="5">
        <v>148</v>
      </c>
      <c r="B149" s="5">
        <v>92</v>
      </c>
      <c r="C149" s="7">
        <v>45486</v>
      </c>
      <c r="D149" s="5">
        <v>37</v>
      </c>
      <c r="E149" s="4">
        <v>6</v>
      </c>
      <c r="F149" s="12">
        <f t="shared" si="2"/>
        <v>3363.3388</v>
      </c>
      <c r="G149" t="str">
        <f>VLOOKUP(B149,product_tbl[],2,FALSE)</f>
        <v>Puzzle Set 92</v>
      </c>
      <c r="H149" t="str">
        <f>VLOOKUP(B149,product_tbl[],3,FALSE)</f>
        <v>Toys</v>
      </c>
      <c r="I149">
        <v>2146.8119999999999</v>
      </c>
      <c r="J149">
        <f>VLOOKUP(B149,product_tbl[],5,FALSE)</f>
        <v>3578.02</v>
      </c>
      <c r="K149">
        <f>VLOOKUP(B149,review_tbl[],3,FALSE)</f>
        <v>5</v>
      </c>
      <c r="L149" s="11">
        <v>4096.6057218766773</v>
      </c>
      <c r="M149" s="11">
        <f>AVERAGEIF(Table1[product_id],Master_tbl!B149:B1150,Table1[competitor_price])</f>
        <v>5387.83</v>
      </c>
      <c r="N149" s="11">
        <f>IFERROR(Table5[[#This Row],[final_sale_price]]*Table5[[#This Row],[quantity_sold ]],0)</f>
        <v>124443.5356</v>
      </c>
      <c r="O149" s="11">
        <f>(Table5[[#This Row],[final_sale_price]]-Table5[[#This Row],[cost_price]])*Table5[[#This Row],[quantity_sold ]]</f>
        <v>45011.491600000001</v>
      </c>
      <c r="P149" s="11">
        <f>(Table5[final_sale_price]-Table5[[#This Row],[avg_comp_price]])</f>
        <v>-2024.4911999999999</v>
      </c>
      <c r="Q149" s="15">
        <f>(Table5[[#This Row],[final_sale_price]]-Table5[[#This Row],[avg_comp_price]])/Table5[[#This Row],[avg_comp_price]]</f>
        <v>-0.37575261283299582</v>
      </c>
      <c r="R149" s="11">
        <f>Table5[[#This Row],[Profit]]/Table5[[#This Row],[Revenue]]</f>
        <v>0.36170212765957449</v>
      </c>
    </row>
    <row r="150" spans="1:18" x14ac:dyDescent="0.2">
      <c r="A150" s="4">
        <v>149</v>
      </c>
      <c r="B150" s="4">
        <v>109</v>
      </c>
      <c r="C150" s="6">
        <v>45878</v>
      </c>
      <c r="D150" s="4">
        <v>37</v>
      </c>
      <c r="E150" s="4">
        <v>6</v>
      </c>
      <c r="F150" s="12">
        <f t="shared" si="2"/>
        <v>2081.6205999999997</v>
      </c>
      <c r="G150" t="str">
        <f>VLOOKUP(B150,product_tbl[],2,FALSE)</f>
        <v>Fiction Novel 109</v>
      </c>
      <c r="H150" t="str">
        <f>VLOOKUP(B150,product_tbl[],3,FALSE)</f>
        <v>Books</v>
      </c>
      <c r="I150">
        <v>1328.6939999999997</v>
      </c>
      <c r="J150">
        <f>VLOOKUP(B150,product_tbl[],5,FALSE)</f>
        <v>2214.4899999999998</v>
      </c>
      <c r="K150">
        <f>VLOOKUP(B150,review_tbl[],3,FALSE)</f>
        <v>2</v>
      </c>
      <c r="L150" s="11">
        <v>2751.4785858733208</v>
      </c>
      <c r="M150" s="11">
        <f>AVERAGEIF(Table1[product_id],Master_tbl!B150:B1151,Table1[competitor_price])</f>
        <v>6555.1760000000013</v>
      </c>
      <c r="N150" s="11">
        <f>IFERROR(Table5[[#This Row],[final_sale_price]]*Table5[[#This Row],[quantity_sold ]],0)</f>
        <v>77019.962199999994</v>
      </c>
      <c r="O150" s="11">
        <f>(Table5[[#This Row],[final_sale_price]]-Table5[[#This Row],[cost_price]])*Table5[[#This Row],[quantity_sold ]]</f>
        <v>27858.284200000002</v>
      </c>
      <c r="P150" s="11">
        <f>(Table5[final_sale_price]-Table5[[#This Row],[avg_comp_price]])</f>
        <v>-4473.5554000000011</v>
      </c>
      <c r="Q150" s="15">
        <f>(Table5[[#This Row],[final_sale_price]]-Table5[[#This Row],[avg_comp_price]])/Table5[[#This Row],[avg_comp_price]]</f>
        <v>-0.68244626841445599</v>
      </c>
      <c r="R150" s="11">
        <f>Table5[[#This Row],[Profit]]/Table5[[#This Row],[Revenue]]</f>
        <v>0.36170212765957455</v>
      </c>
    </row>
    <row r="151" spans="1:18" x14ac:dyDescent="0.2">
      <c r="A151" s="5">
        <v>150</v>
      </c>
      <c r="B151" s="5">
        <v>97</v>
      </c>
      <c r="C151" s="7">
        <v>45107</v>
      </c>
      <c r="D151" s="5">
        <v>21</v>
      </c>
      <c r="E151" s="4">
        <v>10</v>
      </c>
      <c r="F151" s="12">
        <f t="shared" si="2"/>
        <v>829.476</v>
      </c>
      <c r="G151" t="str">
        <f>VLOOKUP(B151,product_tbl[],2,FALSE)</f>
        <v>Washing Machine 97</v>
      </c>
      <c r="H151" t="str">
        <f>VLOOKUP(B151,product_tbl[],3,FALSE)</f>
        <v>Home Appliances</v>
      </c>
      <c r="I151">
        <v>552.98399999999992</v>
      </c>
      <c r="J151">
        <f>VLOOKUP(B151,product_tbl[],5,FALSE)</f>
        <v>921.64</v>
      </c>
      <c r="K151">
        <f>VLOOKUP(B151,review_tbl[],3,FALSE)</f>
        <v>3</v>
      </c>
      <c r="L151" s="11">
        <v>1132.824898406104</v>
      </c>
      <c r="M151" s="11">
        <f>AVERAGEIF(Table1[product_id],Master_tbl!B151:B1152,Table1[competitor_price])</f>
        <v>2464.87</v>
      </c>
      <c r="N151" s="11">
        <f>IFERROR(Table5[[#This Row],[final_sale_price]]*Table5[[#This Row],[quantity_sold ]],0)</f>
        <v>17418.995999999999</v>
      </c>
      <c r="O151" s="11">
        <f>(Table5[[#This Row],[final_sale_price]]-Table5[[#This Row],[cost_price]])*Table5[[#This Row],[quantity_sold ]]</f>
        <v>5806.3320000000012</v>
      </c>
      <c r="P151" s="11">
        <f>(Table5[final_sale_price]-Table5[[#This Row],[avg_comp_price]])</f>
        <v>-1635.3939999999998</v>
      </c>
      <c r="Q151" s="15">
        <f>(Table5[[#This Row],[final_sale_price]]-Table5[[#This Row],[avg_comp_price]])/Table5[[#This Row],[avg_comp_price]]</f>
        <v>-0.66348083266054592</v>
      </c>
      <c r="R151" s="11">
        <f>Table5[[#This Row],[Profit]]/Table5[[#This Row],[Revenue]]</f>
        <v>0.33333333333333343</v>
      </c>
    </row>
    <row r="152" spans="1:18" x14ac:dyDescent="0.2">
      <c r="A152" s="4">
        <v>151</v>
      </c>
      <c r="B152" s="4">
        <v>27</v>
      </c>
      <c r="C152" s="6">
        <v>45806</v>
      </c>
      <c r="D152" s="4">
        <v>27</v>
      </c>
      <c r="E152" s="4">
        <v>8</v>
      </c>
      <c r="F152" s="12">
        <f t="shared" si="2"/>
        <v>1493.0680000000002</v>
      </c>
      <c r="G152" t="str">
        <f>VLOOKUP(B152,product_tbl[],2,FALSE)</f>
        <v>Action Figure 27</v>
      </c>
      <c r="H152" t="str">
        <f>VLOOKUP(B152,product_tbl[],3,FALSE)</f>
        <v>Toys</v>
      </c>
      <c r="I152">
        <v>973.74</v>
      </c>
      <c r="J152">
        <f>VLOOKUP(B152,product_tbl[],5,FALSE)</f>
        <v>1622.9</v>
      </c>
      <c r="K152">
        <f>VLOOKUP(B152,review_tbl[],3,FALSE)</f>
        <v>1</v>
      </c>
      <c r="L152" s="11">
        <v>1875.5060367988328</v>
      </c>
      <c r="M152" s="11">
        <f>AVERAGEIF(Table1[product_id],Master_tbl!B152:B1153,Table1[competitor_price])</f>
        <v>4440.416666666667</v>
      </c>
      <c r="N152" s="11">
        <f>IFERROR(Table5[[#This Row],[final_sale_price]]*Table5[[#This Row],[quantity_sold ]],0)</f>
        <v>40312.836000000003</v>
      </c>
      <c r="O152" s="11">
        <f>(Table5[[#This Row],[final_sale_price]]-Table5[[#This Row],[cost_price]])*Table5[[#This Row],[quantity_sold ]]</f>
        <v>14021.856000000005</v>
      </c>
      <c r="P152" s="11">
        <f>(Table5[final_sale_price]-Table5[[#This Row],[avg_comp_price]])</f>
        <v>-2947.3486666666668</v>
      </c>
      <c r="Q152" s="15">
        <f>(Table5[[#This Row],[final_sale_price]]-Table5[[#This Row],[avg_comp_price]])/Table5[[#This Row],[avg_comp_price]]</f>
        <v>-0.66375497794876603</v>
      </c>
      <c r="R152" s="11">
        <f>Table5[[#This Row],[Profit]]/Table5[[#This Row],[Revenue]]</f>
        <v>0.34782608695652184</v>
      </c>
    </row>
    <row r="153" spans="1:18" x14ac:dyDescent="0.2">
      <c r="A153" s="5">
        <v>152</v>
      </c>
      <c r="B153" s="5">
        <v>19</v>
      </c>
      <c r="C153" s="7">
        <v>45013</v>
      </c>
      <c r="D153" s="5">
        <v>20</v>
      </c>
      <c r="E153" s="4">
        <v>6</v>
      </c>
      <c r="F153" s="12">
        <f t="shared" si="2"/>
        <v>3206.1801999999998</v>
      </c>
      <c r="G153" t="str">
        <f>VLOOKUP(B153,product_tbl[],2,FALSE)</f>
        <v>Air Conditioner 19</v>
      </c>
      <c r="H153" t="str">
        <f>VLOOKUP(B153,product_tbl[],3,FALSE)</f>
        <v>Home Appliances</v>
      </c>
      <c r="I153">
        <v>2046.4979999999998</v>
      </c>
      <c r="J153">
        <f>VLOOKUP(B153,product_tbl[],5,FALSE)</f>
        <v>3410.83</v>
      </c>
      <c r="K153">
        <f>VLOOKUP(B153,review_tbl[],3,FALSE)</f>
        <v>2</v>
      </c>
      <c r="L153" s="11">
        <v>3950.3816282937014</v>
      </c>
      <c r="M153" s="11">
        <f>AVERAGEIF(Table1[product_id],Master_tbl!B153:B1154,Table1[competitor_price])</f>
        <v>1213.8383333333334</v>
      </c>
      <c r="N153" s="11">
        <f>IFERROR(Table5[[#This Row],[final_sale_price]]*Table5[[#This Row],[quantity_sold ]],0)</f>
        <v>64123.603999999992</v>
      </c>
      <c r="O153" s="11">
        <f>(Table5[[#This Row],[final_sale_price]]-Table5[[#This Row],[cost_price]])*Table5[[#This Row],[quantity_sold ]]</f>
        <v>23193.644</v>
      </c>
      <c r="P153" s="11">
        <f>(Table5[final_sale_price]-Table5[[#This Row],[avg_comp_price]])</f>
        <v>1992.3418666666664</v>
      </c>
      <c r="Q153" s="15">
        <f>(Table5[[#This Row],[final_sale_price]]-Table5[[#This Row],[avg_comp_price]])/Table5[[#This Row],[avg_comp_price]]</f>
        <v>1.6413568528483335</v>
      </c>
      <c r="R153" s="11">
        <f>Table5[[#This Row],[Profit]]/Table5[[#This Row],[Revenue]]</f>
        <v>0.36170212765957449</v>
      </c>
    </row>
    <row r="154" spans="1:18" x14ac:dyDescent="0.2">
      <c r="A154" s="4">
        <v>153</v>
      </c>
      <c r="B154" s="4">
        <v>37</v>
      </c>
      <c r="C154" s="6">
        <v>45470</v>
      </c>
      <c r="D154" s="4">
        <v>44</v>
      </c>
      <c r="E154" s="4">
        <v>7</v>
      </c>
      <c r="F154" s="12">
        <f t="shared" si="2"/>
        <v>3591.1670999999997</v>
      </c>
      <c r="G154" t="str">
        <f>VLOOKUP(B154,product_tbl[],2,FALSE)</f>
        <v>Sugar 37</v>
      </c>
      <c r="H154" t="str">
        <f>VLOOKUP(B154,product_tbl[],3,FALSE)</f>
        <v>Grocery</v>
      </c>
      <c r="I154">
        <v>2316.8819999999996</v>
      </c>
      <c r="J154">
        <f>VLOOKUP(B154,product_tbl[],5,FALSE)</f>
        <v>3861.47</v>
      </c>
      <c r="K154">
        <f>VLOOKUP(B154,review_tbl[],3,FALSE)</f>
        <v>1</v>
      </c>
      <c r="L154" s="11">
        <v>4513.8730931667615</v>
      </c>
      <c r="M154" s="11">
        <f>AVERAGEIF(Table1[product_id],Master_tbl!B154:B1155,Table1[competitor_price])</f>
        <v>2618.5759999999996</v>
      </c>
      <c r="N154" s="11">
        <f>IFERROR(Table5[[#This Row],[final_sale_price]]*Table5[[#This Row],[quantity_sold ]],0)</f>
        <v>158011.35239999997</v>
      </c>
      <c r="O154" s="11">
        <f>(Table5[[#This Row],[final_sale_price]]-Table5[[#This Row],[cost_price]])*Table5[[#This Row],[quantity_sold ]]</f>
        <v>56068.544399999999</v>
      </c>
      <c r="P154" s="11">
        <f>(Table5[final_sale_price]-Table5[[#This Row],[avg_comp_price]])</f>
        <v>972.5911000000001</v>
      </c>
      <c r="Q154" s="15">
        <f>(Table5[[#This Row],[final_sale_price]]-Table5[[#This Row],[avg_comp_price]])/Table5[[#This Row],[avg_comp_price]]</f>
        <v>0.37141984803954525</v>
      </c>
      <c r="R154" s="11">
        <f>Table5[[#This Row],[Profit]]/Table5[[#This Row],[Revenue]]</f>
        <v>0.35483870967741943</v>
      </c>
    </row>
    <row r="155" spans="1:18" x14ac:dyDescent="0.2">
      <c r="A155" s="5">
        <v>154</v>
      </c>
      <c r="B155" s="5">
        <v>104</v>
      </c>
      <c r="C155" s="7">
        <v>45788</v>
      </c>
      <c r="D155" s="5">
        <v>43</v>
      </c>
      <c r="E155" s="4">
        <v>9</v>
      </c>
      <c r="F155" s="12">
        <f t="shared" si="2"/>
        <v>2942.5305000000003</v>
      </c>
      <c r="G155" t="str">
        <f>VLOOKUP(B155,product_tbl[],2,FALSE)</f>
        <v>Children Story Book 104</v>
      </c>
      <c r="H155" t="str">
        <f>VLOOKUP(B155,product_tbl[],3,FALSE)</f>
        <v>Books</v>
      </c>
      <c r="I155">
        <v>1940.13</v>
      </c>
      <c r="J155">
        <f>VLOOKUP(B155,product_tbl[],5,FALSE)</f>
        <v>3233.55</v>
      </c>
      <c r="K155">
        <f>VLOOKUP(B155,review_tbl[],3,FALSE)</f>
        <v>1</v>
      </c>
      <c r="L155" s="11">
        <v>3947.7437830582408</v>
      </c>
      <c r="M155" s="11">
        <f>AVERAGEIF(Table1[product_id],Master_tbl!B155:B1156,Table1[competitor_price])</f>
        <v>5121.3466666666664</v>
      </c>
      <c r="N155" s="11">
        <f>IFERROR(Table5[[#This Row],[final_sale_price]]*Table5[[#This Row],[quantity_sold ]],0)</f>
        <v>126528.81150000001</v>
      </c>
      <c r="O155" s="11">
        <f>(Table5[[#This Row],[final_sale_price]]-Table5[[#This Row],[cost_price]])*Table5[[#This Row],[quantity_sold ]]</f>
        <v>43103.221500000007</v>
      </c>
      <c r="P155" s="11">
        <f>(Table5[final_sale_price]-Table5[[#This Row],[avg_comp_price]])</f>
        <v>-2178.816166666666</v>
      </c>
      <c r="Q155" s="15">
        <f>(Table5[[#This Row],[final_sale_price]]-Table5[[#This Row],[avg_comp_price]])/Table5[[#This Row],[avg_comp_price]]</f>
        <v>-0.42543813345968889</v>
      </c>
      <c r="R155" s="11">
        <f>Table5[[#This Row],[Profit]]/Table5[[#This Row],[Revenue]]</f>
        <v>0.34065934065934067</v>
      </c>
    </row>
    <row r="156" spans="1:18" x14ac:dyDescent="0.2">
      <c r="A156" s="4">
        <v>155</v>
      </c>
      <c r="B156" s="4">
        <v>1</v>
      </c>
      <c r="C156" s="6">
        <v>44984</v>
      </c>
      <c r="D156" s="4">
        <v>12</v>
      </c>
      <c r="E156" s="4">
        <v>6</v>
      </c>
      <c r="F156" s="12">
        <f t="shared" si="2"/>
        <v>1796.2929999999999</v>
      </c>
      <c r="G156" t="str">
        <f>VLOOKUP(B156,product_tbl[],2,FALSE)</f>
        <v>Wheat Flour 1</v>
      </c>
      <c r="H156" t="str">
        <f>VLOOKUP(B156,product_tbl[],3,FALSE)</f>
        <v>Grocery</v>
      </c>
      <c r="I156">
        <v>1146.57</v>
      </c>
      <c r="J156">
        <f>VLOOKUP(B156,product_tbl[],5,FALSE)</f>
        <v>1910.95</v>
      </c>
      <c r="K156">
        <f>VLOOKUP(B156,review_tbl[],3,FALSE)</f>
        <v>1</v>
      </c>
      <c r="L156" s="11">
        <v>2151.8500571798904</v>
      </c>
      <c r="M156" s="11">
        <f>AVERAGEIF(Table1[product_id],Master_tbl!B156:B1157,Table1[competitor_price])</f>
        <v>4785.0083333333332</v>
      </c>
      <c r="N156" s="11">
        <f>IFERROR(Table5[[#This Row],[final_sale_price]]*Table5[[#This Row],[quantity_sold ]],0)</f>
        <v>21555.516</v>
      </c>
      <c r="O156" s="11">
        <f>(Table5[[#This Row],[final_sale_price]]-Table5[[#This Row],[cost_price]])*Table5[[#This Row],[quantity_sold ]]</f>
        <v>7796.6759999999995</v>
      </c>
      <c r="P156" s="11">
        <f>(Table5[final_sale_price]-Table5[[#This Row],[avg_comp_price]])</f>
        <v>-2988.7153333333335</v>
      </c>
      <c r="Q156" s="15">
        <f>(Table5[[#This Row],[final_sale_price]]-Table5[[#This Row],[avg_comp_price]])/Table5[[#This Row],[avg_comp_price]]</f>
        <v>-0.62459981783382479</v>
      </c>
      <c r="R156" s="11">
        <f>Table5[[#This Row],[Profit]]/Table5[[#This Row],[Revenue]]</f>
        <v>0.36170212765957444</v>
      </c>
    </row>
    <row r="157" spans="1:18" x14ac:dyDescent="0.2">
      <c r="A157" s="5">
        <v>156</v>
      </c>
      <c r="B157" s="5">
        <v>70</v>
      </c>
      <c r="C157" s="7">
        <v>45602</v>
      </c>
      <c r="D157" s="5">
        <v>1</v>
      </c>
      <c r="E157" s="4">
        <v>2</v>
      </c>
      <c r="F157" s="12">
        <f t="shared" si="2"/>
        <v>3949.1549999999997</v>
      </c>
      <c r="G157" t="str">
        <f>VLOOKUP(B157,product_tbl[],2,FALSE)</f>
        <v>Green Tea 70</v>
      </c>
      <c r="H157" t="str">
        <f>VLOOKUP(B157,product_tbl[],3,FALSE)</f>
        <v>Grocery</v>
      </c>
      <c r="I157">
        <v>2417.85</v>
      </c>
      <c r="J157">
        <f>VLOOKUP(B157,product_tbl[],5,FALSE)</f>
        <v>4029.75</v>
      </c>
      <c r="K157">
        <f>VLOOKUP(B157,review_tbl[],3,FALSE)</f>
        <v>1</v>
      </c>
      <c r="L157" s="11">
        <v>4041.7003971778768</v>
      </c>
      <c r="M157" s="11">
        <f>AVERAGEIF(Table1[product_id],Master_tbl!B157:B1158,Table1[competitor_price])</f>
        <v>2158.7083333333335</v>
      </c>
      <c r="N157" s="11">
        <f>IFERROR(Table5[[#This Row],[final_sale_price]]*Table5[[#This Row],[quantity_sold ]],0)</f>
        <v>3949.1549999999997</v>
      </c>
      <c r="O157" s="11">
        <f>(Table5[[#This Row],[final_sale_price]]-Table5[[#This Row],[cost_price]])*Table5[[#This Row],[quantity_sold ]]</f>
        <v>1531.3049999999998</v>
      </c>
      <c r="P157" s="11">
        <f>(Table5[final_sale_price]-Table5[[#This Row],[avg_comp_price]])</f>
        <v>1790.4466666666663</v>
      </c>
      <c r="Q157" s="15">
        <f>(Table5[[#This Row],[final_sale_price]]-Table5[[#This Row],[avg_comp_price]])/Table5[[#This Row],[avg_comp_price]]</f>
        <v>0.82940647377868681</v>
      </c>
      <c r="R157" s="11">
        <f>Table5[[#This Row],[Profit]]/Table5[[#This Row],[Revenue]]</f>
        <v>0.38775510204081631</v>
      </c>
    </row>
    <row r="158" spans="1:18" x14ac:dyDescent="0.2">
      <c r="A158" s="4">
        <v>157</v>
      </c>
      <c r="B158" s="4">
        <v>15</v>
      </c>
      <c r="C158" s="6">
        <v>45033</v>
      </c>
      <c r="D158" s="4">
        <v>38</v>
      </c>
      <c r="E158" s="4">
        <v>10</v>
      </c>
      <c r="F158" s="12">
        <f t="shared" si="2"/>
        <v>4357.3319999999994</v>
      </c>
      <c r="G158" t="str">
        <f>VLOOKUP(B158,product_tbl[],2,FALSE)</f>
        <v>Tennis Racket 15</v>
      </c>
      <c r="H158" t="str">
        <f>VLOOKUP(B158,product_tbl[],3,FALSE)</f>
        <v>Sports</v>
      </c>
      <c r="I158">
        <v>2904.8879999999995</v>
      </c>
      <c r="J158">
        <f>VLOOKUP(B158,product_tbl[],5,FALSE)</f>
        <v>4841.4799999999996</v>
      </c>
      <c r="K158">
        <f>VLOOKUP(B158,review_tbl[],3,FALSE)</f>
        <v>4</v>
      </c>
      <c r="L158" s="11">
        <v>5808.3118000837021</v>
      </c>
      <c r="M158" s="11">
        <f>AVERAGEIF(Table1[product_id],Master_tbl!B158:B1159,Table1[competitor_price])</f>
        <v>5242.3433333333332</v>
      </c>
      <c r="N158" s="11">
        <f>IFERROR(Table5[[#This Row],[final_sale_price]]*Table5[[#This Row],[quantity_sold ]],0)</f>
        <v>165578.61599999998</v>
      </c>
      <c r="O158" s="11">
        <f>(Table5[[#This Row],[final_sale_price]]-Table5[[#This Row],[cost_price]])*Table5[[#This Row],[quantity_sold ]]</f>
        <v>55192.871999999996</v>
      </c>
      <c r="P158" s="11">
        <f>(Table5[final_sale_price]-Table5[[#This Row],[avg_comp_price]])</f>
        <v>-885.01133333333382</v>
      </c>
      <c r="Q158" s="15">
        <f>(Table5[[#This Row],[final_sale_price]]-Table5[[#This Row],[avg_comp_price]])/Table5[[#This Row],[avg_comp_price]]</f>
        <v>-0.16881979623616167</v>
      </c>
      <c r="R158" s="11">
        <f>Table5[[#This Row],[Profit]]/Table5[[#This Row],[Revenue]]</f>
        <v>0.33333333333333337</v>
      </c>
    </row>
    <row r="159" spans="1:18" x14ac:dyDescent="0.2">
      <c r="A159" s="5">
        <v>158</v>
      </c>
      <c r="B159" s="5">
        <v>34</v>
      </c>
      <c r="C159" s="7">
        <v>45496</v>
      </c>
      <c r="D159" s="5">
        <v>36</v>
      </c>
      <c r="E159" s="4">
        <v>9</v>
      </c>
      <c r="F159" s="12">
        <f t="shared" si="2"/>
        <v>1186.0849000000001</v>
      </c>
      <c r="G159" t="str">
        <f>VLOOKUP(B159,product_tbl[],2,FALSE)</f>
        <v>Doll 34</v>
      </c>
      <c r="H159" t="str">
        <f>VLOOKUP(B159,product_tbl[],3,FALSE)</f>
        <v>Toys</v>
      </c>
      <c r="I159">
        <v>782.03399999999999</v>
      </c>
      <c r="J159">
        <f>VLOOKUP(B159,product_tbl[],5,FALSE)</f>
        <v>1303.3900000000001</v>
      </c>
      <c r="K159">
        <f>VLOOKUP(B159,review_tbl[],3,FALSE)</f>
        <v>2</v>
      </c>
      <c r="L159" s="11">
        <v>1430.4187916177145</v>
      </c>
      <c r="M159" s="11">
        <f>AVERAGEIF(Table1[product_id],Master_tbl!B159:B1160,Table1[competitor_price])</f>
        <v>4145.4440000000004</v>
      </c>
      <c r="N159" s="11">
        <f>IFERROR(Table5[[#This Row],[final_sale_price]]*Table5[[#This Row],[quantity_sold ]],0)</f>
        <v>42699.056400000001</v>
      </c>
      <c r="O159" s="11">
        <f>(Table5[[#This Row],[final_sale_price]]-Table5[[#This Row],[cost_price]])*Table5[[#This Row],[quantity_sold ]]</f>
        <v>14545.832400000003</v>
      </c>
      <c r="P159" s="11">
        <f>(Table5[final_sale_price]-Table5[[#This Row],[avg_comp_price]])</f>
        <v>-2959.3591000000006</v>
      </c>
      <c r="Q159" s="15">
        <f>(Table5[[#This Row],[final_sale_price]]-Table5[[#This Row],[avg_comp_price]])/Table5[[#This Row],[avg_comp_price]]</f>
        <v>-0.71388230066550173</v>
      </c>
      <c r="R159" s="11">
        <f>Table5[[#This Row],[Profit]]/Table5[[#This Row],[Revenue]]</f>
        <v>0.34065934065934073</v>
      </c>
    </row>
    <row r="160" spans="1:18" x14ac:dyDescent="0.2">
      <c r="A160" s="4">
        <v>159</v>
      </c>
      <c r="B160" s="4">
        <v>114</v>
      </c>
      <c r="C160" s="6">
        <v>45027</v>
      </c>
      <c r="D160" s="4">
        <v>26</v>
      </c>
      <c r="E160" s="4">
        <v>10</v>
      </c>
      <c r="F160" s="12">
        <f t="shared" si="2"/>
        <v>6879.9690000000001</v>
      </c>
      <c r="G160" t="str">
        <f>VLOOKUP(B160,product_tbl[],2,FALSE)</f>
        <v>Smartwatch 114</v>
      </c>
      <c r="H160" t="str">
        <f>VLOOKUP(B160,product_tbl[],3,FALSE)</f>
        <v>Electronics</v>
      </c>
      <c r="I160">
        <v>4586.6459999999997</v>
      </c>
      <c r="J160">
        <f>VLOOKUP(B160,product_tbl[],5,FALSE)</f>
        <v>7644.41</v>
      </c>
      <c r="K160">
        <f>VLOOKUP(B160,review_tbl[],3,FALSE)</f>
        <v>2</v>
      </c>
      <c r="L160" s="11">
        <v>9787.2965998029067</v>
      </c>
      <c r="M160" s="11">
        <f>AVERAGEIF(Table1[product_id],Master_tbl!B160:B1161,Table1[competitor_price])</f>
        <v>6494.3074999999999</v>
      </c>
      <c r="N160" s="11">
        <f>IFERROR(Table5[[#This Row],[final_sale_price]]*Table5[[#This Row],[quantity_sold ]],0)</f>
        <v>178879.19399999999</v>
      </c>
      <c r="O160" s="11">
        <f>(Table5[[#This Row],[final_sale_price]]-Table5[[#This Row],[cost_price]])*Table5[[#This Row],[quantity_sold ]]</f>
        <v>59626.398000000008</v>
      </c>
      <c r="P160" s="11">
        <f>(Table5[final_sale_price]-Table5[[#This Row],[avg_comp_price]])</f>
        <v>385.66150000000016</v>
      </c>
      <c r="Q160" s="15">
        <f>(Table5[[#This Row],[final_sale_price]]-Table5[[#This Row],[avg_comp_price]])/Table5[[#This Row],[avg_comp_price]]</f>
        <v>5.9384545619375145E-2</v>
      </c>
      <c r="R160" s="11">
        <f>Table5[[#This Row],[Profit]]/Table5[[#This Row],[Revenue]]</f>
        <v>0.33333333333333343</v>
      </c>
    </row>
    <row r="161" spans="1:18" x14ac:dyDescent="0.2">
      <c r="A161" s="5">
        <v>160</v>
      </c>
      <c r="B161" s="5">
        <v>125</v>
      </c>
      <c r="C161" s="7">
        <v>46009</v>
      </c>
      <c r="D161" s="5">
        <v>43</v>
      </c>
      <c r="E161" s="4">
        <v>7</v>
      </c>
      <c r="F161" s="12">
        <f t="shared" si="2"/>
        <v>4046.4950999999996</v>
      </c>
      <c r="G161" t="str">
        <f>VLOOKUP(B161,product_tbl[],2,FALSE)</f>
        <v>Air Conditioner 125</v>
      </c>
      <c r="H161" t="str">
        <f>VLOOKUP(B161,product_tbl[],3,FALSE)</f>
        <v>Home Appliances</v>
      </c>
      <c r="I161">
        <v>2610.6419999999998</v>
      </c>
      <c r="J161">
        <f>VLOOKUP(B161,product_tbl[],5,FALSE)</f>
        <v>4351.07</v>
      </c>
      <c r="K161">
        <f>VLOOKUP(B161,review_tbl[],3,FALSE)</f>
        <v>5</v>
      </c>
      <c r="L161" s="11">
        <v>5269.4162153582156</v>
      </c>
      <c r="M161" s="11">
        <f>AVERAGEIF(Table1[product_id],Master_tbl!B161:B1162,Table1[competitor_price])</f>
        <v>5094.8040000000001</v>
      </c>
      <c r="N161" s="11">
        <f>IFERROR(Table5[[#This Row],[final_sale_price]]*Table5[[#This Row],[quantity_sold ]],0)</f>
        <v>173999.28929999997</v>
      </c>
      <c r="O161" s="11">
        <f>(Table5[[#This Row],[final_sale_price]]-Table5[[#This Row],[cost_price]])*Table5[[#This Row],[quantity_sold ]]</f>
        <v>61741.68329999999</v>
      </c>
      <c r="P161" s="11">
        <f>(Table5[final_sale_price]-Table5[[#This Row],[avg_comp_price]])</f>
        <v>-1048.3089000000004</v>
      </c>
      <c r="Q161" s="15">
        <f>(Table5[[#This Row],[final_sale_price]]-Table5[[#This Row],[avg_comp_price]])/Table5[[#This Row],[avg_comp_price]]</f>
        <v>-0.20576039824103154</v>
      </c>
      <c r="R161" s="11">
        <f>Table5[[#This Row],[Profit]]/Table5[[#This Row],[Revenue]]</f>
        <v>0.35483870967741937</v>
      </c>
    </row>
    <row r="162" spans="1:18" x14ac:dyDescent="0.2">
      <c r="A162" s="4">
        <v>161</v>
      </c>
      <c r="B162" s="4">
        <v>26</v>
      </c>
      <c r="C162" s="6">
        <v>45227</v>
      </c>
      <c r="D162" s="4">
        <v>17</v>
      </c>
      <c r="E162" s="4">
        <v>10</v>
      </c>
      <c r="F162" s="12">
        <f t="shared" si="2"/>
        <v>5073.2280000000001</v>
      </c>
      <c r="G162" t="str">
        <f>VLOOKUP(B162,product_tbl[],2,FALSE)</f>
        <v>Rice Pack 26</v>
      </c>
      <c r="H162" t="str">
        <f>VLOOKUP(B162,product_tbl[],3,FALSE)</f>
        <v>Grocery</v>
      </c>
      <c r="I162">
        <v>3382.152</v>
      </c>
      <c r="J162">
        <f>VLOOKUP(B162,product_tbl[],5,FALSE)</f>
        <v>5636.92</v>
      </c>
      <c r="K162">
        <f>VLOOKUP(B162,review_tbl[],3,FALSE)</f>
        <v>4</v>
      </c>
      <c r="L162" s="11">
        <v>6977.8988054945021</v>
      </c>
      <c r="M162" s="11">
        <f>AVERAGEIF(Table1[product_id],Master_tbl!B162:B1163,Table1[competitor_price])</f>
        <v>3474.7766666666666</v>
      </c>
      <c r="N162" s="11">
        <f>IFERROR(Table5[[#This Row],[final_sale_price]]*Table5[[#This Row],[quantity_sold ]],0)</f>
        <v>86244.876000000004</v>
      </c>
      <c r="O162" s="11">
        <f>(Table5[[#This Row],[final_sale_price]]-Table5[[#This Row],[cost_price]])*Table5[[#This Row],[quantity_sold ]]</f>
        <v>28748.292000000001</v>
      </c>
      <c r="P162" s="11">
        <f>(Table5[final_sale_price]-Table5[[#This Row],[avg_comp_price]])</f>
        <v>1598.4513333333334</v>
      </c>
      <c r="Q162" s="15">
        <f>(Table5[[#This Row],[final_sale_price]]-Table5[[#This Row],[avg_comp_price]])/Table5[[#This Row],[avg_comp_price]]</f>
        <v>0.46001555975300096</v>
      </c>
      <c r="R162" s="11">
        <f>Table5[[#This Row],[Profit]]/Table5[[#This Row],[Revenue]]</f>
        <v>0.33333333333333331</v>
      </c>
    </row>
    <row r="163" spans="1:18" x14ac:dyDescent="0.2">
      <c r="A163" s="5">
        <v>162</v>
      </c>
      <c r="B163" s="5">
        <v>13</v>
      </c>
      <c r="C163" s="7">
        <v>45450</v>
      </c>
      <c r="D163" s="5">
        <v>16</v>
      </c>
      <c r="E163" s="4">
        <v>2</v>
      </c>
      <c r="F163" s="12">
        <f t="shared" si="2"/>
        <v>1761.1188</v>
      </c>
      <c r="G163" t="str">
        <f>VLOOKUP(B163,product_tbl[],2,FALSE)</f>
        <v>Football 13</v>
      </c>
      <c r="H163" t="str">
        <f>VLOOKUP(B163,product_tbl[],3,FALSE)</f>
        <v>Sports</v>
      </c>
      <c r="I163">
        <v>1078.2359999999999</v>
      </c>
      <c r="J163">
        <f>VLOOKUP(B163,product_tbl[],5,FALSE)</f>
        <v>1797.06</v>
      </c>
      <c r="K163">
        <f>VLOOKUP(B163,review_tbl[],3,FALSE)</f>
        <v>5</v>
      </c>
      <c r="L163" s="11">
        <v>1835.3971952289958</v>
      </c>
      <c r="M163" s="11">
        <f>AVERAGEIF(Table1[product_id],Master_tbl!B163:B1164,Table1[competitor_price])</f>
        <v>1712.5580000000002</v>
      </c>
      <c r="N163" s="11">
        <f>IFERROR(Table5[[#This Row],[final_sale_price]]*Table5[[#This Row],[quantity_sold ]],0)</f>
        <v>28177.900799999999</v>
      </c>
      <c r="O163" s="11">
        <f>(Table5[[#This Row],[final_sale_price]]-Table5[[#This Row],[cost_price]])*Table5[[#This Row],[quantity_sold ]]</f>
        <v>10926.124800000001</v>
      </c>
      <c r="P163" s="11">
        <f>(Table5[final_sale_price]-Table5[[#This Row],[avg_comp_price]])</f>
        <v>48.560799999999745</v>
      </c>
      <c r="Q163" s="15">
        <f>(Table5[[#This Row],[final_sale_price]]-Table5[[#This Row],[avg_comp_price]])/Table5[[#This Row],[avg_comp_price]]</f>
        <v>2.8355711164234867E-2</v>
      </c>
      <c r="R163" s="11">
        <f>Table5[[#This Row],[Profit]]/Table5[[#This Row],[Revenue]]</f>
        <v>0.38775510204081637</v>
      </c>
    </row>
    <row r="164" spans="1:18" x14ac:dyDescent="0.2">
      <c r="A164" s="4">
        <v>163</v>
      </c>
      <c r="B164" s="4">
        <v>114</v>
      </c>
      <c r="C164" s="6">
        <v>45026</v>
      </c>
      <c r="D164" s="4">
        <v>2</v>
      </c>
      <c r="E164" s="4">
        <v>3</v>
      </c>
      <c r="F164" s="12">
        <f t="shared" si="2"/>
        <v>7415.0776999999998</v>
      </c>
      <c r="G164" t="str">
        <f>VLOOKUP(B164,product_tbl[],2,FALSE)</f>
        <v>Smartwatch 114</v>
      </c>
      <c r="H164" t="str">
        <f>VLOOKUP(B164,product_tbl[],3,FALSE)</f>
        <v>Electronics</v>
      </c>
      <c r="I164">
        <v>4586.6459999999997</v>
      </c>
      <c r="J164">
        <f>VLOOKUP(B164,product_tbl[],5,FALSE)</f>
        <v>7644.41</v>
      </c>
      <c r="K164">
        <f>VLOOKUP(B164,review_tbl[],3,FALSE)</f>
        <v>2</v>
      </c>
      <c r="L164" s="11">
        <v>9627.7104309692495</v>
      </c>
      <c r="M164" s="11">
        <f>AVERAGEIF(Table1[product_id],Master_tbl!B164:B1165,Table1[competitor_price])</f>
        <v>6494.3074999999999</v>
      </c>
      <c r="N164" s="11">
        <f>IFERROR(Table5[[#This Row],[final_sale_price]]*Table5[[#This Row],[quantity_sold ]],0)</f>
        <v>14830.1554</v>
      </c>
      <c r="O164" s="11">
        <f>(Table5[[#This Row],[final_sale_price]]-Table5[[#This Row],[cost_price]])*Table5[[#This Row],[quantity_sold ]]</f>
        <v>5656.8634000000002</v>
      </c>
      <c r="P164" s="11">
        <f>(Table5[final_sale_price]-Table5[[#This Row],[avg_comp_price]])</f>
        <v>920.77019999999993</v>
      </c>
      <c r="Q164" s="15">
        <f>(Table5[[#This Row],[final_sale_price]]-Table5[[#This Row],[avg_comp_price]])/Table5[[#This Row],[avg_comp_price]]</f>
        <v>0.14178112138977095</v>
      </c>
      <c r="R164" s="11">
        <f>Table5[[#This Row],[Profit]]/Table5[[#This Row],[Revenue]]</f>
        <v>0.3814432989690722</v>
      </c>
    </row>
    <row r="165" spans="1:18" x14ac:dyDescent="0.2">
      <c r="A165" s="5">
        <v>164</v>
      </c>
      <c r="B165" s="5">
        <v>113</v>
      </c>
      <c r="C165" s="7">
        <v>45513</v>
      </c>
      <c r="D165" s="5">
        <v>8</v>
      </c>
      <c r="E165" s="4">
        <v>4</v>
      </c>
      <c r="F165" s="12">
        <f t="shared" si="2"/>
        <v>4635.9935999999998</v>
      </c>
      <c r="G165" t="str">
        <f>VLOOKUP(B165,product_tbl[],2,FALSE)</f>
        <v>Green Tea 113</v>
      </c>
      <c r="H165" t="str">
        <f>VLOOKUP(B165,product_tbl[],3,FALSE)</f>
        <v>Grocery</v>
      </c>
      <c r="I165">
        <v>2897.4959999999996</v>
      </c>
      <c r="J165">
        <f>VLOOKUP(B165,product_tbl[],5,FALSE)</f>
        <v>4829.16</v>
      </c>
      <c r="K165">
        <f>VLOOKUP(B165,review_tbl[],3,FALSE)</f>
        <v>1</v>
      </c>
      <c r="L165" s="11">
        <v>6195.8673125069554</v>
      </c>
      <c r="M165" s="11">
        <f>AVERAGEIF(Table1[product_id],Master_tbl!B165:B1166,Table1[competitor_price])</f>
        <v>4302.05</v>
      </c>
      <c r="N165" s="11">
        <f>IFERROR(Table5[[#This Row],[final_sale_price]]*Table5[[#This Row],[quantity_sold ]],0)</f>
        <v>37087.948799999998</v>
      </c>
      <c r="O165" s="11">
        <f>(Table5[[#This Row],[final_sale_price]]-Table5[[#This Row],[cost_price]])*Table5[[#This Row],[quantity_sold ]]</f>
        <v>13907.980800000001</v>
      </c>
      <c r="P165" s="11">
        <f>(Table5[final_sale_price]-Table5[[#This Row],[avg_comp_price]])</f>
        <v>333.94359999999961</v>
      </c>
      <c r="Q165" s="15">
        <f>(Table5[[#This Row],[final_sale_price]]-Table5[[#This Row],[avg_comp_price]])/Table5[[#This Row],[avg_comp_price]]</f>
        <v>7.7624295394056228E-2</v>
      </c>
      <c r="R165" s="11">
        <f>Table5[[#This Row],[Profit]]/Table5[[#This Row],[Revenue]]</f>
        <v>0.37500000000000006</v>
      </c>
    </row>
    <row r="166" spans="1:18" x14ac:dyDescent="0.2">
      <c r="A166" s="4">
        <v>165</v>
      </c>
      <c r="B166" s="4">
        <v>62</v>
      </c>
      <c r="C166" s="6">
        <v>45088</v>
      </c>
      <c r="D166" s="4">
        <v>23</v>
      </c>
      <c r="E166" s="4">
        <v>9</v>
      </c>
      <c r="F166" s="12">
        <f t="shared" si="2"/>
        <v>3146.7254000000003</v>
      </c>
      <c r="G166" t="str">
        <f>VLOOKUP(B166,product_tbl[],2,FALSE)</f>
        <v>Olive Oil 62</v>
      </c>
      <c r="H166" t="str">
        <f>VLOOKUP(B166,product_tbl[],3,FALSE)</f>
        <v>Grocery</v>
      </c>
      <c r="I166">
        <v>2074.7640000000001</v>
      </c>
      <c r="J166">
        <f>VLOOKUP(B166,product_tbl[],5,FALSE)</f>
        <v>3457.94</v>
      </c>
      <c r="K166">
        <f>VLOOKUP(B166,review_tbl[],3,FALSE)</f>
        <v>4</v>
      </c>
      <c r="L166" s="11">
        <v>4444.7690616995933</v>
      </c>
      <c r="M166" s="11">
        <f>AVERAGEIF(Table1[product_id],Master_tbl!B166:B1167,Table1[competitor_price])</f>
        <v>5560.3266666666668</v>
      </c>
      <c r="N166" s="11">
        <f>IFERROR(Table5[[#This Row],[final_sale_price]]*Table5[[#This Row],[quantity_sold ]],0)</f>
        <v>72374.684200000003</v>
      </c>
      <c r="O166" s="11">
        <f>(Table5[[#This Row],[final_sale_price]]-Table5[[#This Row],[cost_price]])*Table5[[#This Row],[quantity_sold ]]</f>
        <v>24655.112200000003</v>
      </c>
      <c r="P166" s="11">
        <f>(Table5[final_sale_price]-Table5[[#This Row],[avg_comp_price]])</f>
        <v>-2413.6012666666666</v>
      </c>
      <c r="Q166" s="15">
        <f>(Table5[[#This Row],[final_sale_price]]-Table5[[#This Row],[avg_comp_price]])/Table5[[#This Row],[avg_comp_price]]</f>
        <v>-0.43407544400868531</v>
      </c>
      <c r="R166" s="11">
        <f>Table5[[#This Row],[Profit]]/Table5[[#This Row],[Revenue]]</f>
        <v>0.34065934065934067</v>
      </c>
    </row>
    <row r="167" spans="1:18" x14ac:dyDescent="0.2">
      <c r="A167" s="5">
        <v>166</v>
      </c>
      <c r="B167" s="5">
        <v>10</v>
      </c>
      <c r="C167" s="7">
        <v>45878</v>
      </c>
      <c r="D167" s="5">
        <v>6</v>
      </c>
      <c r="E167" s="4">
        <v>9</v>
      </c>
      <c r="F167" s="12">
        <f t="shared" si="2"/>
        <v>2545.5338999999999</v>
      </c>
      <c r="G167" t="str">
        <f>VLOOKUP(B167,product_tbl[],2,FALSE)</f>
        <v>Jacket 10</v>
      </c>
      <c r="H167" t="str">
        <f>VLOOKUP(B167,product_tbl[],3,FALSE)</f>
        <v>Fashion</v>
      </c>
      <c r="I167">
        <v>1678.374</v>
      </c>
      <c r="J167">
        <f>VLOOKUP(B167,product_tbl[],5,FALSE)</f>
        <v>2797.29</v>
      </c>
      <c r="K167">
        <f>VLOOKUP(B167,review_tbl[],3,FALSE)</f>
        <v>4</v>
      </c>
      <c r="L167" s="11">
        <v>3318.4413841304945</v>
      </c>
      <c r="M167" s="11">
        <f>AVERAGEIF(Table1[product_id],Master_tbl!B167:B1168,Table1[competitor_price])</f>
        <v>6310.5433333333322</v>
      </c>
      <c r="N167" s="11">
        <f>IFERROR(Table5[[#This Row],[final_sale_price]]*Table5[[#This Row],[quantity_sold ]],0)</f>
        <v>15273.203399999999</v>
      </c>
      <c r="O167" s="11">
        <f>(Table5[[#This Row],[final_sale_price]]-Table5[[#This Row],[cost_price]])*Table5[[#This Row],[quantity_sold ]]</f>
        <v>5202.9593999999997</v>
      </c>
      <c r="P167" s="11">
        <f>(Table5[final_sale_price]-Table5[[#This Row],[avg_comp_price]])</f>
        <v>-3765.0094333333323</v>
      </c>
      <c r="Q167" s="15">
        <f>(Table5[[#This Row],[final_sale_price]]-Table5[[#This Row],[avg_comp_price]])/Table5[[#This Row],[avg_comp_price]]</f>
        <v>-0.5966220711053406</v>
      </c>
      <c r="R167" s="11">
        <f>Table5[[#This Row],[Profit]]/Table5[[#This Row],[Revenue]]</f>
        <v>0.34065934065934067</v>
      </c>
    </row>
    <row r="168" spans="1:18" x14ac:dyDescent="0.2">
      <c r="A168" s="4">
        <v>167</v>
      </c>
      <c r="B168" s="4">
        <v>60</v>
      </c>
      <c r="C168" s="6">
        <v>45810</v>
      </c>
      <c r="D168" s="4">
        <v>29</v>
      </c>
      <c r="E168" s="4">
        <v>3</v>
      </c>
      <c r="F168" s="12">
        <f t="shared" si="2"/>
        <v>2689.4317000000001</v>
      </c>
      <c r="G168" t="str">
        <f>VLOOKUP(B168,product_tbl[],2,FALSE)</f>
        <v>Biography 60</v>
      </c>
      <c r="H168" t="str">
        <f>VLOOKUP(B168,product_tbl[],3,FALSE)</f>
        <v>Books</v>
      </c>
      <c r="I168">
        <v>1663.566</v>
      </c>
      <c r="J168">
        <f>VLOOKUP(B168,product_tbl[],5,FALSE)</f>
        <v>2772.61</v>
      </c>
      <c r="K168">
        <f>VLOOKUP(B168,review_tbl[],3,FALSE)</f>
        <v>2</v>
      </c>
      <c r="L168" s="11">
        <v>3097.3477592969634</v>
      </c>
      <c r="M168" s="11">
        <f>AVERAGEIF(Table1[product_id],Master_tbl!B168:B1169,Table1[competitor_price])</f>
        <v>3047.7533333333336</v>
      </c>
      <c r="N168" s="11">
        <f>IFERROR(Table5[[#This Row],[final_sale_price]]*Table5[[#This Row],[quantity_sold ]],0)</f>
        <v>77993.5193</v>
      </c>
      <c r="O168" s="11">
        <f>(Table5[[#This Row],[final_sale_price]]-Table5[[#This Row],[cost_price]])*Table5[[#This Row],[quantity_sold ]]</f>
        <v>29750.105300000003</v>
      </c>
      <c r="P168" s="11">
        <f>(Table5[final_sale_price]-Table5[[#This Row],[avg_comp_price]])</f>
        <v>-358.32163333333347</v>
      </c>
      <c r="Q168" s="15">
        <f>(Table5[[#This Row],[final_sale_price]]-Table5[[#This Row],[avg_comp_price]])/Table5[[#This Row],[avg_comp_price]]</f>
        <v>-0.11756910554878679</v>
      </c>
      <c r="R168" s="11">
        <f>Table5[[#This Row],[Profit]]/Table5[[#This Row],[Revenue]]</f>
        <v>0.3814432989690722</v>
      </c>
    </row>
    <row r="169" spans="1:18" x14ac:dyDescent="0.2">
      <c r="A169" s="5">
        <v>168</v>
      </c>
      <c r="B169" s="5">
        <v>127</v>
      </c>
      <c r="C169" s="7">
        <v>45155</v>
      </c>
      <c r="D169" s="5">
        <v>12</v>
      </c>
      <c r="E169" s="4">
        <v>7</v>
      </c>
      <c r="F169" s="12">
        <f t="shared" si="2"/>
        <v>5106.2208000000001</v>
      </c>
      <c r="G169" t="str">
        <f>VLOOKUP(B169,product_tbl[],2,FALSE)</f>
        <v>Gym Gloves 127</v>
      </c>
      <c r="H169" t="str">
        <f>VLOOKUP(B169,product_tbl[],3,FALSE)</f>
        <v>Sports</v>
      </c>
      <c r="I169">
        <v>3294.3360000000002</v>
      </c>
      <c r="J169">
        <f>VLOOKUP(B169,product_tbl[],5,FALSE)</f>
        <v>5490.56</v>
      </c>
      <c r="K169">
        <f>VLOOKUP(B169,review_tbl[],3,FALSE)</f>
        <v>1</v>
      </c>
      <c r="L169" s="11">
        <v>6505.9338435164118</v>
      </c>
      <c r="M169" s="11">
        <f>AVERAGEIF(Table1[product_id],Master_tbl!B169:B1170,Table1[competitor_price])</f>
        <v>5984.333333333333</v>
      </c>
      <c r="N169" s="11">
        <f>IFERROR(Table5[[#This Row],[final_sale_price]]*Table5[[#This Row],[quantity_sold ]],0)</f>
        <v>61274.649600000004</v>
      </c>
      <c r="O169" s="11">
        <f>(Table5[[#This Row],[final_sale_price]]-Table5[[#This Row],[cost_price]])*Table5[[#This Row],[quantity_sold ]]</f>
        <v>21742.617599999998</v>
      </c>
      <c r="P169" s="11">
        <f>(Table5[final_sale_price]-Table5[[#This Row],[avg_comp_price]])</f>
        <v>-878.11253333333298</v>
      </c>
      <c r="Q169" s="15">
        <f>(Table5[[#This Row],[final_sale_price]]-Table5[[#This Row],[avg_comp_price]])/Table5[[#This Row],[avg_comp_price]]</f>
        <v>-0.1467352308806327</v>
      </c>
      <c r="R169" s="11">
        <f>Table5[[#This Row],[Profit]]/Table5[[#This Row],[Revenue]]</f>
        <v>0.35483870967741932</v>
      </c>
    </row>
    <row r="170" spans="1:18" x14ac:dyDescent="0.2">
      <c r="A170" s="4">
        <v>169</v>
      </c>
      <c r="B170" s="4">
        <v>129</v>
      </c>
      <c r="C170" s="6">
        <v>45569</v>
      </c>
      <c r="D170" s="4">
        <v>44</v>
      </c>
      <c r="E170" s="4">
        <v>7</v>
      </c>
      <c r="F170" s="12">
        <f t="shared" si="2"/>
        <v>1172.9717999999998</v>
      </c>
      <c r="G170" t="str">
        <f>VLOOKUP(B170,product_tbl[],2,FALSE)</f>
        <v>Smartphone 129</v>
      </c>
      <c r="H170" t="str">
        <f>VLOOKUP(B170,product_tbl[],3,FALSE)</f>
        <v>Electronics</v>
      </c>
      <c r="I170">
        <v>756.75599999999997</v>
      </c>
      <c r="J170">
        <f>VLOOKUP(B170,product_tbl[],5,FALSE)</f>
        <v>1261.26</v>
      </c>
      <c r="K170">
        <f>VLOOKUP(B170,review_tbl[],3,FALSE)</f>
        <v>4</v>
      </c>
      <c r="L170" s="11">
        <v>1458.9314004133264</v>
      </c>
      <c r="M170" s="11">
        <f>AVERAGEIF(Table1[product_id],Master_tbl!B170:B1171,Table1[competitor_price])</f>
        <v>4881.2166666666662</v>
      </c>
      <c r="N170" s="11">
        <f>IFERROR(Table5[[#This Row],[final_sale_price]]*Table5[[#This Row],[quantity_sold ]],0)</f>
        <v>51610.759199999993</v>
      </c>
      <c r="O170" s="11">
        <f>(Table5[[#This Row],[final_sale_price]]-Table5[[#This Row],[cost_price]])*Table5[[#This Row],[quantity_sold ]]</f>
        <v>18313.495199999994</v>
      </c>
      <c r="P170" s="11">
        <f>(Table5[final_sale_price]-Table5[[#This Row],[avg_comp_price]])</f>
        <v>-3708.2448666666664</v>
      </c>
      <c r="Q170" s="15">
        <f>(Table5[[#This Row],[final_sale_price]]-Table5[[#This Row],[avg_comp_price]])/Table5[[#This Row],[avg_comp_price]]</f>
        <v>-0.75969683787853437</v>
      </c>
      <c r="R170" s="11">
        <f>Table5[[#This Row],[Profit]]/Table5[[#This Row],[Revenue]]</f>
        <v>0.35483870967741926</v>
      </c>
    </row>
    <row r="171" spans="1:18" x14ac:dyDescent="0.2">
      <c r="A171" s="5">
        <v>170</v>
      </c>
      <c r="B171" s="5">
        <v>84</v>
      </c>
      <c r="C171" s="7">
        <v>45219</v>
      </c>
      <c r="D171" s="5">
        <v>45</v>
      </c>
      <c r="E171" s="4">
        <v>7</v>
      </c>
      <c r="F171" s="12">
        <f t="shared" si="2"/>
        <v>7216.9487999999992</v>
      </c>
      <c r="G171" t="str">
        <f>VLOOKUP(B171,product_tbl[],2,FALSE)</f>
        <v>Moisturizer 84</v>
      </c>
      <c r="H171" t="str">
        <f>VLOOKUP(B171,product_tbl[],3,FALSE)</f>
        <v>Beauty</v>
      </c>
      <c r="I171">
        <v>4656.0959999999995</v>
      </c>
      <c r="J171">
        <f>VLOOKUP(B171,product_tbl[],5,FALSE)</f>
        <v>7760.16</v>
      </c>
      <c r="K171">
        <f>VLOOKUP(B171,review_tbl[],3,FALSE)</f>
        <v>1</v>
      </c>
      <c r="L171" s="11">
        <v>8977.5784913468488</v>
      </c>
      <c r="M171" s="11">
        <f>AVERAGEIF(Table1[product_id],Master_tbl!B171:B1172,Table1[competitor_price])</f>
        <v>2588.9250000000002</v>
      </c>
      <c r="N171" s="11">
        <f>IFERROR(Table5[[#This Row],[final_sale_price]]*Table5[[#This Row],[quantity_sold ]],0)</f>
        <v>324762.69599999994</v>
      </c>
      <c r="O171" s="11">
        <f>(Table5[[#This Row],[final_sale_price]]-Table5[[#This Row],[cost_price]])*Table5[[#This Row],[quantity_sold ]]</f>
        <v>115238.37599999999</v>
      </c>
      <c r="P171" s="11">
        <f>(Table5[final_sale_price]-Table5[[#This Row],[avg_comp_price]])</f>
        <v>4628.023799999999</v>
      </c>
      <c r="Q171" s="15">
        <f>(Table5[[#This Row],[final_sale_price]]-Table5[[#This Row],[avg_comp_price]])/Table5[[#This Row],[avg_comp_price]]</f>
        <v>1.7876237434456381</v>
      </c>
      <c r="R171" s="11">
        <f>Table5[[#This Row],[Profit]]/Table5[[#This Row],[Revenue]]</f>
        <v>0.35483870967741937</v>
      </c>
    </row>
    <row r="172" spans="1:18" x14ac:dyDescent="0.2">
      <c r="A172" s="4">
        <v>171</v>
      </c>
      <c r="B172" s="4">
        <v>19</v>
      </c>
      <c r="C172" s="6">
        <v>45965</v>
      </c>
      <c r="D172" s="4">
        <v>6</v>
      </c>
      <c r="E172" s="4">
        <v>9</v>
      </c>
      <c r="F172" s="12">
        <f t="shared" si="2"/>
        <v>3103.8553000000002</v>
      </c>
      <c r="G172" t="str">
        <f>VLOOKUP(B172,product_tbl[],2,FALSE)</f>
        <v>Air Conditioner 19</v>
      </c>
      <c r="H172" t="str">
        <f>VLOOKUP(B172,product_tbl[],3,FALSE)</f>
        <v>Home Appliances</v>
      </c>
      <c r="I172">
        <v>2046.4979999999998</v>
      </c>
      <c r="J172">
        <f>VLOOKUP(B172,product_tbl[],5,FALSE)</f>
        <v>3410.83</v>
      </c>
      <c r="K172">
        <f>VLOOKUP(B172,review_tbl[],3,FALSE)</f>
        <v>2</v>
      </c>
      <c r="L172" s="11">
        <v>3741.3016558698291</v>
      </c>
      <c r="M172" s="11">
        <f>AVERAGEIF(Table1[product_id],Master_tbl!B172:B1173,Table1[competitor_price])</f>
        <v>1213.8383333333334</v>
      </c>
      <c r="N172" s="11">
        <f>IFERROR(Table5[[#This Row],[final_sale_price]]*Table5[[#This Row],[quantity_sold ]],0)</f>
        <v>18623.131800000003</v>
      </c>
      <c r="O172" s="11">
        <f>(Table5[[#This Row],[final_sale_price]]-Table5[[#This Row],[cost_price]])*Table5[[#This Row],[quantity_sold ]]</f>
        <v>6344.1438000000016</v>
      </c>
      <c r="P172" s="11">
        <f>(Table5[final_sale_price]-Table5[[#This Row],[avg_comp_price]])</f>
        <v>1890.0169666666668</v>
      </c>
      <c r="Q172" s="15">
        <f>(Table5[[#This Row],[final_sale_price]]-Table5[[#This Row],[avg_comp_price]])/Table5[[#This Row],[avg_comp_price]]</f>
        <v>1.557058229885089</v>
      </c>
      <c r="R172" s="11">
        <f>Table5[[#This Row],[Profit]]/Table5[[#This Row],[Revenue]]</f>
        <v>0.34065934065934067</v>
      </c>
    </row>
    <row r="173" spans="1:18" x14ac:dyDescent="0.2">
      <c r="A173" s="5">
        <v>172</v>
      </c>
      <c r="B173" s="5">
        <v>59</v>
      </c>
      <c r="C173" s="7">
        <v>45202</v>
      </c>
      <c r="D173" s="5">
        <v>11</v>
      </c>
      <c r="E173" s="4">
        <v>6</v>
      </c>
      <c r="F173" s="12">
        <f t="shared" si="2"/>
        <v>3901.4794000000002</v>
      </c>
      <c r="G173" t="str">
        <f>VLOOKUP(B173,product_tbl[],2,FALSE)</f>
        <v>Smartwatch 59</v>
      </c>
      <c r="H173" t="str">
        <f>VLOOKUP(B173,product_tbl[],3,FALSE)</f>
        <v>Electronics</v>
      </c>
      <c r="I173">
        <v>2490.306</v>
      </c>
      <c r="J173">
        <f>VLOOKUP(B173,product_tbl[],5,FALSE)</f>
        <v>4150.51</v>
      </c>
      <c r="K173">
        <f>VLOOKUP(B173,review_tbl[],3,FALSE)</f>
        <v>3</v>
      </c>
      <c r="L173" s="11">
        <v>4528.2663561015188</v>
      </c>
      <c r="M173" s="11">
        <f>AVERAGEIF(Table1[product_id],Master_tbl!B173:B1174,Table1[competitor_price])</f>
        <v>6105.9674999999997</v>
      </c>
      <c r="N173" s="11">
        <f>IFERROR(Table5[[#This Row],[final_sale_price]]*Table5[[#This Row],[quantity_sold ]],0)</f>
        <v>42916.273400000005</v>
      </c>
      <c r="O173" s="11">
        <f>(Table5[[#This Row],[final_sale_price]]-Table5[[#This Row],[cost_price]])*Table5[[#This Row],[quantity_sold ]]</f>
        <v>15522.907400000002</v>
      </c>
      <c r="P173" s="11">
        <f>(Table5[final_sale_price]-Table5[[#This Row],[avg_comp_price]])</f>
        <v>-2204.4880999999996</v>
      </c>
      <c r="Q173" s="15">
        <f>(Table5[[#This Row],[final_sale_price]]-Table5[[#This Row],[avg_comp_price]])/Table5[[#This Row],[avg_comp_price]]</f>
        <v>-0.36103829573282198</v>
      </c>
      <c r="R173" s="11">
        <f>Table5[[#This Row],[Profit]]/Table5[[#This Row],[Revenue]]</f>
        <v>0.36170212765957449</v>
      </c>
    </row>
    <row r="174" spans="1:18" x14ac:dyDescent="0.2">
      <c r="A174" s="4">
        <v>173</v>
      </c>
      <c r="B174" s="4">
        <v>110</v>
      </c>
      <c r="C174" s="6">
        <v>45898</v>
      </c>
      <c r="D174" s="4">
        <v>37</v>
      </c>
      <c r="E174" s="4">
        <v>7</v>
      </c>
      <c r="F174" s="12">
        <f t="shared" si="2"/>
        <v>1445.4152999999999</v>
      </c>
      <c r="G174" t="str">
        <f>VLOOKUP(B174,product_tbl[],2,FALSE)</f>
        <v>Cookbook 110</v>
      </c>
      <c r="H174" t="str">
        <f>VLOOKUP(B174,product_tbl[],3,FALSE)</f>
        <v>Books</v>
      </c>
      <c r="I174">
        <v>932.52599999999995</v>
      </c>
      <c r="J174">
        <f>VLOOKUP(B174,product_tbl[],5,FALSE)</f>
        <v>1554.21</v>
      </c>
      <c r="K174">
        <f>VLOOKUP(B174,review_tbl[],3,FALSE)</f>
        <v>3</v>
      </c>
      <c r="L174" s="11">
        <v>1948.5207925211669</v>
      </c>
      <c r="M174" s="11">
        <f>AVERAGEIF(Table1[product_id],Master_tbl!B174:B1175,Table1[competitor_price])</f>
        <v>764.66499999999996</v>
      </c>
      <c r="N174" s="11">
        <f>IFERROR(Table5[[#This Row],[final_sale_price]]*Table5[[#This Row],[quantity_sold ]],0)</f>
        <v>53480.366099999999</v>
      </c>
      <c r="O174" s="11">
        <f>(Table5[[#This Row],[final_sale_price]]-Table5[[#This Row],[cost_price]])*Table5[[#This Row],[quantity_sold ]]</f>
        <v>18976.904099999996</v>
      </c>
      <c r="P174" s="11">
        <f>(Table5[final_sale_price]-Table5[[#This Row],[avg_comp_price]])</f>
        <v>680.75029999999992</v>
      </c>
      <c r="Q174" s="15">
        <f>(Table5[[#This Row],[final_sale_price]]-Table5[[#This Row],[avg_comp_price]])/Table5[[#This Row],[avg_comp_price]]</f>
        <v>0.89025952541308928</v>
      </c>
      <c r="R174" s="11">
        <f>Table5[[#This Row],[Profit]]/Table5[[#This Row],[Revenue]]</f>
        <v>0.35483870967741926</v>
      </c>
    </row>
    <row r="175" spans="1:18" x14ac:dyDescent="0.2">
      <c r="A175" s="5">
        <v>174</v>
      </c>
      <c r="B175" s="5">
        <v>69</v>
      </c>
      <c r="C175" s="7">
        <v>45970</v>
      </c>
      <c r="D175" s="5">
        <v>38</v>
      </c>
      <c r="E175" s="4">
        <v>4</v>
      </c>
      <c r="F175" s="12">
        <f t="shared" si="2"/>
        <v>7160.3519999999999</v>
      </c>
      <c r="G175" t="str">
        <f>VLOOKUP(B175,product_tbl[],2,FALSE)</f>
        <v>Doll 69</v>
      </c>
      <c r="H175" t="str">
        <f>VLOOKUP(B175,product_tbl[],3,FALSE)</f>
        <v>Toys</v>
      </c>
      <c r="I175">
        <v>4475.2199999999993</v>
      </c>
      <c r="J175">
        <f>VLOOKUP(B175,product_tbl[],5,FALSE)</f>
        <v>7458.7</v>
      </c>
      <c r="K175">
        <f>VLOOKUP(B175,review_tbl[],3,FALSE)</f>
        <v>3</v>
      </c>
      <c r="L175" s="11">
        <v>8908.4237599322551</v>
      </c>
      <c r="M175" s="11">
        <f>AVERAGEIF(Table1[product_id],Master_tbl!B175:B1176,Table1[competitor_price])</f>
        <v>809.57599999999991</v>
      </c>
      <c r="N175" s="11">
        <f>IFERROR(Table5[[#This Row],[final_sale_price]]*Table5[[#This Row],[quantity_sold ]],0)</f>
        <v>272093.37599999999</v>
      </c>
      <c r="O175" s="11">
        <f>(Table5[[#This Row],[final_sale_price]]-Table5[[#This Row],[cost_price]])*Table5[[#This Row],[quantity_sold ]]</f>
        <v>102035.01600000002</v>
      </c>
      <c r="P175" s="11">
        <f>(Table5[final_sale_price]-Table5[[#This Row],[avg_comp_price]])</f>
        <v>6350.7759999999998</v>
      </c>
      <c r="Q175" s="15">
        <f>(Table5[[#This Row],[final_sale_price]]-Table5[[#This Row],[avg_comp_price]])/Table5[[#This Row],[avg_comp_price]]</f>
        <v>7.8445704912200958</v>
      </c>
      <c r="R175" s="11">
        <f>Table5[[#This Row],[Profit]]/Table5[[#This Row],[Revenue]]</f>
        <v>0.37500000000000006</v>
      </c>
    </row>
    <row r="176" spans="1:18" x14ac:dyDescent="0.2">
      <c r="A176" s="4">
        <v>175</v>
      </c>
      <c r="B176" s="4">
        <v>94</v>
      </c>
      <c r="C176" s="6">
        <v>45320</v>
      </c>
      <c r="D176" s="4">
        <v>28</v>
      </c>
      <c r="E176" s="4">
        <v>3</v>
      </c>
      <c r="F176" s="12">
        <f t="shared" si="2"/>
        <v>4513.1965999999993</v>
      </c>
      <c r="G176" t="str">
        <f>VLOOKUP(B176,product_tbl[],2,FALSE)</f>
        <v>Cricket Bat 94</v>
      </c>
      <c r="H176" t="str">
        <f>VLOOKUP(B176,product_tbl[],3,FALSE)</f>
        <v>Sports</v>
      </c>
      <c r="I176">
        <v>2791.6679999999997</v>
      </c>
      <c r="J176">
        <f>VLOOKUP(B176,product_tbl[],5,FALSE)</f>
        <v>4652.78</v>
      </c>
      <c r="K176">
        <f>VLOOKUP(B176,review_tbl[],3,FALSE)</f>
        <v>1</v>
      </c>
      <c r="L176" s="11">
        <v>4838.047250567528</v>
      </c>
      <c r="M176" s="11">
        <f>AVERAGEIF(Table1[product_id],Master_tbl!B176:B1177,Table1[competitor_price])</f>
        <v>6485.5883333333331</v>
      </c>
      <c r="N176" s="11">
        <f>IFERROR(Table5[[#This Row],[final_sale_price]]*Table5[[#This Row],[quantity_sold ]],0)</f>
        <v>126369.50479999998</v>
      </c>
      <c r="O176" s="11">
        <f>(Table5[[#This Row],[final_sale_price]]-Table5[[#This Row],[cost_price]])*Table5[[#This Row],[quantity_sold ]]</f>
        <v>48202.80079999999</v>
      </c>
      <c r="P176" s="11">
        <f>(Table5[final_sale_price]-Table5[[#This Row],[avg_comp_price]])</f>
        <v>-1972.3917333333338</v>
      </c>
      <c r="Q176" s="15">
        <f>(Table5[[#This Row],[final_sale_price]]-Table5[[#This Row],[avg_comp_price]])/Table5[[#This Row],[avg_comp_price]]</f>
        <v>-0.30411916883407913</v>
      </c>
      <c r="R176" s="11">
        <f>Table5[[#This Row],[Profit]]/Table5[[#This Row],[Revenue]]</f>
        <v>0.38144329896907214</v>
      </c>
    </row>
    <row r="177" spans="1:18" x14ac:dyDescent="0.2">
      <c r="A177" s="5">
        <v>176</v>
      </c>
      <c r="B177" s="5">
        <v>25</v>
      </c>
      <c r="C177" s="7">
        <v>45621</v>
      </c>
      <c r="D177" s="5">
        <v>3</v>
      </c>
      <c r="E177" s="4">
        <v>8</v>
      </c>
      <c r="F177" s="12">
        <f t="shared" si="2"/>
        <v>522.71640000000002</v>
      </c>
      <c r="G177" t="str">
        <f>VLOOKUP(B177,product_tbl[],2,FALSE)</f>
        <v>Tennis Racket 25</v>
      </c>
      <c r="H177" t="str">
        <f>VLOOKUP(B177,product_tbl[],3,FALSE)</f>
        <v>Sports</v>
      </c>
      <c r="I177">
        <v>340.90199999999999</v>
      </c>
      <c r="J177">
        <f>VLOOKUP(B177,product_tbl[],5,FALSE)</f>
        <v>568.16999999999996</v>
      </c>
      <c r="K177">
        <f>VLOOKUP(B177,review_tbl[],3,FALSE)</f>
        <v>1</v>
      </c>
      <c r="L177" s="11">
        <v>706.13792165337202</v>
      </c>
      <c r="M177" s="11">
        <f>AVERAGEIF(Table1[product_id],Master_tbl!B177:B1178,Table1[competitor_price])</f>
        <v>2024.2300000000002</v>
      </c>
      <c r="N177" s="11">
        <f>IFERROR(Table5[[#This Row],[final_sale_price]]*Table5[[#This Row],[quantity_sold ]],0)</f>
        <v>1568.1492000000001</v>
      </c>
      <c r="O177" s="11">
        <f>(Table5[[#This Row],[final_sale_price]]-Table5[[#This Row],[cost_price]])*Table5[[#This Row],[quantity_sold ]]</f>
        <v>545.44320000000016</v>
      </c>
      <c r="P177" s="11">
        <f>(Table5[final_sale_price]-Table5[[#This Row],[avg_comp_price]])</f>
        <v>-1501.5136000000002</v>
      </c>
      <c r="Q177" s="15">
        <f>(Table5[[#This Row],[final_sale_price]]-Table5[[#This Row],[avg_comp_price]])/Table5[[#This Row],[avg_comp_price]]</f>
        <v>-0.74177025338029767</v>
      </c>
      <c r="R177" s="11">
        <f>Table5[[#This Row],[Profit]]/Table5[[#This Row],[Revenue]]</f>
        <v>0.34782608695652184</v>
      </c>
    </row>
    <row r="178" spans="1:18" x14ac:dyDescent="0.2">
      <c r="A178" s="4">
        <v>177</v>
      </c>
      <c r="B178" s="4">
        <v>58</v>
      </c>
      <c r="C178" s="6">
        <v>45102</v>
      </c>
      <c r="D178" s="4">
        <v>34</v>
      </c>
      <c r="E178" s="4">
        <v>3</v>
      </c>
      <c r="F178" s="12">
        <f t="shared" si="2"/>
        <v>1104.4225999999999</v>
      </c>
      <c r="G178" t="str">
        <f>VLOOKUP(B178,product_tbl[],2,FALSE)</f>
        <v>Wheat Flour 58</v>
      </c>
      <c r="H178" t="str">
        <f>VLOOKUP(B178,product_tbl[],3,FALSE)</f>
        <v>Grocery</v>
      </c>
      <c r="I178">
        <v>683.14799999999991</v>
      </c>
      <c r="J178">
        <f>VLOOKUP(B178,product_tbl[],5,FALSE)</f>
        <v>1138.58</v>
      </c>
      <c r="K178">
        <f>VLOOKUP(B178,review_tbl[],3,FALSE)</f>
        <v>2</v>
      </c>
      <c r="L178" s="11">
        <v>1460.3516625506591</v>
      </c>
      <c r="M178" s="11">
        <f>AVERAGEIF(Table1[product_id],Master_tbl!B178:B1179,Table1[competitor_price])</f>
        <v>1439.8525</v>
      </c>
      <c r="N178" s="11">
        <f>IFERROR(Table5[[#This Row],[final_sale_price]]*Table5[[#This Row],[quantity_sold ]],0)</f>
        <v>37550.368399999992</v>
      </c>
      <c r="O178" s="11">
        <f>(Table5[[#This Row],[final_sale_price]]-Table5[[#This Row],[cost_price]])*Table5[[#This Row],[quantity_sold ]]</f>
        <v>14323.336399999998</v>
      </c>
      <c r="P178" s="11">
        <f>(Table5[final_sale_price]-Table5[[#This Row],[avg_comp_price]])</f>
        <v>-335.42990000000009</v>
      </c>
      <c r="Q178" s="15">
        <f>(Table5[[#This Row],[final_sale_price]]-Table5[[#This Row],[avg_comp_price]])/Table5[[#This Row],[avg_comp_price]]</f>
        <v>-0.23296129291021136</v>
      </c>
      <c r="R178" s="11">
        <f>Table5[[#This Row],[Profit]]/Table5[[#This Row],[Revenue]]</f>
        <v>0.3814432989690722</v>
      </c>
    </row>
    <row r="179" spans="1:18" x14ac:dyDescent="0.2">
      <c r="A179" s="5">
        <v>178</v>
      </c>
      <c r="B179" s="5">
        <v>57</v>
      </c>
      <c r="C179" s="7">
        <v>45880</v>
      </c>
      <c r="D179" s="5">
        <v>25</v>
      </c>
      <c r="E179" s="4">
        <v>10</v>
      </c>
      <c r="F179" s="12">
        <f t="shared" si="2"/>
        <v>6130.5749999999998</v>
      </c>
      <c r="G179" t="str">
        <f>VLOOKUP(B179,product_tbl[],2,FALSE)</f>
        <v>Face Wash 57</v>
      </c>
      <c r="H179" t="str">
        <f>VLOOKUP(B179,product_tbl[],3,FALSE)</f>
        <v>Beauty</v>
      </c>
      <c r="I179">
        <v>4087.0499999999997</v>
      </c>
      <c r="J179">
        <f>VLOOKUP(B179,product_tbl[],5,FALSE)</f>
        <v>6811.75</v>
      </c>
      <c r="K179">
        <f>VLOOKUP(B179,review_tbl[],3,FALSE)</f>
        <v>2</v>
      </c>
      <c r="L179" s="11">
        <v>8475.124810229825</v>
      </c>
      <c r="M179" s="11">
        <f>AVERAGEIF(Table1[product_id],Master_tbl!B179:B1180,Table1[competitor_price])</f>
        <v>1836.9825000000001</v>
      </c>
      <c r="N179" s="11">
        <f>IFERROR(Table5[[#This Row],[final_sale_price]]*Table5[[#This Row],[quantity_sold ]],0)</f>
        <v>153264.375</v>
      </c>
      <c r="O179" s="11">
        <f>(Table5[[#This Row],[final_sale_price]]-Table5[[#This Row],[cost_price]])*Table5[[#This Row],[quantity_sold ]]</f>
        <v>51088.125</v>
      </c>
      <c r="P179" s="11">
        <f>(Table5[final_sale_price]-Table5[[#This Row],[avg_comp_price]])</f>
        <v>4293.5924999999997</v>
      </c>
      <c r="Q179" s="15">
        <f>(Table5[[#This Row],[final_sale_price]]-Table5[[#This Row],[avg_comp_price]])/Table5[[#This Row],[avg_comp_price]]</f>
        <v>2.3373072416313163</v>
      </c>
      <c r="R179" s="11">
        <f>Table5[[#This Row],[Profit]]/Table5[[#This Row],[Revenue]]</f>
        <v>0.33333333333333331</v>
      </c>
    </row>
    <row r="180" spans="1:18" x14ac:dyDescent="0.2">
      <c r="A180" s="4">
        <v>179</v>
      </c>
      <c r="B180" s="4">
        <v>71</v>
      </c>
      <c r="C180" s="6">
        <v>45034</v>
      </c>
      <c r="D180" s="4">
        <v>42</v>
      </c>
      <c r="E180" s="4">
        <v>3</v>
      </c>
      <c r="F180" s="12">
        <f t="shared" si="2"/>
        <v>4783.3222000000005</v>
      </c>
      <c r="G180" t="str">
        <f>VLOOKUP(B180,product_tbl[],2,FALSE)</f>
        <v>Self Help Book 71</v>
      </c>
      <c r="H180" t="str">
        <f>VLOOKUP(B180,product_tbl[],3,FALSE)</f>
        <v>Books</v>
      </c>
      <c r="I180">
        <v>2958.7559999999999</v>
      </c>
      <c r="J180">
        <f>VLOOKUP(B180,product_tbl[],5,FALSE)</f>
        <v>4931.26</v>
      </c>
      <c r="K180">
        <f>VLOOKUP(B180,review_tbl[],3,FALSE)</f>
        <v>3</v>
      </c>
      <c r="L180" s="11">
        <v>5958.9551188873129</v>
      </c>
      <c r="M180" s="11">
        <f>AVERAGEIF(Table1[product_id],Master_tbl!B180:B1181,Table1[competitor_price])</f>
        <v>2482.0633333333335</v>
      </c>
      <c r="N180" s="11">
        <f>IFERROR(Table5[[#This Row],[final_sale_price]]*Table5[[#This Row],[quantity_sold ]],0)</f>
        <v>200899.53240000003</v>
      </c>
      <c r="O180" s="11">
        <f>(Table5[[#This Row],[final_sale_price]]-Table5[[#This Row],[cost_price]])*Table5[[#This Row],[quantity_sold ]]</f>
        <v>76631.780400000032</v>
      </c>
      <c r="P180" s="11">
        <f>(Table5[final_sale_price]-Table5[[#This Row],[avg_comp_price]])</f>
        <v>2301.258866666667</v>
      </c>
      <c r="Q180" s="15">
        <f>(Table5[[#This Row],[final_sale_price]]-Table5[[#This Row],[avg_comp_price]])/Table5[[#This Row],[avg_comp_price]]</f>
        <v>0.92715557889336697</v>
      </c>
      <c r="R180" s="11">
        <f>Table5[[#This Row],[Profit]]/Table5[[#This Row],[Revenue]]</f>
        <v>0.38144329896907225</v>
      </c>
    </row>
    <row r="181" spans="1:18" x14ac:dyDescent="0.2">
      <c r="A181" s="5">
        <v>180</v>
      </c>
      <c r="B181" s="5">
        <v>126</v>
      </c>
      <c r="C181" s="7">
        <v>45473</v>
      </c>
      <c r="D181" s="5">
        <v>25</v>
      </c>
      <c r="E181" s="4">
        <v>4</v>
      </c>
      <c r="F181" s="12">
        <f t="shared" si="2"/>
        <v>972.70079999999996</v>
      </c>
      <c r="G181" t="str">
        <f>VLOOKUP(B181,product_tbl[],2,FALSE)</f>
        <v>Cricket Bat 126</v>
      </c>
      <c r="H181" t="str">
        <f>VLOOKUP(B181,product_tbl[],3,FALSE)</f>
        <v>Sports</v>
      </c>
      <c r="I181">
        <v>607.93799999999999</v>
      </c>
      <c r="J181">
        <f>VLOOKUP(B181,product_tbl[],5,FALSE)</f>
        <v>1013.23</v>
      </c>
      <c r="K181">
        <f>VLOOKUP(B181,review_tbl[],3,FALSE)</f>
        <v>5</v>
      </c>
      <c r="L181" s="11">
        <v>1068.7498672575164</v>
      </c>
      <c r="M181" s="11">
        <f>AVERAGEIF(Table1[product_id],Master_tbl!B181:B1182,Table1[competitor_price])</f>
        <v>7593.0025000000005</v>
      </c>
      <c r="N181" s="11">
        <f>IFERROR(Table5[[#This Row],[final_sale_price]]*Table5[[#This Row],[quantity_sold ]],0)</f>
        <v>24317.52</v>
      </c>
      <c r="O181" s="11">
        <f>(Table5[[#This Row],[final_sale_price]]-Table5[[#This Row],[cost_price]])*Table5[[#This Row],[quantity_sold ]]</f>
        <v>9119.07</v>
      </c>
      <c r="P181" s="11">
        <f>(Table5[final_sale_price]-Table5[[#This Row],[avg_comp_price]])</f>
        <v>-6620.3017000000009</v>
      </c>
      <c r="Q181" s="15">
        <f>(Table5[[#This Row],[final_sale_price]]-Table5[[#This Row],[avg_comp_price]])/Table5[[#This Row],[avg_comp_price]]</f>
        <v>-0.87189510341923371</v>
      </c>
      <c r="R181" s="11">
        <f>Table5[[#This Row],[Profit]]/Table5[[#This Row],[Revenue]]</f>
        <v>0.375</v>
      </c>
    </row>
    <row r="182" spans="1:18" x14ac:dyDescent="0.2">
      <c r="A182" s="4">
        <v>181</v>
      </c>
      <c r="B182" s="4">
        <v>35</v>
      </c>
      <c r="C182" s="6">
        <v>45716</v>
      </c>
      <c r="D182" s="4">
        <v>49</v>
      </c>
      <c r="E182" s="4">
        <v>9</v>
      </c>
      <c r="F182" s="12">
        <f t="shared" si="2"/>
        <v>123.02290000000001</v>
      </c>
      <c r="G182" t="str">
        <f>VLOOKUP(B182,product_tbl[],2,FALSE)</f>
        <v>Sneakers 35</v>
      </c>
      <c r="H182" t="str">
        <f>VLOOKUP(B182,product_tbl[],3,FALSE)</f>
        <v>Fashion</v>
      </c>
      <c r="I182">
        <v>81.11399999999999</v>
      </c>
      <c r="J182">
        <f>VLOOKUP(B182,product_tbl[],5,FALSE)</f>
        <v>135.19</v>
      </c>
      <c r="K182">
        <f>VLOOKUP(B182,review_tbl[],3,FALSE)</f>
        <v>3</v>
      </c>
      <c r="L182" s="11">
        <v>162.3593380091321</v>
      </c>
      <c r="M182" s="11">
        <f>AVERAGEIF(Table1[product_id],Master_tbl!B182:B1183,Table1[competitor_price])</f>
        <v>2089.5899999999997</v>
      </c>
      <c r="N182" s="11">
        <f>IFERROR(Table5[[#This Row],[final_sale_price]]*Table5[[#This Row],[quantity_sold ]],0)</f>
        <v>6028.1221000000005</v>
      </c>
      <c r="O182" s="11">
        <f>(Table5[[#This Row],[final_sale_price]]-Table5[[#This Row],[cost_price]])*Table5[[#This Row],[quantity_sold ]]</f>
        <v>2053.5361000000007</v>
      </c>
      <c r="P182" s="11">
        <f>(Table5[final_sale_price]-Table5[[#This Row],[avg_comp_price]])</f>
        <v>-1966.5670999999998</v>
      </c>
      <c r="Q182" s="15">
        <f>(Table5[[#This Row],[final_sale_price]]-Table5[[#This Row],[avg_comp_price]])/Table5[[#This Row],[avg_comp_price]]</f>
        <v>-0.94112581894055769</v>
      </c>
      <c r="R182" s="11">
        <f>Table5[[#This Row],[Profit]]/Table5[[#This Row],[Revenue]]</f>
        <v>0.34065934065934073</v>
      </c>
    </row>
    <row r="183" spans="1:18" x14ac:dyDescent="0.2">
      <c r="A183" s="5">
        <v>182</v>
      </c>
      <c r="B183" s="5">
        <v>31</v>
      </c>
      <c r="C183" s="7">
        <v>45585</v>
      </c>
      <c r="D183" s="5">
        <v>18</v>
      </c>
      <c r="E183" s="4">
        <v>9</v>
      </c>
      <c r="F183" s="12">
        <f t="shared" si="2"/>
        <v>931.14840000000004</v>
      </c>
      <c r="G183" t="str">
        <f>VLOOKUP(B183,product_tbl[],2,FALSE)</f>
        <v>Bluetooth Speaker 31</v>
      </c>
      <c r="H183" t="str">
        <f>VLOOKUP(B183,product_tbl[],3,FALSE)</f>
        <v>Electronics</v>
      </c>
      <c r="I183">
        <v>613.94399999999996</v>
      </c>
      <c r="J183">
        <f>VLOOKUP(B183,product_tbl[],5,FALSE)</f>
        <v>1023.24</v>
      </c>
      <c r="K183">
        <f>VLOOKUP(B183,review_tbl[],3,FALSE)</f>
        <v>2</v>
      </c>
      <c r="L183" s="11">
        <v>1108.4201121197073</v>
      </c>
      <c r="M183" s="11">
        <f>AVERAGEIF(Table1[product_id],Master_tbl!B183:B1184,Table1[competitor_price])</f>
        <v>1065.8219999999999</v>
      </c>
      <c r="N183" s="11">
        <f>IFERROR(Table5[[#This Row],[final_sale_price]]*Table5[[#This Row],[quantity_sold ]],0)</f>
        <v>16760.671200000001</v>
      </c>
      <c r="O183" s="11">
        <f>(Table5[[#This Row],[final_sale_price]]-Table5[[#This Row],[cost_price]])*Table5[[#This Row],[quantity_sold ]]</f>
        <v>5709.6792000000014</v>
      </c>
      <c r="P183" s="11">
        <f>(Table5[final_sale_price]-Table5[[#This Row],[avg_comp_price]])</f>
        <v>-134.67359999999985</v>
      </c>
      <c r="Q183" s="15">
        <f>(Table5[[#This Row],[final_sale_price]]-Table5[[#This Row],[avg_comp_price]])/Table5[[#This Row],[avg_comp_price]]</f>
        <v>-0.12635655859984113</v>
      </c>
      <c r="R183" s="11">
        <f>Table5[[#This Row],[Profit]]/Table5[[#This Row],[Revenue]]</f>
        <v>0.34065934065934073</v>
      </c>
    </row>
    <row r="184" spans="1:18" x14ac:dyDescent="0.2">
      <c r="A184" s="4">
        <v>183</v>
      </c>
      <c r="B184" s="4">
        <v>39</v>
      </c>
      <c r="C184" s="6">
        <v>45959</v>
      </c>
      <c r="D184" s="4">
        <v>15</v>
      </c>
      <c r="E184" s="4">
        <v>10</v>
      </c>
      <c r="F184" s="12">
        <f t="shared" si="2"/>
        <v>2886.8220000000001</v>
      </c>
      <c r="G184" t="str">
        <f>VLOOKUP(B184,product_tbl[],2,FALSE)</f>
        <v>Perfume 39</v>
      </c>
      <c r="H184" t="str">
        <f>VLOOKUP(B184,product_tbl[],3,FALSE)</f>
        <v>Beauty</v>
      </c>
      <c r="I184">
        <v>1924.5479999999998</v>
      </c>
      <c r="J184">
        <f>VLOOKUP(B184,product_tbl[],5,FALSE)</f>
        <v>3207.58</v>
      </c>
      <c r="K184">
        <f>VLOOKUP(B184,review_tbl[],3,FALSE)</f>
        <v>1</v>
      </c>
      <c r="L184" s="11">
        <v>4137.5376417509888</v>
      </c>
      <c r="M184" s="11">
        <f>AVERAGEIF(Table1[product_id],Master_tbl!B184:B1185,Table1[competitor_price])</f>
        <v>9555.6079999999984</v>
      </c>
      <c r="N184" s="11">
        <f>IFERROR(Table5[[#This Row],[final_sale_price]]*Table5[[#This Row],[quantity_sold ]],0)</f>
        <v>43302.33</v>
      </c>
      <c r="O184" s="11">
        <f>(Table5[[#This Row],[final_sale_price]]-Table5[[#This Row],[cost_price]])*Table5[[#This Row],[quantity_sold ]]</f>
        <v>14434.110000000004</v>
      </c>
      <c r="P184" s="11">
        <f>(Table5[final_sale_price]-Table5[[#This Row],[avg_comp_price]])</f>
        <v>-6668.7859999999982</v>
      </c>
      <c r="Q184" s="15">
        <f>(Table5[[#This Row],[final_sale_price]]-Table5[[#This Row],[avg_comp_price]])/Table5[[#This Row],[avg_comp_price]]</f>
        <v>-0.69789237900926859</v>
      </c>
      <c r="R184" s="11">
        <f>Table5[[#This Row],[Profit]]/Table5[[#This Row],[Revenue]]</f>
        <v>0.33333333333333343</v>
      </c>
    </row>
    <row r="185" spans="1:18" x14ac:dyDescent="0.2">
      <c r="A185" s="5">
        <v>184</v>
      </c>
      <c r="B185" s="5">
        <v>55</v>
      </c>
      <c r="C185" s="7">
        <v>45721</v>
      </c>
      <c r="D185" s="5">
        <v>23</v>
      </c>
      <c r="E185" s="4">
        <v>2</v>
      </c>
      <c r="F185" s="12">
        <f t="shared" si="2"/>
        <v>945.00419999999997</v>
      </c>
      <c r="G185" t="str">
        <f>VLOOKUP(B185,product_tbl[],2,FALSE)</f>
        <v>Face Wash 55</v>
      </c>
      <c r="H185" t="str">
        <f>VLOOKUP(B185,product_tbl[],3,FALSE)</f>
        <v>Beauty</v>
      </c>
      <c r="I185">
        <v>578.57399999999996</v>
      </c>
      <c r="J185">
        <f>VLOOKUP(B185,product_tbl[],5,FALSE)</f>
        <v>964.29</v>
      </c>
      <c r="K185">
        <f>VLOOKUP(B185,review_tbl[],3,FALSE)</f>
        <v>2</v>
      </c>
      <c r="L185" s="11">
        <v>1172.8198607116815</v>
      </c>
      <c r="M185" s="11">
        <f>AVERAGEIF(Table1[product_id],Master_tbl!B185:B1186,Table1[competitor_price])</f>
        <v>1508.7675000000002</v>
      </c>
      <c r="N185" s="11">
        <f>IFERROR(Table5[[#This Row],[final_sale_price]]*Table5[[#This Row],[quantity_sold ]],0)</f>
        <v>21735.096600000001</v>
      </c>
      <c r="O185" s="11">
        <f>(Table5[[#This Row],[final_sale_price]]-Table5[[#This Row],[cost_price]])*Table5[[#This Row],[quantity_sold ]]</f>
        <v>8427.8945999999996</v>
      </c>
      <c r="P185" s="11">
        <f>(Table5[final_sale_price]-Table5[[#This Row],[avg_comp_price]])</f>
        <v>-563.76330000000019</v>
      </c>
      <c r="Q185" s="15">
        <f>(Table5[[#This Row],[final_sale_price]]-Table5[[#This Row],[avg_comp_price]])/Table5[[#This Row],[avg_comp_price]]</f>
        <v>-0.37365816800799334</v>
      </c>
      <c r="R185" s="11">
        <f>Table5[[#This Row],[Profit]]/Table5[[#This Row],[Revenue]]</f>
        <v>0.38775510204081631</v>
      </c>
    </row>
    <row r="186" spans="1:18" x14ac:dyDescent="0.2">
      <c r="A186" s="4">
        <v>185</v>
      </c>
      <c r="B186" s="4">
        <v>96</v>
      </c>
      <c r="C186" s="6">
        <v>45034</v>
      </c>
      <c r="D186" s="4">
        <v>45</v>
      </c>
      <c r="E186" s="4">
        <v>5</v>
      </c>
      <c r="F186" s="12">
        <f t="shared" si="2"/>
        <v>5115.2179999999989</v>
      </c>
      <c r="G186" t="str">
        <f>VLOOKUP(B186,product_tbl[],2,FALSE)</f>
        <v>Gym Gloves 96</v>
      </c>
      <c r="H186" t="str">
        <f>VLOOKUP(B186,product_tbl[],3,FALSE)</f>
        <v>Sports</v>
      </c>
      <c r="I186">
        <v>3230.6639999999998</v>
      </c>
      <c r="J186">
        <f>VLOOKUP(B186,product_tbl[],5,FALSE)</f>
        <v>5384.44</v>
      </c>
      <c r="K186">
        <f>VLOOKUP(B186,review_tbl[],3,FALSE)</f>
        <v>3</v>
      </c>
      <c r="L186" s="11">
        <v>5542.357160031399</v>
      </c>
      <c r="M186" s="11">
        <f>AVERAGEIF(Table1[product_id],Master_tbl!B186:B1187,Table1[competitor_price])</f>
        <v>3578.9180000000001</v>
      </c>
      <c r="N186" s="11">
        <f>IFERROR(Table5[[#This Row],[final_sale_price]]*Table5[[#This Row],[quantity_sold ]],0)</f>
        <v>230184.80999999994</v>
      </c>
      <c r="O186" s="11">
        <f>(Table5[[#This Row],[final_sale_price]]-Table5[[#This Row],[cost_price]])*Table5[[#This Row],[quantity_sold ]]</f>
        <v>84804.929999999964</v>
      </c>
      <c r="P186" s="11">
        <f>(Table5[final_sale_price]-Table5[[#This Row],[avg_comp_price]])</f>
        <v>1536.2999999999988</v>
      </c>
      <c r="Q186" s="15">
        <f>(Table5[[#This Row],[final_sale_price]]-Table5[[#This Row],[avg_comp_price]])/Table5[[#This Row],[avg_comp_price]]</f>
        <v>0.42926381660602414</v>
      </c>
      <c r="R186" s="11">
        <f>Table5[[#This Row],[Profit]]/Table5[[#This Row],[Revenue]]</f>
        <v>0.36842105263157887</v>
      </c>
    </row>
    <row r="187" spans="1:18" x14ac:dyDescent="0.2">
      <c r="A187" s="5">
        <v>186</v>
      </c>
      <c r="B187" s="5">
        <v>126</v>
      </c>
      <c r="C187" s="7">
        <v>45405</v>
      </c>
      <c r="D187" s="5">
        <v>17</v>
      </c>
      <c r="E187" s="4">
        <v>4</v>
      </c>
      <c r="F187" s="12">
        <f t="shared" si="2"/>
        <v>972.70079999999996</v>
      </c>
      <c r="G187" t="str">
        <f>VLOOKUP(B187,product_tbl[],2,FALSE)</f>
        <v>Cricket Bat 126</v>
      </c>
      <c r="H187" t="str">
        <f>VLOOKUP(B187,product_tbl[],3,FALSE)</f>
        <v>Sports</v>
      </c>
      <c r="I187">
        <v>607.93799999999999</v>
      </c>
      <c r="J187">
        <f>VLOOKUP(B187,product_tbl[],5,FALSE)</f>
        <v>1013.23</v>
      </c>
      <c r="K187">
        <f>VLOOKUP(B187,review_tbl[],3,FALSE)</f>
        <v>5</v>
      </c>
      <c r="L187" s="11">
        <v>1080.609467675105</v>
      </c>
      <c r="M187" s="11">
        <f>AVERAGEIF(Table1[product_id],Master_tbl!B187:B1188,Table1[competitor_price])</f>
        <v>7593.0025000000005</v>
      </c>
      <c r="N187" s="11">
        <f>IFERROR(Table5[[#This Row],[final_sale_price]]*Table5[[#This Row],[quantity_sold ]],0)</f>
        <v>16535.9136</v>
      </c>
      <c r="O187" s="11">
        <f>(Table5[[#This Row],[final_sale_price]]-Table5[[#This Row],[cost_price]])*Table5[[#This Row],[quantity_sold ]]</f>
        <v>6200.9675999999999</v>
      </c>
      <c r="P187" s="11">
        <f>(Table5[final_sale_price]-Table5[[#This Row],[avg_comp_price]])</f>
        <v>-6620.3017000000009</v>
      </c>
      <c r="Q187" s="15">
        <f>(Table5[[#This Row],[final_sale_price]]-Table5[[#This Row],[avg_comp_price]])/Table5[[#This Row],[avg_comp_price]]</f>
        <v>-0.87189510341923371</v>
      </c>
      <c r="R187" s="11">
        <f>Table5[[#This Row],[Profit]]/Table5[[#This Row],[Revenue]]</f>
        <v>0.375</v>
      </c>
    </row>
    <row r="188" spans="1:18" x14ac:dyDescent="0.2">
      <c r="A188" s="4">
        <v>187</v>
      </c>
      <c r="B188" s="4">
        <v>99</v>
      </c>
      <c r="C188" s="6">
        <v>45769</v>
      </c>
      <c r="D188" s="4">
        <v>31</v>
      </c>
      <c r="E188" s="4">
        <v>3</v>
      </c>
      <c r="F188" s="12">
        <f t="shared" si="2"/>
        <v>1982.6605999999999</v>
      </c>
      <c r="G188" t="str">
        <f>VLOOKUP(B188,product_tbl[],2,FALSE)</f>
        <v>Sneakers 99</v>
      </c>
      <c r="H188" t="str">
        <f>VLOOKUP(B188,product_tbl[],3,FALSE)</f>
        <v>Fashion</v>
      </c>
      <c r="I188">
        <v>1226.3879999999999</v>
      </c>
      <c r="J188">
        <f>VLOOKUP(B188,product_tbl[],5,FALSE)</f>
        <v>2043.98</v>
      </c>
      <c r="K188">
        <f>VLOOKUP(B188,review_tbl[],3,FALSE)</f>
        <v>2</v>
      </c>
      <c r="L188" s="11">
        <v>2210.0889908481399</v>
      </c>
      <c r="M188" s="11">
        <f>AVERAGEIF(Table1[product_id],Master_tbl!B188:B1189,Table1[competitor_price])</f>
        <v>958.76666666666654</v>
      </c>
      <c r="N188" s="11">
        <f>IFERROR(Table5[[#This Row],[final_sale_price]]*Table5[[#This Row],[quantity_sold ]],0)</f>
        <v>61462.478599999995</v>
      </c>
      <c r="O188" s="11">
        <f>(Table5[[#This Row],[final_sale_price]]-Table5[[#This Row],[cost_price]])*Table5[[#This Row],[quantity_sold ]]</f>
        <v>23444.4506</v>
      </c>
      <c r="P188" s="11">
        <f>(Table5[final_sale_price]-Table5[[#This Row],[avg_comp_price]])</f>
        <v>1023.8939333333334</v>
      </c>
      <c r="Q188" s="15">
        <f>(Table5[[#This Row],[final_sale_price]]-Table5[[#This Row],[avg_comp_price]])/Table5[[#This Row],[avg_comp_price]]</f>
        <v>1.0679281716093594</v>
      </c>
      <c r="R188" s="11">
        <f>Table5[[#This Row],[Profit]]/Table5[[#This Row],[Revenue]]</f>
        <v>0.3814432989690722</v>
      </c>
    </row>
    <row r="189" spans="1:18" x14ac:dyDescent="0.2">
      <c r="A189" s="5">
        <v>188</v>
      </c>
      <c r="B189" s="5">
        <v>78</v>
      </c>
      <c r="C189" s="7">
        <v>45051</v>
      </c>
      <c r="D189" s="5">
        <v>20</v>
      </c>
      <c r="E189" s="4">
        <v>6</v>
      </c>
      <c r="F189" s="12">
        <f t="shared" si="2"/>
        <v>813.79559999999992</v>
      </c>
      <c r="G189" t="str">
        <f>VLOOKUP(B189,product_tbl[],2,FALSE)</f>
        <v>Biography 78</v>
      </c>
      <c r="H189" t="str">
        <f>VLOOKUP(B189,product_tbl[],3,FALSE)</f>
        <v>Books</v>
      </c>
      <c r="I189">
        <v>519.44399999999996</v>
      </c>
      <c r="J189">
        <f>VLOOKUP(B189,product_tbl[],5,FALSE)</f>
        <v>865.74</v>
      </c>
      <c r="K189">
        <f>VLOOKUP(B189,review_tbl[],3,FALSE)</f>
        <v>4</v>
      </c>
      <c r="L189" s="11">
        <v>913.00078947847635</v>
      </c>
      <c r="M189" s="11">
        <f>AVERAGEIF(Table1[product_id],Master_tbl!B189:B1190,Table1[competitor_price])</f>
        <v>398.392</v>
      </c>
      <c r="N189" s="11">
        <f>IFERROR(Table5[[#This Row],[final_sale_price]]*Table5[[#This Row],[quantity_sold ]],0)</f>
        <v>16275.911999999998</v>
      </c>
      <c r="O189" s="11">
        <f>(Table5[[#This Row],[final_sale_price]]-Table5[[#This Row],[cost_price]])*Table5[[#This Row],[quantity_sold ]]</f>
        <v>5887.0319999999992</v>
      </c>
      <c r="P189" s="11">
        <f>(Table5[final_sale_price]-Table5[[#This Row],[avg_comp_price]])</f>
        <v>415.40359999999993</v>
      </c>
      <c r="Q189" s="15">
        <f>(Table5[[#This Row],[final_sale_price]]-Table5[[#This Row],[avg_comp_price]])/Table5[[#This Row],[avg_comp_price]]</f>
        <v>1.0427006566396915</v>
      </c>
      <c r="R189" s="11">
        <f>Table5[[#This Row],[Profit]]/Table5[[#This Row],[Revenue]]</f>
        <v>0.36170212765957444</v>
      </c>
    </row>
    <row r="190" spans="1:18" x14ac:dyDescent="0.2">
      <c r="A190" s="4">
        <v>189</v>
      </c>
      <c r="B190" s="4">
        <v>139</v>
      </c>
      <c r="C190" s="6">
        <v>45619</v>
      </c>
      <c r="D190" s="4">
        <v>18</v>
      </c>
      <c r="E190" s="4">
        <v>3</v>
      </c>
      <c r="F190" s="12">
        <f t="shared" si="2"/>
        <v>2513.3476000000001</v>
      </c>
      <c r="G190" t="str">
        <f>VLOOKUP(B190,product_tbl[],2,FALSE)</f>
        <v>Jacket 139</v>
      </c>
      <c r="H190" t="str">
        <f>VLOOKUP(B190,product_tbl[],3,FALSE)</f>
        <v>Fashion</v>
      </c>
      <c r="I190">
        <v>1554.6479999999999</v>
      </c>
      <c r="J190">
        <f>VLOOKUP(B190,product_tbl[],5,FALSE)</f>
        <v>2591.08</v>
      </c>
      <c r="K190">
        <f>VLOOKUP(B190,review_tbl[],3,FALSE)</f>
        <v>5</v>
      </c>
      <c r="L190" s="11">
        <v>2793.2407967938229</v>
      </c>
      <c r="M190" s="11">
        <f>AVERAGEIF(Table1[product_id],Master_tbl!B190:B1191,Table1[competitor_price])</f>
        <v>2839.1733333333336</v>
      </c>
      <c r="N190" s="11">
        <f>IFERROR(Table5[[#This Row],[final_sale_price]]*Table5[[#This Row],[quantity_sold ]],0)</f>
        <v>45240.256800000003</v>
      </c>
      <c r="O190" s="11">
        <f>(Table5[[#This Row],[final_sale_price]]-Table5[[#This Row],[cost_price]])*Table5[[#This Row],[quantity_sold ]]</f>
        <v>17256.592800000002</v>
      </c>
      <c r="P190" s="11">
        <f>(Table5[final_sale_price]-Table5[[#This Row],[avg_comp_price]])</f>
        <v>-325.82573333333357</v>
      </c>
      <c r="Q190" s="15">
        <f>(Table5[[#This Row],[final_sale_price]]-Table5[[#This Row],[avg_comp_price]])/Table5[[#This Row],[avg_comp_price]]</f>
        <v>-0.11476077543698172</v>
      </c>
      <c r="R190" s="11">
        <f>Table5[[#This Row],[Profit]]/Table5[[#This Row],[Revenue]]</f>
        <v>0.3814432989690722</v>
      </c>
    </row>
    <row r="191" spans="1:18" x14ac:dyDescent="0.2">
      <c r="A191" s="5">
        <v>190</v>
      </c>
      <c r="B191" s="5">
        <v>145</v>
      </c>
      <c r="C191" s="7">
        <v>45859</v>
      </c>
      <c r="D191" s="5">
        <v>9</v>
      </c>
      <c r="E191" s="4">
        <v>8</v>
      </c>
      <c r="F191" s="12">
        <f t="shared" si="2"/>
        <v>5946.4660000000003</v>
      </c>
      <c r="G191" t="str">
        <f>VLOOKUP(B191,product_tbl[],2,FALSE)</f>
        <v>Self Help Book 145</v>
      </c>
      <c r="H191" t="str">
        <f>VLOOKUP(B191,product_tbl[],3,FALSE)</f>
        <v>Books</v>
      </c>
      <c r="I191">
        <v>3878.13</v>
      </c>
      <c r="J191">
        <f>VLOOKUP(B191,product_tbl[],5,FALSE)</f>
        <v>6463.55</v>
      </c>
      <c r="K191">
        <f>VLOOKUP(B191,review_tbl[],3,FALSE)</f>
        <v>5</v>
      </c>
      <c r="L191" s="11">
        <v>7568.3575531057959</v>
      </c>
      <c r="M191" s="11">
        <f>AVERAGEIF(Table1[product_id],Master_tbl!B191:B1192,Table1[competitor_price])</f>
        <v>699.73666666666668</v>
      </c>
      <c r="N191" s="11">
        <f>IFERROR(Table5[[#This Row],[final_sale_price]]*Table5[[#This Row],[quantity_sold ]],0)</f>
        <v>53518.194000000003</v>
      </c>
      <c r="O191" s="11">
        <f>(Table5[[#This Row],[final_sale_price]]-Table5[[#This Row],[cost_price]])*Table5[[#This Row],[quantity_sold ]]</f>
        <v>18615.024000000001</v>
      </c>
      <c r="P191" s="11">
        <f>(Table5[final_sale_price]-Table5[[#This Row],[avg_comp_price]])</f>
        <v>5246.7293333333337</v>
      </c>
      <c r="Q191" s="15">
        <f>(Table5[[#This Row],[final_sale_price]]-Table5[[#This Row],[avg_comp_price]])/Table5[[#This Row],[avg_comp_price]]</f>
        <v>7.4981483510463462</v>
      </c>
      <c r="R191" s="11">
        <f>Table5[[#This Row],[Profit]]/Table5[[#This Row],[Revenue]]</f>
        <v>0.34782608695652173</v>
      </c>
    </row>
    <row r="192" spans="1:18" x14ac:dyDescent="0.2">
      <c r="A192" s="4">
        <v>191</v>
      </c>
      <c r="B192" s="4">
        <v>87</v>
      </c>
      <c r="C192" s="6">
        <v>45125</v>
      </c>
      <c r="D192" s="4">
        <v>28</v>
      </c>
      <c r="E192" s="4">
        <v>7</v>
      </c>
      <c r="F192" s="12">
        <f t="shared" si="2"/>
        <v>3807.5315999999998</v>
      </c>
      <c r="G192" t="str">
        <f>VLOOKUP(B192,product_tbl[],2,FALSE)</f>
        <v>Laptop 87</v>
      </c>
      <c r="H192" t="str">
        <f>VLOOKUP(B192,product_tbl[],3,FALSE)</f>
        <v>Electronics</v>
      </c>
      <c r="I192">
        <v>2456.4719999999998</v>
      </c>
      <c r="J192">
        <f>VLOOKUP(B192,product_tbl[],5,FALSE)</f>
        <v>4094.12</v>
      </c>
      <c r="K192">
        <f>VLOOKUP(B192,review_tbl[],3,FALSE)</f>
        <v>2</v>
      </c>
      <c r="L192" s="11">
        <v>4864.7093287218086</v>
      </c>
      <c r="M192" s="11">
        <f>AVERAGEIF(Table1[product_id],Master_tbl!B192:B1193,Table1[competitor_price])</f>
        <v>493.79250000000002</v>
      </c>
      <c r="N192" s="11">
        <f>IFERROR(Table5[[#This Row],[final_sale_price]]*Table5[[#This Row],[quantity_sold ]],0)</f>
        <v>106610.8848</v>
      </c>
      <c r="O192" s="11">
        <f>(Table5[[#This Row],[final_sale_price]]-Table5[[#This Row],[cost_price]])*Table5[[#This Row],[quantity_sold ]]</f>
        <v>37829.668799999999</v>
      </c>
      <c r="P192" s="11">
        <f>(Table5[final_sale_price]-Table5[[#This Row],[avg_comp_price]])</f>
        <v>3313.7390999999998</v>
      </c>
      <c r="Q192" s="15">
        <f>(Table5[[#This Row],[final_sale_price]]-Table5[[#This Row],[avg_comp_price]])/Table5[[#This Row],[avg_comp_price]]</f>
        <v>6.7107926912620171</v>
      </c>
      <c r="R192" s="11">
        <f>Table5[[#This Row],[Profit]]/Table5[[#This Row],[Revenue]]</f>
        <v>0.35483870967741937</v>
      </c>
    </row>
    <row r="193" spans="1:18" x14ac:dyDescent="0.2">
      <c r="A193" s="5">
        <v>192</v>
      </c>
      <c r="B193" s="5">
        <v>93</v>
      </c>
      <c r="C193" s="7">
        <v>45510</v>
      </c>
      <c r="D193" s="5">
        <v>26</v>
      </c>
      <c r="E193" s="4">
        <v>5</v>
      </c>
      <c r="F193" s="12">
        <f t="shared" si="2"/>
        <v>7279.441499999999</v>
      </c>
      <c r="G193" t="str">
        <f>VLOOKUP(B193,product_tbl[],2,FALSE)</f>
        <v>Cookbook 93</v>
      </c>
      <c r="H193" t="str">
        <f>VLOOKUP(B193,product_tbl[],3,FALSE)</f>
        <v>Books</v>
      </c>
      <c r="I193">
        <v>4597.5419999999995</v>
      </c>
      <c r="J193">
        <f>VLOOKUP(B193,product_tbl[],5,FALSE)</f>
        <v>7662.57</v>
      </c>
      <c r="K193">
        <f>VLOOKUP(B193,review_tbl[],3,FALSE)</f>
        <v>3</v>
      </c>
      <c r="L193" s="11">
        <v>8017.1975072652003</v>
      </c>
      <c r="M193" s="11">
        <f>AVERAGEIF(Table1[product_id],Master_tbl!B193:B1194,Table1[competitor_price])</f>
        <v>991.00333333333344</v>
      </c>
      <c r="N193" s="11">
        <f>IFERROR(Table5[[#This Row],[final_sale_price]]*Table5[[#This Row],[quantity_sold ]],0)</f>
        <v>189265.47899999996</v>
      </c>
      <c r="O193" s="11">
        <f>(Table5[[#This Row],[final_sale_price]]-Table5[[#This Row],[cost_price]])*Table5[[#This Row],[quantity_sold ]]</f>
        <v>69729.386999999988</v>
      </c>
      <c r="P193" s="11">
        <f>(Table5[final_sale_price]-Table5[[#This Row],[avg_comp_price]])</f>
        <v>6288.4381666666659</v>
      </c>
      <c r="Q193" s="15">
        <f>(Table5[[#This Row],[final_sale_price]]-Table5[[#This Row],[avg_comp_price]])/Table5[[#This Row],[avg_comp_price]]</f>
        <v>6.345526755712223</v>
      </c>
      <c r="R193" s="11">
        <f>Table5[[#This Row],[Profit]]/Table5[[#This Row],[Revenue]]</f>
        <v>0.36842105263157898</v>
      </c>
    </row>
    <row r="194" spans="1:18" x14ac:dyDescent="0.2">
      <c r="A194" s="4">
        <v>193</v>
      </c>
      <c r="B194" s="4">
        <v>70</v>
      </c>
      <c r="C194" s="6">
        <v>45212</v>
      </c>
      <c r="D194" s="4">
        <v>10</v>
      </c>
      <c r="E194" s="4">
        <v>10</v>
      </c>
      <c r="F194" s="12">
        <f t="shared" ref="F194:F257" si="3">J194*(1-E194/100)</f>
        <v>3626.7750000000001</v>
      </c>
      <c r="G194" t="str">
        <f>VLOOKUP(B194,product_tbl[],2,FALSE)</f>
        <v>Green Tea 70</v>
      </c>
      <c r="H194" t="str">
        <f>VLOOKUP(B194,product_tbl[],3,FALSE)</f>
        <v>Grocery</v>
      </c>
      <c r="I194">
        <v>2417.85</v>
      </c>
      <c r="J194">
        <f>VLOOKUP(B194,product_tbl[],5,FALSE)</f>
        <v>4029.75</v>
      </c>
      <c r="K194">
        <f>VLOOKUP(B194,review_tbl[],3,FALSE)</f>
        <v>1</v>
      </c>
      <c r="L194" s="11">
        <v>4735.3592454989966</v>
      </c>
      <c r="M194" s="11">
        <f>AVERAGEIF(Table1[product_id],Master_tbl!B194:B1195,Table1[competitor_price])</f>
        <v>2158.7083333333335</v>
      </c>
      <c r="N194" s="11">
        <f>IFERROR(Table5[[#This Row],[final_sale_price]]*Table5[[#This Row],[quantity_sold ]],0)</f>
        <v>36267.75</v>
      </c>
      <c r="O194" s="11">
        <f>(Table5[[#This Row],[final_sale_price]]-Table5[[#This Row],[cost_price]])*Table5[[#This Row],[quantity_sold ]]</f>
        <v>12089.250000000002</v>
      </c>
      <c r="P194" s="11">
        <f>(Table5[final_sale_price]-Table5[[#This Row],[avg_comp_price]])</f>
        <v>1468.0666666666666</v>
      </c>
      <c r="Q194" s="15">
        <f>(Table5[[#This Row],[final_sale_price]]-Table5[[#This Row],[avg_comp_price]])/Table5[[#This Row],[avg_comp_price]]</f>
        <v>0.68006716979675341</v>
      </c>
      <c r="R194" s="11">
        <f>Table5[[#This Row],[Profit]]/Table5[[#This Row],[Revenue]]</f>
        <v>0.33333333333333337</v>
      </c>
    </row>
    <row r="195" spans="1:18" x14ac:dyDescent="0.2">
      <c r="A195" s="5">
        <v>194</v>
      </c>
      <c r="B195" s="5">
        <v>109</v>
      </c>
      <c r="C195" s="7">
        <v>45283</v>
      </c>
      <c r="D195" s="5">
        <v>14</v>
      </c>
      <c r="E195" s="4">
        <v>7</v>
      </c>
      <c r="F195" s="12">
        <f t="shared" si="3"/>
        <v>2059.4756999999995</v>
      </c>
      <c r="G195" t="str">
        <f>VLOOKUP(B195,product_tbl[],2,FALSE)</f>
        <v>Fiction Novel 109</v>
      </c>
      <c r="H195" t="str">
        <f>VLOOKUP(B195,product_tbl[],3,FALSE)</f>
        <v>Books</v>
      </c>
      <c r="I195">
        <v>1328.6939999999997</v>
      </c>
      <c r="J195">
        <f>VLOOKUP(B195,product_tbl[],5,FALSE)</f>
        <v>2214.4899999999998</v>
      </c>
      <c r="K195">
        <f>VLOOKUP(B195,review_tbl[],3,FALSE)</f>
        <v>2</v>
      </c>
      <c r="L195" s="11">
        <v>2439.8238020674939</v>
      </c>
      <c r="M195" s="11">
        <f>AVERAGEIF(Table1[product_id],Master_tbl!B195:B1196,Table1[competitor_price])</f>
        <v>6555.1760000000013</v>
      </c>
      <c r="N195" s="11">
        <f>IFERROR(Table5[[#This Row],[final_sale_price]]*Table5[[#This Row],[quantity_sold ]],0)</f>
        <v>28832.659799999994</v>
      </c>
      <c r="O195" s="11">
        <f>(Table5[[#This Row],[final_sale_price]]-Table5[[#This Row],[cost_price]])*Table5[[#This Row],[quantity_sold ]]</f>
        <v>10230.943799999997</v>
      </c>
      <c r="P195" s="11">
        <f>(Table5[final_sale_price]-Table5[[#This Row],[avg_comp_price]])</f>
        <v>-4495.7003000000022</v>
      </c>
      <c r="Q195" s="15">
        <f>(Table5[[#This Row],[final_sale_price]]-Table5[[#This Row],[avg_comp_price]])/Table5[[#This Row],[avg_comp_price]]</f>
        <v>-0.68582449960153646</v>
      </c>
      <c r="R195" s="11">
        <f>Table5[[#This Row],[Profit]]/Table5[[#This Row],[Revenue]]</f>
        <v>0.35483870967741932</v>
      </c>
    </row>
    <row r="196" spans="1:18" x14ac:dyDescent="0.2">
      <c r="A196" s="4">
        <v>195</v>
      </c>
      <c r="B196" s="4">
        <v>104</v>
      </c>
      <c r="C196" s="6">
        <v>45658</v>
      </c>
      <c r="D196" s="4">
        <v>36</v>
      </c>
      <c r="E196" s="4">
        <v>5</v>
      </c>
      <c r="F196" s="12">
        <f t="shared" si="3"/>
        <v>3071.8724999999999</v>
      </c>
      <c r="G196" t="str">
        <f>VLOOKUP(B196,product_tbl[],2,FALSE)</f>
        <v>Children Story Book 104</v>
      </c>
      <c r="H196" t="str">
        <f>VLOOKUP(B196,product_tbl[],3,FALSE)</f>
        <v>Books</v>
      </c>
      <c r="I196">
        <v>1940.13</v>
      </c>
      <c r="J196">
        <f>VLOOKUP(B196,product_tbl[],5,FALSE)</f>
        <v>3233.55</v>
      </c>
      <c r="K196">
        <f>VLOOKUP(B196,review_tbl[],3,FALSE)</f>
        <v>1</v>
      </c>
      <c r="L196" s="11">
        <v>3811.3905818250541</v>
      </c>
      <c r="M196" s="11">
        <f>AVERAGEIF(Table1[product_id],Master_tbl!B196:B1197,Table1[competitor_price])</f>
        <v>5121.3466666666664</v>
      </c>
      <c r="N196" s="11">
        <f>IFERROR(Table5[[#This Row],[final_sale_price]]*Table5[[#This Row],[quantity_sold ]],0)</f>
        <v>110587.41</v>
      </c>
      <c r="O196" s="11">
        <f>(Table5[[#This Row],[final_sale_price]]-Table5[[#This Row],[cost_price]])*Table5[[#This Row],[quantity_sold ]]</f>
        <v>40742.729999999996</v>
      </c>
      <c r="P196" s="11">
        <f>(Table5[final_sale_price]-Table5[[#This Row],[avg_comp_price]])</f>
        <v>-2049.4741666666664</v>
      </c>
      <c r="Q196" s="15">
        <f>(Table5[[#This Row],[final_sale_price]]-Table5[[#This Row],[avg_comp_price]])/Table5[[#This Row],[avg_comp_price]]</f>
        <v>-0.40018266679857639</v>
      </c>
      <c r="R196" s="11">
        <f>Table5[[#This Row],[Profit]]/Table5[[#This Row],[Revenue]]</f>
        <v>0.36842105263157887</v>
      </c>
    </row>
    <row r="197" spans="1:18" x14ac:dyDescent="0.2">
      <c r="A197" s="5">
        <v>196</v>
      </c>
      <c r="B197" s="5">
        <v>20</v>
      </c>
      <c r="C197" s="7">
        <v>45522</v>
      </c>
      <c r="D197" s="5">
        <v>30</v>
      </c>
      <c r="E197" s="4">
        <v>2</v>
      </c>
      <c r="F197" s="12">
        <f t="shared" si="3"/>
        <v>2970.5563999999999</v>
      </c>
      <c r="G197" t="str">
        <f>VLOOKUP(B197,product_tbl[],2,FALSE)</f>
        <v>Green Tea 20</v>
      </c>
      <c r="H197" t="str">
        <f>VLOOKUP(B197,product_tbl[],3,FALSE)</f>
        <v>Grocery</v>
      </c>
      <c r="I197">
        <v>1818.7079999999999</v>
      </c>
      <c r="J197">
        <f>VLOOKUP(B197,product_tbl[],5,FALSE)</f>
        <v>3031.18</v>
      </c>
      <c r="K197">
        <f>VLOOKUP(B197,review_tbl[],3,FALSE)</f>
        <v>4</v>
      </c>
      <c r="L197" s="11">
        <v>3641.419665838921</v>
      </c>
      <c r="M197" s="11">
        <f>AVERAGEIF(Table1[product_id],Master_tbl!B197:B1198,Table1[competitor_price])</f>
        <v>4553.9966666666669</v>
      </c>
      <c r="N197" s="11">
        <f>IFERROR(Table5[[#This Row],[final_sale_price]]*Table5[[#This Row],[quantity_sold ]],0)</f>
        <v>89116.691999999995</v>
      </c>
      <c r="O197" s="11">
        <f>(Table5[[#This Row],[final_sale_price]]-Table5[[#This Row],[cost_price]])*Table5[[#This Row],[quantity_sold ]]</f>
        <v>34555.452000000005</v>
      </c>
      <c r="P197" s="11">
        <f>(Table5[final_sale_price]-Table5[[#This Row],[avg_comp_price]])</f>
        <v>-1583.440266666667</v>
      </c>
      <c r="Q197" s="15">
        <f>(Table5[[#This Row],[final_sale_price]]-Table5[[#This Row],[avg_comp_price]])/Table5[[#This Row],[avg_comp_price]]</f>
        <v>-0.3477034311985297</v>
      </c>
      <c r="R197" s="11">
        <f>Table5[[#This Row],[Profit]]/Table5[[#This Row],[Revenue]]</f>
        <v>0.38775510204081642</v>
      </c>
    </row>
    <row r="198" spans="1:18" x14ac:dyDescent="0.2">
      <c r="A198" s="4">
        <v>197</v>
      </c>
      <c r="B198" s="4">
        <v>25</v>
      </c>
      <c r="C198" s="6">
        <v>45793</v>
      </c>
      <c r="D198" s="4">
        <v>1</v>
      </c>
      <c r="E198" s="4">
        <v>10</v>
      </c>
      <c r="F198" s="12">
        <f t="shared" si="3"/>
        <v>511.35299999999995</v>
      </c>
      <c r="G198" t="str">
        <f>VLOOKUP(B198,product_tbl[],2,FALSE)</f>
        <v>Tennis Racket 25</v>
      </c>
      <c r="H198" t="str">
        <f>VLOOKUP(B198,product_tbl[],3,FALSE)</f>
        <v>Sports</v>
      </c>
      <c r="I198">
        <v>340.90199999999999</v>
      </c>
      <c r="J198">
        <f>VLOOKUP(B198,product_tbl[],5,FALSE)</f>
        <v>568.16999999999996</v>
      </c>
      <c r="K198">
        <f>VLOOKUP(B198,review_tbl[],3,FALSE)</f>
        <v>1</v>
      </c>
      <c r="L198" s="11">
        <v>632.18476736130333</v>
      </c>
      <c r="M198" s="11">
        <f>AVERAGEIF(Table1[product_id],Master_tbl!B198:B1199,Table1[competitor_price])</f>
        <v>2024.2300000000002</v>
      </c>
      <c r="N198" s="11">
        <f>IFERROR(Table5[[#This Row],[final_sale_price]]*Table5[[#This Row],[quantity_sold ]],0)</f>
        <v>511.35299999999995</v>
      </c>
      <c r="O198" s="11">
        <f>(Table5[[#This Row],[final_sale_price]]-Table5[[#This Row],[cost_price]])*Table5[[#This Row],[quantity_sold ]]</f>
        <v>170.45099999999996</v>
      </c>
      <c r="P198" s="11">
        <f>(Table5[final_sale_price]-Table5[[#This Row],[avg_comp_price]])</f>
        <v>-1512.8770000000004</v>
      </c>
      <c r="Q198" s="15">
        <f>(Table5[[#This Row],[final_sale_price]]-Table5[[#This Row],[avg_comp_price]])/Table5[[#This Row],[avg_comp_price]]</f>
        <v>-0.74738394352420434</v>
      </c>
      <c r="R198" s="11">
        <f>Table5[[#This Row],[Profit]]/Table5[[#This Row],[Revenue]]</f>
        <v>0.33333333333333331</v>
      </c>
    </row>
    <row r="199" spans="1:18" x14ac:dyDescent="0.2">
      <c r="A199" s="5">
        <v>198</v>
      </c>
      <c r="B199" s="5">
        <v>60</v>
      </c>
      <c r="C199" s="7">
        <v>45048</v>
      </c>
      <c r="D199" s="5">
        <v>34</v>
      </c>
      <c r="E199" s="4">
        <v>9</v>
      </c>
      <c r="F199" s="12">
        <f t="shared" si="3"/>
        <v>2523.0751</v>
      </c>
      <c r="G199" t="str">
        <f>VLOOKUP(B199,product_tbl[],2,FALSE)</f>
        <v>Biography 60</v>
      </c>
      <c r="H199" t="str">
        <f>VLOOKUP(B199,product_tbl[],3,FALSE)</f>
        <v>Books</v>
      </c>
      <c r="I199">
        <v>1663.566</v>
      </c>
      <c r="J199">
        <f>VLOOKUP(B199,product_tbl[],5,FALSE)</f>
        <v>2772.61</v>
      </c>
      <c r="K199">
        <f>VLOOKUP(B199,review_tbl[],3,FALSE)</f>
        <v>2</v>
      </c>
      <c r="L199" s="11">
        <v>3549.1361211709814</v>
      </c>
      <c r="M199" s="11">
        <f>AVERAGEIF(Table1[product_id],Master_tbl!B199:B1200,Table1[competitor_price])</f>
        <v>3047.7533333333336</v>
      </c>
      <c r="N199" s="11">
        <f>IFERROR(Table5[[#This Row],[final_sale_price]]*Table5[[#This Row],[quantity_sold ]],0)</f>
        <v>85784.553400000004</v>
      </c>
      <c r="O199" s="11">
        <f>(Table5[[#This Row],[final_sale_price]]-Table5[[#This Row],[cost_price]])*Table5[[#This Row],[quantity_sold ]]</f>
        <v>29223.309399999998</v>
      </c>
      <c r="P199" s="11">
        <f>(Table5[final_sale_price]-Table5[[#This Row],[avg_comp_price]])</f>
        <v>-524.67823333333354</v>
      </c>
      <c r="Q199" s="15">
        <f>(Table5[[#This Row],[final_sale_price]]-Table5[[#This Row],[avg_comp_price]])/Table5[[#This Row],[avg_comp_price]]</f>
        <v>-0.17215245984473815</v>
      </c>
      <c r="R199" s="11">
        <f>Table5[[#This Row],[Profit]]/Table5[[#This Row],[Revenue]]</f>
        <v>0.34065934065934061</v>
      </c>
    </row>
    <row r="200" spans="1:18" x14ac:dyDescent="0.2">
      <c r="A200" s="4">
        <v>199</v>
      </c>
      <c r="B200" s="4">
        <v>117</v>
      </c>
      <c r="C200" s="6">
        <v>45041</v>
      </c>
      <c r="D200" s="4">
        <v>15</v>
      </c>
      <c r="E200" s="4">
        <v>2</v>
      </c>
      <c r="F200" s="12">
        <f t="shared" si="3"/>
        <v>2084.6363999999999</v>
      </c>
      <c r="G200" t="str">
        <f>VLOOKUP(B200,product_tbl[],2,FALSE)</f>
        <v>Refrigerator 117</v>
      </c>
      <c r="H200" t="str">
        <f>VLOOKUP(B200,product_tbl[],3,FALSE)</f>
        <v>Home Appliances</v>
      </c>
      <c r="I200">
        <v>1276.3079999999998</v>
      </c>
      <c r="J200">
        <f>VLOOKUP(B200,product_tbl[],5,FALSE)</f>
        <v>2127.1799999999998</v>
      </c>
      <c r="K200">
        <f>VLOOKUP(B200,review_tbl[],3,FALSE)</f>
        <v>1</v>
      </c>
      <c r="L200" s="11">
        <v>2417.7867069884678</v>
      </c>
      <c r="M200" s="11">
        <f>AVERAGEIF(Table1[product_id],Master_tbl!B200:B1201,Table1[competitor_price])</f>
        <v>892.9766666666668</v>
      </c>
      <c r="N200" s="11">
        <f>IFERROR(Table5[[#This Row],[final_sale_price]]*Table5[[#This Row],[quantity_sold ]],0)</f>
        <v>31269.545999999998</v>
      </c>
      <c r="O200" s="11">
        <f>(Table5[[#This Row],[final_sale_price]]-Table5[[#This Row],[cost_price]])*Table5[[#This Row],[quantity_sold ]]</f>
        <v>12124.926000000001</v>
      </c>
      <c r="P200" s="11">
        <f>(Table5[final_sale_price]-Table5[[#This Row],[avg_comp_price]])</f>
        <v>1191.659733333333</v>
      </c>
      <c r="Q200" s="15">
        <f>(Table5[[#This Row],[final_sale_price]]-Table5[[#This Row],[avg_comp_price]])/Table5[[#This Row],[avg_comp_price]]</f>
        <v>1.3344802589093401</v>
      </c>
      <c r="R200" s="11">
        <f>Table5[[#This Row],[Profit]]/Table5[[#This Row],[Revenue]]</f>
        <v>0.38775510204081637</v>
      </c>
    </row>
    <row r="201" spans="1:18" x14ac:dyDescent="0.2">
      <c r="A201" s="5">
        <v>200</v>
      </c>
      <c r="B201" s="5">
        <v>89</v>
      </c>
      <c r="C201" s="7">
        <v>45415</v>
      </c>
      <c r="D201" s="5">
        <v>44</v>
      </c>
      <c r="E201" s="4">
        <v>10</v>
      </c>
      <c r="F201" s="12">
        <f t="shared" si="3"/>
        <v>907.53300000000002</v>
      </c>
      <c r="G201" t="str">
        <f>VLOOKUP(B201,product_tbl[],2,FALSE)</f>
        <v>Remote Car 89</v>
      </c>
      <c r="H201" t="str">
        <f>VLOOKUP(B201,product_tbl[],3,FALSE)</f>
        <v>Toys</v>
      </c>
      <c r="I201">
        <v>605.02199999999993</v>
      </c>
      <c r="J201">
        <f>VLOOKUP(B201,product_tbl[],5,FALSE)</f>
        <v>1008.37</v>
      </c>
      <c r="K201">
        <f>VLOOKUP(B201,review_tbl[],3,FALSE)</f>
        <v>4</v>
      </c>
      <c r="L201" s="11">
        <v>1274.3835263001329</v>
      </c>
      <c r="M201" s="11">
        <f>AVERAGEIF(Table1[product_id],Master_tbl!B201:B1202,Table1[competitor_price])</f>
        <v>913.02</v>
      </c>
      <c r="N201" s="11">
        <f>IFERROR(Table5[[#This Row],[final_sale_price]]*Table5[[#This Row],[quantity_sold ]],0)</f>
        <v>39931.451999999997</v>
      </c>
      <c r="O201" s="11">
        <f>(Table5[[#This Row],[final_sale_price]]-Table5[[#This Row],[cost_price]])*Table5[[#This Row],[quantity_sold ]]</f>
        <v>13310.484000000004</v>
      </c>
      <c r="P201" s="11">
        <f>(Table5[final_sale_price]-Table5[[#This Row],[avg_comp_price]])</f>
        <v>-5.4869999999999663</v>
      </c>
      <c r="Q201" s="15">
        <f>(Table5[[#This Row],[final_sale_price]]-Table5[[#This Row],[avg_comp_price]])/Table5[[#This Row],[avg_comp_price]]</f>
        <v>-6.0097259643819047E-3</v>
      </c>
      <c r="R201" s="11">
        <f>Table5[[#This Row],[Profit]]/Table5[[#This Row],[Revenue]]</f>
        <v>0.33333333333333348</v>
      </c>
    </row>
    <row r="202" spans="1:18" x14ac:dyDescent="0.2">
      <c r="A202" s="4">
        <v>201</v>
      </c>
      <c r="B202" s="4">
        <v>84</v>
      </c>
      <c r="C202" s="6">
        <v>45730</v>
      </c>
      <c r="D202" s="4">
        <v>39</v>
      </c>
      <c r="E202" s="4">
        <v>8</v>
      </c>
      <c r="F202" s="12">
        <f t="shared" si="3"/>
        <v>7139.3472000000002</v>
      </c>
      <c r="G202" t="str">
        <f>VLOOKUP(B202,product_tbl[],2,FALSE)</f>
        <v>Moisturizer 84</v>
      </c>
      <c r="H202" t="str">
        <f>VLOOKUP(B202,product_tbl[],3,FALSE)</f>
        <v>Beauty</v>
      </c>
      <c r="I202">
        <v>4656.0959999999995</v>
      </c>
      <c r="J202">
        <f>VLOOKUP(B202,product_tbl[],5,FALSE)</f>
        <v>7760.16</v>
      </c>
      <c r="K202">
        <f>VLOOKUP(B202,review_tbl[],3,FALSE)</f>
        <v>1</v>
      </c>
      <c r="L202" s="11">
        <v>8156.58974094312</v>
      </c>
      <c r="M202" s="11">
        <f>AVERAGEIF(Table1[product_id],Master_tbl!B202:B1203,Table1[competitor_price])</f>
        <v>2588.9250000000002</v>
      </c>
      <c r="N202" s="11">
        <f>IFERROR(Table5[[#This Row],[final_sale_price]]*Table5[[#This Row],[quantity_sold ]],0)</f>
        <v>278434.54080000002</v>
      </c>
      <c r="O202" s="11">
        <f>(Table5[[#This Row],[final_sale_price]]-Table5[[#This Row],[cost_price]])*Table5[[#This Row],[quantity_sold ]]</f>
        <v>96846.796800000026</v>
      </c>
      <c r="P202" s="11">
        <f>(Table5[final_sale_price]-Table5[[#This Row],[avg_comp_price]])</f>
        <v>4550.4222</v>
      </c>
      <c r="Q202" s="15">
        <f>(Table5[[#This Row],[final_sale_price]]-Table5[[#This Row],[avg_comp_price]])/Table5[[#This Row],[avg_comp_price]]</f>
        <v>1.7576492945913844</v>
      </c>
      <c r="R202" s="11">
        <f>Table5[[#This Row],[Profit]]/Table5[[#This Row],[Revenue]]</f>
        <v>0.34782608695652178</v>
      </c>
    </row>
    <row r="203" spans="1:18" x14ac:dyDescent="0.2">
      <c r="A203" s="5">
        <v>202</v>
      </c>
      <c r="B203" s="5">
        <v>131</v>
      </c>
      <c r="C203" s="7">
        <v>45928</v>
      </c>
      <c r="D203" s="5">
        <v>40</v>
      </c>
      <c r="E203" s="4">
        <v>4</v>
      </c>
      <c r="F203" s="12">
        <f t="shared" si="3"/>
        <v>5944.8768</v>
      </c>
      <c r="G203" t="str">
        <f>VLOOKUP(B203,product_tbl[],2,FALSE)</f>
        <v>Lipstick 131</v>
      </c>
      <c r="H203" t="str">
        <f>VLOOKUP(B203,product_tbl[],3,FALSE)</f>
        <v>Beauty</v>
      </c>
      <c r="I203">
        <v>3715.5479999999998</v>
      </c>
      <c r="J203">
        <f>VLOOKUP(B203,product_tbl[],5,FALSE)</f>
        <v>6192.58</v>
      </c>
      <c r="K203">
        <f>VLOOKUP(B203,review_tbl[],3,FALSE)</f>
        <v>3</v>
      </c>
      <c r="L203" s="11">
        <v>6727.5166410412485</v>
      </c>
      <c r="M203" s="11">
        <f>AVERAGEIF(Table1[product_id],Master_tbl!B203:B1204,Table1[competitor_price])</f>
        <v>1795.3133333333335</v>
      </c>
      <c r="N203" s="11">
        <f>IFERROR(Table5[[#This Row],[final_sale_price]]*Table5[[#This Row],[quantity_sold ]],0)</f>
        <v>237795.07199999999</v>
      </c>
      <c r="O203" s="11">
        <f>(Table5[[#This Row],[final_sale_price]]-Table5[[#This Row],[cost_price]])*Table5[[#This Row],[quantity_sold ]]</f>
        <v>89173.152000000002</v>
      </c>
      <c r="P203" s="11">
        <f>(Table5[final_sale_price]-Table5[[#This Row],[avg_comp_price]])</f>
        <v>4149.5634666666665</v>
      </c>
      <c r="Q203" s="15">
        <f>(Table5[[#This Row],[final_sale_price]]-Table5[[#This Row],[avg_comp_price]])/Table5[[#This Row],[avg_comp_price]]</f>
        <v>2.3113310582739501</v>
      </c>
      <c r="R203" s="11">
        <f>Table5[[#This Row],[Profit]]/Table5[[#This Row],[Revenue]]</f>
        <v>0.37500000000000006</v>
      </c>
    </row>
    <row r="204" spans="1:18" x14ac:dyDescent="0.2">
      <c r="A204" s="4">
        <v>203</v>
      </c>
      <c r="B204" s="4">
        <v>111</v>
      </c>
      <c r="C204" s="6">
        <v>45752</v>
      </c>
      <c r="D204" s="4">
        <v>48</v>
      </c>
      <c r="E204" s="4">
        <v>10</v>
      </c>
      <c r="F204" s="12">
        <f t="shared" si="3"/>
        <v>678.798</v>
      </c>
      <c r="G204" t="str">
        <f>VLOOKUP(B204,product_tbl[],2,FALSE)</f>
        <v>Perfume 111</v>
      </c>
      <c r="H204" t="str">
        <f>VLOOKUP(B204,product_tbl[],3,FALSE)</f>
        <v>Beauty</v>
      </c>
      <c r="I204">
        <v>452.53199999999998</v>
      </c>
      <c r="J204">
        <f>VLOOKUP(B204,product_tbl[],5,FALSE)</f>
        <v>754.22</v>
      </c>
      <c r="K204">
        <f>VLOOKUP(B204,review_tbl[],3,FALSE)</f>
        <v>3</v>
      </c>
      <c r="L204" s="11">
        <v>817.03055261921043</v>
      </c>
      <c r="M204" s="11">
        <f>AVERAGEIF(Table1[product_id],Master_tbl!B204:B1205,Table1[competitor_price])</f>
        <v>3824.0450000000001</v>
      </c>
      <c r="N204" s="11">
        <f>IFERROR(Table5[[#This Row],[final_sale_price]]*Table5[[#This Row],[quantity_sold ]],0)</f>
        <v>32582.304</v>
      </c>
      <c r="O204" s="11">
        <f>(Table5[[#This Row],[final_sale_price]]-Table5[[#This Row],[cost_price]])*Table5[[#This Row],[quantity_sold ]]</f>
        <v>10860.768</v>
      </c>
      <c r="P204" s="11">
        <f>(Table5[final_sale_price]-Table5[[#This Row],[avg_comp_price]])</f>
        <v>-3145.2470000000003</v>
      </c>
      <c r="Q204" s="15">
        <f>(Table5[[#This Row],[final_sale_price]]-Table5[[#This Row],[avg_comp_price]])/Table5[[#This Row],[avg_comp_price]]</f>
        <v>-0.82249215163524492</v>
      </c>
      <c r="R204" s="11">
        <f>Table5[[#This Row],[Profit]]/Table5[[#This Row],[Revenue]]</f>
        <v>0.33333333333333331</v>
      </c>
    </row>
    <row r="205" spans="1:18" x14ac:dyDescent="0.2">
      <c r="A205" s="5">
        <v>204</v>
      </c>
      <c r="B205" s="5">
        <v>70</v>
      </c>
      <c r="C205" s="7">
        <v>45027</v>
      </c>
      <c r="D205" s="5">
        <v>1</v>
      </c>
      <c r="E205" s="4">
        <v>4</v>
      </c>
      <c r="F205" s="12">
        <f t="shared" si="3"/>
        <v>3868.56</v>
      </c>
      <c r="G205" t="str">
        <f>VLOOKUP(B205,product_tbl[],2,FALSE)</f>
        <v>Green Tea 70</v>
      </c>
      <c r="H205" t="str">
        <f>VLOOKUP(B205,product_tbl[],3,FALSE)</f>
        <v>Grocery</v>
      </c>
      <c r="I205">
        <v>2417.85</v>
      </c>
      <c r="J205">
        <f>VLOOKUP(B205,product_tbl[],5,FALSE)</f>
        <v>4029.75</v>
      </c>
      <c r="K205">
        <f>VLOOKUP(B205,review_tbl[],3,FALSE)</f>
        <v>1</v>
      </c>
      <c r="L205" s="11">
        <v>4602.290163807701</v>
      </c>
      <c r="M205" s="11">
        <f>AVERAGEIF(Table1[product_id],Master_tbl!B205:B1206,Table1[competitor_price])</f>
        <v>2158.7083333333335</v>
      </c>
      <c r="N205" s="11">
        <f>IFERROR(Table5[[#This Row],[final_sale_price]]*Table5[[#This Row],[quantity_sold ]],0)</f>
        <v>3868.56</v>
      </c>
      <c r="O205" s="11">
        <f>(Table5[[#This Row],[final_sale_price]]-Table5[[#This Row],[cost_price]])*Table5[[#This Row],[quantity_sold ]]</f>
        <v>1450.71</v>
      </c>
      <c r="P205" s="11">
        <f>(Table5[final_sale_price]-Table5[[#This Row],[avg_comp_price]])</f>
        <v>1709.8516666666665</v>
      </c>
      <c r="Q205" s="15">
        <f>(Table5[[#This Row],[final_sale_price]]-Table5[[#This Row],[avg_comp_price]])/Table5[[#This Row],[avg_comp_price]]</f>
        <v>0.79207164778320349</v>
      </c>
      <c r="R205" s="11">
        <f>Table5[[#This Row],[Profit]]/Table5[[#This Row],[Revenue]]</f>
        <v>0.375</v>
      </c>
    </row>
    <row r="206" spans="1:18" x14ac:dyDescent="0.2">
      <c r="A206" s="4">
        <v>205</v>
      </c>
      <c r="B206" s="4">
        <v>130</v>
      </c>
      <c r="C206" s="6">
        <v>45524</v>
      </c>
      <c r="D206" s="4">
        <v>43</v>
      </c>
      <c r="E206" s="4">
        <v>3</v>
      </c>
      <c r="F206" s="12">
        <f t="shared" si="3"/>
        <v>3089.9252999999999</v>
      </c>
      <c r="G206" t="str">
        <f>VLOOKUP(B206,product_tbl[],2,FALSE)</f>
        <v>Gym Gloves 130</v>
      </c>
      <c r="H206" t="str">
        <f>VLOOKUP(B206,product_tbl[],3,FALSE)</f>
        <v>Sports</v>
      </c>
      <c r="I206">
        <v>1911.2939999999999</v>
      </c>
      <c r="J206">
        <f>VLOOKUP(B206,product_tbl[],5,FALSE)</f>
        <v>3185.49</v>
      </c>
      <c r="K206">
        <f>VLOOKUP(B206,review_tbl[],3,FALSE)</f>
        <v>5</v>
      </c>
      <c r="L206" s="11">
        <v>3502.3826967079076</v>
      </c>
      <c r="M206" s="11">
        <f>AVERAGEIF(Table1[product_id],Master_tbl!B206:B1207,Table1[competitor_price])</f>
        <v>3865.1374999999998</v>
      </c>
      <c r="N206" s="11">
        <f>IFERROR(Table5[[#This Row],[final_sale_price]]*Table5[[#This Row],[quantity_sold ]],0)</f>
        <v>132866.7879</v>
      </c>
      <c r="O206" s="11">
        <f>(Table5[[#This Row],[final_sale_price]]-Table5[[#This Row],[cost_price]])*Table5[[#This Row],[quantity_sold ]]</f>
        <v>50681.145900000003</v>
      </c>
      <c r="P206" s="11">
        <f>(Table5[final_sale_price]-Table5[[#This Row],[avg_comp_price]])</f>
        <v>-775.21219999999994</v>
      </c>
      <c r="Q206" s="15">
        <f>(Table5[[#This Row],[final_sale_price]]-Table5[[#This Row],[avg_comp_price]])/Table5[[#This Row],[avg_comp_price]]</f>
        <v>-0.20056523215538904</v>
      </c>
      <c r="R206" s="11">
        <f>Table5[[#This Row],[Profit]]/Table5[[#This Row],[Revenue]]</f>
        <v>0.3814432989690722</v>
      </c>
    </row>
    <row r="207" spans="1:18" x14ac:dyDescent="0.2">
      <c r="A207" s="5">
        <v>206</v>
      </c>
      <c r="B207" s="5">
        <v>47</v>
      </c>
      <c r="C207" s="7">
        <v>44956</v>
      </c>
      <c r="D207" s="5">
        <v>42</v>
      </c>
      <c r="E207" s="4">
        <v>4</v>
      </c>
      <c r="F207" s="12">
        <f t="shared" si="3"/>
        <v>3277.0367999999999</v>
      </c>
      <c r="G207" t="str">
        <f>VLOOKUP(B207,product_tbl[],2,FALSE)</f>
        <v>Cookbook 47</v>
      </c>
      <c r="H207" t="str">
        <f>VLOOKUP(B207,product_tbl[],3,FALSE)</f>
        <v>Books</v>
      </c>
      <c r="I207">
        <v>2048.1479999999997</v>
      </c>
      <c r="J207">
        <f>VLOOKUP(B207,product_tbl[],5,FALSE)</f>
        <v>3413.58</v>
      </c>
      <c r="K207">
        <f>VLOOKUP(B207,review_tbl[],3,FALSE)</f>
        <v>5</v>
      </c>
      <c r="L207" s="11">
        <v>4387.3890586410125</v>
      </c>
      <c r="M207" s="11">
        <f>AVERAGEIF(Table1[product_id],Master_tbl!B207:B1208,Table1[competitor_price])</f>
        <v>2051.0440000000003</v>
      </c>
      <c r="N207" s="11">
        <f>IFERROR(Table5[[#This Row],[final_sale_price]]*Table5[[#This Row],[quantity_sold ]],0)</f>
        <v>137635.54559999998</v>
      </c>
      <c r="O207" s="11">
        <f>(Table5[[#This Row],[final_sale_price]]-Table5[[#This Row],[cost_price]])*Table5[[#This Row],[quantity_sold ]]</f>
        <v>51613.329600000005</v>
      </c>
      <c r="P207" s="11">
        <f>(Table5[final_sale_price]-Table5[[#This Row],[avg_comp_price]])</f>
        <v>1225.9927999999995</v>
      </c>
      <c r="Q207" s="15">
        <f>(Table5[[#This Row],[final_sale_price]]-Table5[[#This Row],[avg_comp_price]])/Table5[[#This Row],[avg_comp_price]]</f>
        <v>0.5977408578265504</v>
      </c>
      <c r="R207" s="11">
        <f>Table5[[#This Row],[Profit]]/Table5[[#This Row],[Revenue]]</f>
        <v>0.37500000000000006</v>
      </c>
    </row>
    <row r="208" spans="1:18" x14ac:dyDescent="0.2">
      <c r="A208" s="4">
        <v>207</v>
      </c>
      <c r="B208" s="4">
        <v>29</v>
      </c>
      <c r="C208" s="6">
        <v>45942</v>
      </c>
      <c r="D208" s="4">
        <v>39</v>
      </c>
      <c r="E208" s="4">
        <v>3</v>
      </c>
      <c r="F208" s="12">
        <f t="shared" si="3"/>
        <v>7248.8099999999995</v>
      </c>
      <c r="G208" t="str">
        <f>VLOOKUP(B208,product_tbl[],2,FALSE)</f>
        <v>Smartwatch 29</v>
      </c>
      <c r="H208" t="str">
        <f>VLOOKUP(B208,product_tbl[],3,FALSE)</f>
        <v>Electronics</v>
      </c>
      <c r="I208">
        <v>4483.8</v>
      </c>
      <c r="J208">
        <f>VLOOKUP(B208,product_tbl[],5,FALSE)</f>
        <v>7473</v>
      </c>
      <c r="K208">
        <f>VLOOKUP(B208,review_tbl[],3,FALSE)</f>
        <v>2</v>
      </c>
      <c r="L208" s="11">
        <v>8457.8988700228074</v>
      </c>
      <c r="M208" s="11">
        <f>AVERAGEIF(Table1[product_id],Master_tbl!B208:B1209,Table1[competitor_price])</f>
        <v>1925.7060000000001</v>
      </c>
      <c r="N208" s="11">
        <f>IFERROR(Table5[[#This Row],[final_sale_price]]*Table5[[#This Row],[quantity_sold ]],0)</f>
        <v>282703.58999999997</v>
      </c>
      <c r="O208" s="11">
        <f>(Table5[[#This Row],[final_sale_price]]-Table5[[#This Row],[cost_price]])*Table5[[#This Row],[quantity_sold ]]</f>
        <v>107835.38999999997</v>
      </c>
      <c r="P208" s="11">
        <f>(Table5[final_sale_price]-Table5[[#This Row],[avg_comp_price]])</f>
        <v>5323.1039999999994</v>
      </c>
      <c r="Q208" s="15">
        <f>(Table5[[#This Row],[final_sale_price]]-Table5[[#This Row],[avg_comp_price]])/Table5[[#This Row],[avg_comp_price]]</f>
        <v>2.7642350389934909</v>
      </c>
      <c r="R208" s="11">
        <f>Table5[[#This Row],[Profit]]/Table5[[#This Row],[Revenue]]</f>
        <v>0.38144329896907209</v>
      </c>
    </row>
    <row r="209" spans="1:18" x14ac:dyDescent="0.2">
      <c r="A209" s="5">
        <v>208</v>
      </c>
      <c r="B209" s="5">
        <v>111</v>
      </c>
      <c r="C209" s="7">
        <v>45842</v>
      </c>
      <c r="D209" s="5">
        <v>35</v>
      </c>
      <c r="E209" s="4">
        <v>2</v>
      </c>
      <c r="F209" s="12">
        <f t="shared" si="3"/>
        <v>739.13560000000007</v>
      </c>
      <c r="G209" t="str">
        <f>VLOOKUP(B209,product_tbl[],2,FALSE)</f>
        <v>Perfume 111</v>
      </c>
      <c r="H209" t="str">
        <f>VLOOKUP(B209,product_tbl[],3,FALSE)</f>
        <v>Beauty</v>
      </c>
      <c r="I209">
        <v>452.53199999999998</v>
      </c>
      <c r="J209">
        <f>VLOOKUP(B209,product_tbl[],5,FALSE)</f>
        <v>754.22</v>
      </c>
      <c r="K209">
        <f>VLOOKUP(B209,review_tbl[],3,FALSE)</f>
        <v>3</v>
      </c>
      <c r="L209" s="11">
        <v>949.41623832347807</v>
      </c>
      <c r="M209" s="11">
        <f>AVERAGEIF(Table1[product_id],Master_tbl!B209:B1210,Table1[competitor_price])</f>
        <v>3824.0450000000001</v>
      </c>
      <c r="N209" s="11">
        <f>IFERROR(Table5[[#This Row],[final_sale_price]]*Table5[[#This Row],[quantity_sold ]],0)</f>
        <v>25869.746000000003</v>
      </c>
      <c r="O209" s="11">
        <f>(Table5[[#This Row],[final_sale_price]]-Table5[[#This Row],[cost_price]])*Table5[[#This Row],[quantity_sold ]]</f>
        <v>10031.126000000004</v>
      </c>
      <c r="P209" s="11">
        <f>(Table5[final_sale_price]-Table5[[#This Row],[avg_comp_price]])</f>
        <v>-3084.9094</v>
      </c>
      <c r="Q209" s="15">
        <f>(Table5[[#This Row],[final_sale_price]]-Table5[[#This Row],[avg_comp_price]])/Table5[[#This Row],[avg_comp_price]]</f>
        <v>-0.80671367622504442</v>
      </c>
      <c r="R209" s="11">
        <f>Table5[[#This Row],[Profit]]/Table5[[#This Row],[Revenue]]</f>
        <v>0.38775510204081642</v>
      </c>
    </row>
    <row r="210" spans="1:18" x14ac:dyDescent="0.2">
      <c r="A210" s="4">
        <v>209</v>
      </c>
      <c r="B210" s="4">
        <v>31</v>
      </c>
      <c r="C210" s="6">
        <v>45537</v>
      </c>
      <c r="D210" s="4">
        <v>35</v>
      </c>
      <c r="E210" s="4">
        <v>7</v>
      </c>
      <c r="F210" s="12">
        <f t="shared" si="3"/>
        <v>951.61319999999989</v>
      </c>
      <c r="G210" t="str">
        <f>VLOOKUP(B210,product_tbl[],2,FALSE)</f>
        <v>Bluetooth Speaker 31</v>
      </c>
      <c r="H210" t="str">
        <f>VLOOKUP(B210,product_tbl[],3,FALSE)</f>
        <v>Electronics</v>
      </c>
      <c r="I210">
        <v>613.94399999999996</v>
      </c>
      <c r="J210">
        <f>VLOOKUP(B210,product_tbl[],5,FALSE)</f>
        <v>1023.24</v>
      </c>
      <c r="K210">
        <f>VLOOKUP(B210,review_tbl[],3,FALSE)</f>
        <v>2</v>
      </c>
      <c r="L210" s="11">
        <v>1319.9739145070002</v>
      </c>
      <c r="M210" s="11">
        <f>AVERAGEIF(Table1[product_id],Master_tbl!B210:B1211,Table1[competitor_price])</f>
        <v>1065.8219999999999</v>
      </c>
      <c r="N210" s="11">
        <f>IFERROR(Table5[[#This Row],[final_sale_price]]*Table5[[#This Row],[quantity_sold ]],0)</f>
        <v>33306.462</v>
      </c>
      <c r="O210" s="11">
        <f>(Table5[[#This Row],[final_sale_price]]-Table5[[#This Row],[cost_price]])*Table5[[#This Row],[quantity_sold ]]</f>
        <v>11818.421999999997</v>
      </c>
      <c r="P210" s="11">
        <f>(Table5[final_sale_price]-Table5[[#This Row],[avg_comp_price]])</f>
        <v>-114.2088</v>
      </c>
      <c r="Q210" s="15">
        <f>(Table5[[#This Row],[final_sale_price]]-Table5[[#This Row],[avg_comp_price]])/Table5[[#This Row],[avg_comp_price]]</f>
        <v>-0.10715560384379381</v>
      </c>
      <c r="R210" s="11">
        <f>Table5[[#This Row],[Profit]]/Table5[[#This Row],[Revenue]]</f>
        <v>0.35483870967741926</v>
      </c>
    </row>
    <row r="211" spans="1:18" x14ac:dyDescent="0.2">
      <c r="A211" s="5">
        <v>210</v>
      </c>
      <c r="B211" s="5">
        <v>66</v>
      </c>
      <c r="C211" s="7">
        <v>45323</v>
      </c>
      <c r="D211" s="5">
        <v>24</v>
      </c>
      <c r="E211" s="4">
        <v>3</v>
      </c>
      <c r="F211" s="12">
        <f t="shared" si="3"/>
        <v>5650.2596999999996</v>
      </c>
      <c r="G211" t="str">
        <f>VLOOKUP(B211,product_tbl[],2,FALSE)</f>
        <v>Olive Oil 66</v>
      </c>
      <c r="H211" t="str">
        <f>VLOOKUP(B211,product_tbl[],3,FALSE)</f>
        <v>Grocery</v>
      </c>
      <c r="I211">
        <v>3495.0059999999999</v>
      </c>
      <c r="J211">
        <f>VLOOKUP(B211,product_tbl[],5,FALSE)</f>
        <v>5825.01</v>
      </c>
      <c r="K211">
        <f>VLOOKUP(B211,review_tbl[],3,FALSE)</f>
        <v>1</v>
      </c>
      <c r="L211" s="11">
        <v>7260.8187047906213</v>
      </c>
      <c r="M211" s="11">
        <f>AVERAGEIF(Table1[product_id],Master_tbl!B211:B1212,Table1[competitor_price])</f>
        <v>6051.7379999999994</v>
      </c>
      <c r="N211" s="11">
        <f>IFERROR(Table5[[#This Row],[final_sale_price]]*Table5[[#This Row],[quantity_sold ]],0)</f>
        <v>135606.2328</v>
      </c>
      <c r="O211" s="11">
        <f>(Table5[[#This Row],[final_sale_price]]-Table5[[#This Row],[cost_price]])*Table5[[#This Row],[quantity_sold ]]</f>
        <v>51726.088799999998</v>
      </c>
      <c r="P211" s="11">
        <f>(Table5[final_sale_price]-Table5[[#This Row],[avg_comp_price]])</f>
        <v>-401.47829999999976</v>
      </c>
      <c r="Q211" s="15">
        <f>(Table5[[#This Row],[final_sale_price]]-Table5[[#This Row],[avg_comp_price]])/Table5[[#This Row],[avg_comp_price]]</f>
        <v>-6.6340991629181528E-2</v>
      </c>
      <c r="R211" s="11">
        <f>Table5[[#This Row],[Profit]]/Table5[[#This Row],[Revenue]]</f>
        <v>0.38144329896907214</v>
      </c>
    </row>
    <row r="212" spans="1:18" x14ac:dyDescent="0.2">
      <c r="A212" s="4">
        <v>211</v>
      </c>
      <c r="B212" s="4">
        <v>28</v>
      </c>
      <c r="C212" s="6">
        <v>45130</v>
      </c>
      <c r="D212" s="4">
        <v>27</v>
      </c>
      <c r="E212" s="4">
        <v>8</v>
      </c>
      <c r="F212" s="12">
        <f t="shared" si="3"/>
        <v>5259.2903999999999</v>
      </c>
      <c r="G212" t="str">
        <f>VLOOKUP(B212,product_tbl[],2,FALSE)</f>
        <v>Water Purifier 28</v>
      </c>
      <c r="H212" t="str">
        <f>VLOOKUP(B212,product_tbl[],3,FALSE)</f>
        <v>Home Appliances</v>
      </c>
      <c r="I212">
        <v>3429.9719999999998</v>
      </c>
      <c r="J212">
        <f>VLOOKUP(B212,product_tbl[],5,FALSE)</f>
        <v>5716.62</v>
      </c>
      <c r="K212">
        <f>VLOOKUP(B212,review_tbl[],3,FALSE)</f>
        <v>5</v>
      </c>
      <c r="L212" s="11">
        <v>7312.2106326626144</v>
      </c>
      <c r="M212" s="11">
        <f>AVERAGEIF(Table1[product_id],Master_tbl!B212:B1213,Table1[competitor_price])</f>
        <v>3542.9559999999997</v>
      </c>
      <c r="N212" s="11">
        <f>IFERROR(Table5[[#This Row],[final_sale_price]]*Table5[[#This Row],[quantity_sold ]],0)</f>
        <v>142000.84080000001</v>
      </c>
      <c r="O212" s="11">
        <f>(Table5[[#This Row],[final_sale_price]]-Table5[[#This Row],[cost_price]])*Table5[[#This Row],[quantity_sold ]]</f>
        <v>49391.596799999999</v>
      </c>
      <c r="P212" s="11">
        <f>(Table5[final_sale_price]-Table5[[#This Row],[avg_comp_price]])</f>
        <v>1716.3344000000002</v>
      </c>
      <c r="Q212" s="15">
        <f>(Table5[[#This Row],[final_sale_price]]-Table5[[#This Row],[avg_comp_price]])/Table5[[#This Row],[avg_comp_price]]</f>
        <v>0.48443570848748907</v>
      </c>
      <c r="R212" s="11">
        <f>Table5[[#This Row],[Profit]]/Table5[[#This Row],[Revenue]]</f>
        <v>0.34782608695652173</v>
      </c>
    </row>
    <row r="213" spans="1:18" x14ac:dyDescent="0.2">
      <c r="A213" s="5">
        <v>212</v>
      </c>
      <c r="B213" s="5">
        <v>110</v>
      </c>
      <c r="C213" s="7">
        <v>45447</v>
      </c>
      <c r="D213" s="5">
        <v>11</v>
      </c>
      <c r="E213" s="4">
        <v>2</v>
      </c>
      <c r="F213" s="12">
        <f t="shared" si="3"/>
        <v>1523.1258</v>
      </c>
      <c r="G213" t="str">
        <f>VLOOKUP(B213,product_tbl[],2,FALSE)</f>
        <v>Cookbook 110</v>
      </c>
      <c r="H213" t="str">
        <f>VLOOKUP(B213,product_tbl[],3,FALSE)</f>
        <v>Books</v>
      </c>
      <c r="I213">
        <v>932.52599999999995</v>
      </c>
      <c r="J213">
        <f>VLOOKUP(B213,product_tbl[],5,FALSE)</f>
        <v>1554.21</v>
      </c>
      <c r="K213">
        <f>VLOOKUP(B213,review_tbl[],3,FALSE)</f>
        <v>3</v>
      </c>
      <c r="L213" s="11">
        <v>1585.5345701349747</v>
      </c>
      <c r="M213" s="11">
        <f>AVERAGEIF(Table1[product_id],Master_tbl!B213:B1214,Table1[competitor_price])</f>
        <v>764.66499999999996</v>
      </c>
      <c r="N213" s="11">
        <f>IFERROR(Table5[[#This Row],[final_sale_price]]*Table5[[#This Row],[quantity_sold ]],0)</f>
        <v>16754.3838</v>
      </c>
      <c r="O213" s="11">
        <f>(Table5[[#This Row],[final_sale_price]]-Table5[[#This Row],[cost_price]])*Table5[[#This Row],[quantity_sold ]]</f>
        <v>6496.5978000000005</v>
      </c>
      <c r="P213" s="11">
        <f>(Table5[final_sale_price]-Table5[[#This Row],[avg_comp_price]])</f>
        <v>758.46080000000006</v>
      </c>
      <c r="Q213" s="15">
        <f>(Table5[[#This Row],[final_sale_price]]-Table5[[#This Row],[avg_comp_price]])/Table5[[#This Row],[avg_comp_price]]</f>
        <v>0.99188638161809428</v>
      </c>
      <c r="R213" s="11">
        <f>Table5[[#This Row],[Profit]]/Table5[[#This Row],[Revenue]]</f>
        <v>0.38775510204081637</v>
      </c>
    </row>
    <row r="214" spans="1:18" x14ac:dyDescent="0.2">
      <c r="A214" s="4">
        <v>213</v>
      </c>
      <c r="B214" s="4">
        <v>145</v>
      </c>
      <c r="C214" s="6">
        <v>44933</v>
      </c>
      <c r="D214" s="4">
        <v>13</v>
      </c>
      <c r="E214" s="4">
        <v>10</v>
      </c>
      <c r="F214" s="12">
        <f t="shared" si="3"/>
        <v>5817.1950000000006</v>
      </c>
      <c r="G214" t="str">
        <f>VLOOKUP(B214,product_tbl[],2,FALSE)</f>
        <v>Self Help Book 145</v>
      </c>
      <c r="H214" t="str">
        <f>VLOOKUP(B214,product_tbl[],3,FALSE)</f>
        <v>Books</v>
      </c>
      <c r="I214">
        <v>3878.13</v>
      </c>
      <c r="J214">
        <f>VLOOKUP(B214,product_tbl[],5,FALSE)</f>
        <v>6463.55</v>
      </c>
      <c r="K214">
        <f>VLOOKUP(B214,review_tbl[],3,FALSE)</f>
        <v>5</v>
      </c>
      <c r="L214" s="11">
        <v>6613.3015621297427</v>
      </c>
      <c r="M214" s="11">
        <f>AVERAGEIF(Table1[product_id],Master_tbl!B214:B1215,Table1[competitor_price])</f>
        <v>699.73666666666668</v>
      </c>
      <c r="N214" s="11">
        <f>IFERROR(Table5[[#This Row],[final_sale_price]]*Table5[[#This Row],[quantity_sold ]],0)</f>
        <v>75623.535000000003</v>
      </c>
      <c r="O214" s="11">
        <f>(Table5[[#This Row],[final_sale_price]]-Table5[[#This Row],[cost_price]])*Table5[[#This Row],[quantity_sold ]]</f>
        <v>25207.845000000008</v>
      </c>
      <c r="P214" s="11">
        <f>(Table5[final_sale_price]-Table5[[#This Row],[avg_comp_price]])</f>
        <v>5117.4583333333339</v>
      </c>
      <c r="Q214" s="15">
        <f>(Table5[[#This Row],[final_sale_price]]-Table5[[#This Row],[avg_comp_price]])/Table5[[#This Row],[avg_comp_price]]</f>
        <v>7.3134059955888171</v>
      </c>
      <c r="R214" s="11">
        <f>Table5[[#This Row],[Profit]]/Table5[[#This Row],[Revenue]]</f>
        <v>0.33333333333333343</v>
      </c>
    </row>
    <row r="215" spans="1:18" x14ac:dyDescent="0.2">
      <c r="A215" s="5">
        <v>214</v>
      </c>
      <c r="B215" s="5">
        <v>5</v>
      </c>
      <c r="C215" s="7">
        <v>45527</v>
      </c>
      <c r="D215" s="5">
        <v>46</v>
      </c>
      <c r="E215" s="4">
        <v>10</v>
      </c>
      <c r="F215" s="12">
        <f t="shared" si="3"/>
        <v>747.22500000000002</v>
      </c>
      <c r="G215" t="str">
        <f>VLOOKUP(B215,product_tbl[],2,FALSE)</f>
        <v>Moisturizer 5</v>
      </c>
      <c r="H215" t="str">
        <f>VLOOKUP(B215,product_tbl[],3,FALSE)</f>
        <v>Beauty</v>
      </c>
      <c r="I215">
        <v>498.15</v>
      </c>
      <c r="J215">
        <f>VLOOKUP(B215,product_tbl[],5,FALSE)</f>
        <v>830.25</v>
      </c>
      <c r="K215">
        <f>VLOOKUP(B215,review_tbl[],3,FALSE)</f>
        <v>5</v>
      </c>
      <c r="L215" s="11">
        <v>927.46017291489659</v>
      </c>
      <c r="M215" s="11">
        <f>AVERAGEIF(Table1[product_id],Master_tbl!B215:B1216,Table1[competitor_price])</f>
        <v>7010.5333333333328</v>
      </c>
      <c r="N215" s="11">
        <f>IFERROR(Table5[[#This Row],[final_sale_price]]*Table5[[#This Row],[quantity_sold ]],0)</f>
        <v>34372.35</v>
      </c>
      <c r="O215" s="11">
        <f>(Table5[[#This Row],[final_sale_price]]-Table5[[#This Row],[cost_price]])*Table5[[#This Row],[quantity_sold ]]</f>
        <v>11457.450000000003</v>
      </c>
      <c r="P215" s="11">
        <f>(Table5[final_sale_price]-Table5[[#This Row],[avg_comp_price]])</f>
        <v>-6263.3083333333325</v>
      </c>
      <c r="Q215" s="15">
        <f>(Table5[[#This Row],[final_sale_price]]-Table5[[#This Row],[avg_comp_price]])/Table5[[#This Row],[avg_comp_price]]</f>
        <v>-0.89341395804408597</v>
      </c>
      <c r="R215" s="11">
        <f>Table5[[#This Row],[Profit]]/Table5[[#This Row],[Revenue]]</f>
        <v>0.33333333333333343</v>
      </c>
    </row>
    <row r="216" spans="1:18" x14ac:dyDescent="0.2">
      <c r="A216" s="4">
        <v>215</v>
      </c>
      <c r="B216" s="4">
        <v>33</v>
      </c>
      <c r="C216" s="6">
        <v>45104</v>
      </c>
      <c r="D216" s="4">
        <v>23</v>
      </c>
      <c r="E216" s="4">
        <v>8</v>
      </c>
      <c r="F216" s="12">
        <f t="shared" si="3"/>
        <v>4648.7507999999998</v>
      </c>
      <c r="G216" t="str">
        <f>VLOOKUP(B216,product_tbl[],2,FALSE)</f>
        <v>Washing Machine 33</v>
      </c>
      <c r="H216" t="str">
        <f>VLOOKUP(B216,product_tbl[],3,FALSE)</f>
        <v>Home Appliances</v>
      </c>
      <c r="I216">
        <v>3031.7939999999999</v>
      </c>
      <c r="J216">
        <f>VLOOKUP(B216,product_tbl[],5,FALSE)</f>
        <v>5052.99</v>
      </c>
      <c r="K216">
        <f>VLOOKUP(B216,review_tbl[],3,FALSE)</f>
        <v>3</v>
      </c>
      <c r="L216" s="11">
        <v>6236.090121995926</v>
      </c>
      <c r="M216" s="11">
        <f>AVERAGEIF(Table1[product_id],Master_tbl!B216:B1217,Table1[competitor_price])</f>
        <v>2776.7875000000004</v>
      </c>
      <c r="N216" s="11">
        <f>IFERROR(Table5[[#This Row],[final_sale_price]]*Table5[[#This Row],[quantity_sold ]],0)</f>
        <v>106921.2684</v>
      </c>
      <c r="O216" s="11">
        <f>(Table5[[#This Row],[final_sale_price]]-Table5[[#This Row],[cost_price]])*Table5[[#This Row],[quantity_sold ]]</f>
        <v>37190.006399999998</v>
      </c>
      <c r="P216" s="11">
        <f>(Table5[final_sale_price]-Table5[[#This Row],[avg_comp_price]])</f>
        <v>1871.9632999999994</v>
      </c>
      <c r="Q216" s="15">
        <f>(Table5[[#This Row],[final_sale_price]]-Table5[[#This Row],[avg_comp_price]])/Table5[[#This Row],[avg_comp_price]]</f>
        <v>0.67414712144879618</v>
      </c>
      <c r="R216" s="11">
        <f>Table5[[#This Row],[Profit]]/Table5[[#This Row],[Revenue]]</f>
        <v>0.34782608695652173</v>
      </c>
    </row>
    <row r="217" spans="1:18" x14ac:dyDescent="0.2">
      <c r="A217" s="5">
        <v>216</v>
      </c>
      <c r="B217" s="5">
        <v>22</v>
      </c>
      <c r="C217" s="7">
        <v>45102</v>
      </c>
      <c r="D217" s="5">
        <v>34</v>
      </c>
      <c r="E217" s="4">
        <v>8</v>
      </c>
      <c r="F217" s="12">
        <f t="shared" si="3"/>
        <v>1503.74</v>
      </c>
      <c r="G217" t="str">
        <f>VLOOKUP(B217,product_tbl[],2,FALSE)</f>
        <v>Dress 22</v>
      </c>
      <c r="H217" t="str">
        <f>VLOOKUP(B217,product_tbl[],3,FALSE)</f>
        <v>Fashion</v>
      </c>
      <c r="I217">
        <v>980.69999999999993</v>
      </c>
      <c r="J217">
        <f>VLOOKUP(B217,product_tbl[],5,FALSE)</f>
        <v>1634.5</v>
      </c>
      <c r="K217">
        <f>VLOOKUP(B217,review_tbl[],3,FALSE)</f>
        <v>1</v>
      </c>
      <c r="L217" s="11">
        <v>1782.1347637465376</v>
      </c>
      <c r="M217" s="11">
        <f>AVERAGEIF(Table1[product_id],Master_tbl!B217:B1218,Table1[competitor_price])</f>
        <v>3187.4450000000002</v>
      </c>
      <c r="N217" s="11">
        <f>IFERROR(Table5[[#This Row],[final_sale_price]]*Table5[[#This Row],[quantity_sold ]],0)</f>
        <v>51127.16</v>
      </c>
      <c r="O217" s="11">
        <f>(Table5[[#This Row],[final_sale_price]]-Table5[[#This Row],[cost_price]])*Table5[[#This Row],[quantity_sold ]]</f>
        <v>17783.360000000004</v>
      </c>
      <c r="P217" s="11">
        <f>(Table5[final_sale_price]-Table5[[#This Row],[avg_comp_price]])</f>
        <v>-1683.7050000000002</v>
      </c>
      <c r="Q217" s="15">
        <f>(Table5[[#This Row],[final_sale_price]]-Table5[[#This Row],[avg_comp_price]])/Table5[[#This Row],[avg_comp_price]]</f>
        <v>-0.52823029103247277</v>
      </c>
      <c r="R217" s="11">
        <f>Table5[[#This Row],[Profit]]/Table5[[#This Row],[Revenue]]</f>
        <v>0.34782608695652178</v>
      </c>
    </row>
    <row r="218" spans="1:18" x14ac:dyDescent="0.2">
      <c r="A218" s="4">
        <v>217</v>
      </c>
      <c r="B218" s="4">
        <v>36</v>
      </c>
      <c r="C218" s="6">
        <v>45634</v>
      </c>
      <c r="D218" s="4">
        <v>37</v>
      </c>
      <c r="E218" s="4">
        <v>3</v>
      </c>
      <c r="F218" s="12">
        <f t="shared" si="3"/>
        <v>142.97800000000001</v>
      </c>
      <c r="G218" t="str">
        <f>VLOOKUP(B218,product_tbl[],2,FALSE)</f>
        <v>Refrigerator 36</v>
      </c>
      <c r="H218" t="str">
        <f>VLOOKUP(B218,product_tbl[],3,FALSE)</f>
        <v>Home Appliances</v>
      </c>
      <c r="I218">
        <v>88.44</v>
      </c>
      <c r="J218">
        <f>VLOOKUP(B218,product_tbl[],5,FALSE)</f>
        <v>147.4</v>
      </c>
      <c r="K218">
        <f>VLOOKUP(B218,review_tbl[],3,FALSE)</f>
        <v>3</v>
      </c>
      <c r="L218" s="11">
        <v>174.54227215724484</v>
      </c>
      <c r="M218" s="11">
        <f>AVERAGEIF(Table1[product_id],Master_tbl!B218:B1219,Table1[competitor_price])</f>
        <v>2726.4116666666664</v>
      </c>
      <c r="N218" s="11">
        <f>IFERROR(Table5[[#This Row],[final_sale_price]]*Table5[[#This Row],[quantity_sold ]],0)</f>
        <v>5290.1860000000006</v>
      </c>
      <c r="O218" s="11">
        <f>(Table5[[#This Row],[final_sale_price]]-Table5[[#This Row],[cost_price]])*Table5[[#This Row],[quantity_sold ]]</f>
        <v>2017.9060000000004</v>
      </c>
      <c r="P218" s="11">
        <f>(Table5[final_sale_price]-Table5[[#This Row],[avg_comp_price]])</f>
        <v>-2583.4336666666663</v>
      </c>
      <c r="Q218" s="15">
        <f>(Table5[[#This Row],[final_sale_price]]-Table5[[#This Row],[avg_comp_price]])/Table5[[#This Row],[avg_comp_price]]</f>
        <v>-0.94755817628421235</v>
      </c>
      <c r="R218" s="11">
        <f>Table5[[#This Row],[Profit]]/Table5[[#This Row],[Revenue]]</f>
        <v>0.3814432989690722</v>
      </c>
    </row>
    <row r="219" spans="1:18" x14ac:dyDescent="0.2">
      <c r="A219" s="5">
        <v>218</v>
      </c>
      <c r="B219" s="5">
        <v>8</v>
      </c>
      <c r="C219" s="7">
        <v>45709</v>
      </c>
      <c r="D219" s="5">
        <v>13</v>
      </c>
      <c r="E219" s="4">
        <v>6</v>
      </c>
      <c r="F219" s="12">
        <f t="shared" si="3"/>
        <v>5305.3035999999993</v>
      </c>
      <c r="G219" t="str">
        <f>VLOOKUP(B219,product_tbl[],2,FALSE)</f>
        <v>Puzzle Set 8</v>
      </c>
      <c r="H219" t="str">
        <f>VLOOKUP(B219,product_tbl[],3,FALSE)</f>
        <v>Toys</v>
      </c>
      <c r="I219">
        <v>3386.3639999999996</v>
      </c>
      <c r="J219">
        <f>VLOOKUP(B219,product_tbl[],5,FALSE)</f>
        <v>5643.94</v>
      </c>
      <c r="K219">
        <f>VLOOKUP(B219,review_tbl[],3,FALSE)</f>
        <v>2</v>
      </c>
      <c r="L219" s="11">
        <v>5685.2141897654346</v>
      </c>
      <c r="M219" s="11">
        <f>AVERAGEIF(Table1[product_id],Master_tbl!B219:B1220,Table1[competitor_price])</f>
        <v>2853.6650000000004</v>
      </c>
      <c r="N219" s="11">
        <f>IFERROR(Table5[[#This Row],[final_sale_price]]*Table5[[#This Row],[quantity_sold ]],0)</f>
        <v>68968.946799999991</v>
      </c>
      <c r="O219" s="11">
        <f>(Table5[[#This Row],[final_sale_price]]-Table5[[#This Row],[cost_price]])*Table5[[#This Row],[quantity_sold ]]</f>
        <v>24946.214799999994</v>
      </c>
      <c r="P219" s="11">
        <f>(Table5[final_sale_price]-Table5[[#This Row],[avg_comp_price]])</f>
        <v>2451.6385999999989</v>
      </c>
      <c r="Q219" s="15">
        <f>(Table5[[#This Row],[final_sale_price]]-Table5[[#This Row],[avg_comp_price]])/Table5[[#This Row],[avg_comp_price]]</f>
        <v>0.85911927293497958</v>
      </c>
      <c r="R219" s="11">
        <f>Table5[[#This Row],[Profit]]/Table5[[#This Row],[Revenue]]</f>
        <v>0.36170212765957444</v>
      </c>
    </row>
    <row r="220" spans="1:18" x14ac:dyDescent="0.2">
      <c r="A220" s="4">
        <v>219</v>
      </c>
      <c r="B220" s="4">
        <v>28</v>
      </c>
      <c r="C220" s="6">
        <v>45146</v>
      </c>
      <c r="D220" s="4">
        <v>7</v>
      </c>
      <c r="E220" s="4">
        <v>5</v>
      </c>
      <c r="F220" s="12">
        <f t="shared" si="3"/>
        <v>5430.7889999999998</v>
      </c>
      <c r="G220" t="str">
        <f>VLOOKUP(B220,product_tbl[],2,FALSE)</f>
        <v>Water Purifier 28</v>
      </c>
      <c r="H220" t="str">
        <f>VLOOKUP(B220,product_tbl[],3,FALSE)</f>
        <v>Home Appliances</v>
      </c>
      <c r="I220">
        <v>3429.9719999999998</v>
      </c>
      <c r="J220">
        <f>VLOOKUP(B220,product_tbl[],5,FALSE)</f>
        <v>5716.62</v>
      </c>
      <c r="K220">
        <f>VLOOKUP(B220,review_tbl[],3,FALSE)</f>
        <v>5</v>
      </c>
      <c r="L220" s="11">
        <v>6388.3259563028532</v>
      </c>
      <c r="M220" s="11">
        <f>AVERAGEIF(Table1[product_id],Master_tbl!B220:B1221,Table1[competitor_price])</f>
        <v>3542.9559999999997</v>
      </c>
      <c r="N220" s="11">
        <f>IFERROR(Table5[[#This Row],[final_sale_price]]*Table5[[#This Row],[quantity_sold ]],0)</f>
        <v>38015.523000000001</v>
      </c>
      <c r="O220" s="11">
        <f>(Table5[[#This Row],[final_sale_price]]-Table5[[#This Row],[cost_price]])*Table5[[#This Row],[quantity_sold ]]</f>
        <v>14005.719000000001</v>
      </c>
      <c r="P220" s="11">
        <f>(Table5[final_sale_price]-Table5[[#This Row],[avg_comp_price]])</f>
        <v>1887.8330000000001</v>
      </c>
      <c r="Q220" s="15">
        <f>(Table5[[#This Row],[final_sale_price]]-Table5[[#This Row],[avg_comp_price]])/Table5[[#This Row],[avg_comp_price]]</f>
        <v>0.53284122072077678</v>
      </c>
      <c r="R220" s="11">
        <f>Table5[[#This Row],[Profit]]/Table5[[#This Row],[Revenue]]</f>
        <v>0.36842105263157898</v>
      </c>
    </row>
    <row r="221" spans="1:18" x14ac:dyDescent="0.2">
      <c r="A221" s="5">
        <v>220</v>
      </c>
      <c r="B221" s="5">
        <v>150</v>
      </c>
      <c r="C221" s="7">
        <v>44969</v>
      </c>
      <c r="D221" s="5">
        <v>16</v>
      </c>
      <c r="E221" s="4">
        <v>3</v>
      </c>
      <c r="F221" s="12">
        <f t="shared" si="3"/>
        <v>2221.0283999999997</v>
      </c>
      <c r="G221" t="str">
        <f>VLOOKUP(B221,product_tbl[],2,FALSE)</f>
        <v>Puzzle Set 150</v>
      </c>
      <c r="H221" t="str">
        <f>VLOOKUP(B221,product_tbl[],3,FALSE)</f>
        <v>Toys</v>
      </c>
      <c r="I221">
        <v>1373.8319999999999</v>
      </c>
      <c r="J221">
        <f>VLOOKUP(B221,product_tbl[],5,FALSE)</f>
        <v>2289.7199999999998</v>
      </c>
      <c r="K221">
        <f>VLOOKUP(B221,review_tbl[],3,FALSE)</f>
        <v>3</v>
      </c>
      <c r="L221" s="11">
        <v>2781.6113452899558</v>
      </c>
      <c r="M221" s="11">
        <f>AVERAGEIF(Table1[product_id],Master_tbl!B221:B1222,Table1[competitor_price])</f>
        <v>1810.3166666666666</v>
      </c>
      <c r="N221" s="11">
        <f>IFERROR(Table5[[#This Row],[final_sale_price]]*Table5[[#This Row],[quantity_sold ]],0)</f>
        <v>35536.454399999995</v>
      </c>
      <c r="O221" s="11">
        <f>(Table5[[#This Row],[final_sale_price]]-Table5[[#This Row],[cost_price]])*Table5[[#This Row],[quantity_sold ]]</f>
        <v>13555.142399999997</v>
      </c>
      <c r="P221" s="11">
        <f>(Table5[final_sale_price]-Table5[[#This Row],[avg_comp_price]])</f>
        <v>410.71173333333309</v>
      </c>
      <c r="Q221" s="15">
        <f>(Table5[[#This Row],[final_sale_price]]-Table5[[#This Row],[avg_comp_price]])/Table5[[#This Row],[avg_comp_price]]</f>
        <v>0.22687286754619346</v>
      </c>
      <c r="R221" s="11">
        <f>Table5[[#This Row],[Profit]]/Table5[[#This Row],[Revenue]]</f>
        <v>0.38144329896907214</v>
      </c>
    </row>
    <row r="222" spans="1:18" x14ac:dyDescent="0.2">
      <c r="A222" s="4">
        <v>221</v>
      </c>
      <c r="B222" s="4">
        <v>45</v>
      </c>
      <c r="C222" s="6">
        <v>45948</v>
      </c>
      <c r="D222" s="4">
        <v>37</v>
      </c>
      <c r="E222" s="4">
        <v>6</v>
      </c>
      <c r="F222" s="12">
        <f t="shared" si="3"/>
        <v>5006.8065999999999</v>
      </c>
      <c r="G222" t="str">
        <f>VLOOKUP(B222,product_tbl[],2,FALSE)</f>
        <v>Doll 45</v>
      </c>
      <c r="H222" t="str">
        <f>VLOOKUP(B222,product_tbl[],3,FALSE)</f>
        <v>Toys</v>
      </c>
      <c r="I222">
        <v>3195.8340000000003</v>
      </c>
      <c r="J222">
        <f>VLOOKUP(B222,product_tbl[],5,FALSE)</f>
        <v>5326.39</v>
      </c>
      <c r="K222">
        <f>VLOOKUP(B222,review_tbl[],3,FALSE)</f>
        <v>1</v>
      </c>
      <c r="L222" s="11">
        <v>5978.1563660073216</v>
      </c>
      <c r="M222" s="11">
        <f>AVERAGEIF(Table1[product_id],Master_tbl!B222:B1223,Table1[competitor_price])</f>
        <v>4436.1279999999997</v>
      </c>
      <c r="N222" s="11">
        <f>IFERROR(Table5[[#This Row],[final_sale_price]]*Table5[[#This Row],[quantity_sold ]],0)</f>
        <v>185251.84419999999</v>
      </c>
      <c r="O222" s="11">
        <f>(Table5[[#This Row],[final_sale_price]]-Table5[[#This Row],[cost_price]])*Table5[[#This Row],[quantity_sold ]]</f>
        <v>67005.986199999985</v>
      </c>
      <c r="P222" s="11">
        <f>(Table5[final_sale_price]-Table5[[#This Row],[avg_comp_price]])</f>
        <v>570.67860000000019</v>
      </c>
      <c r="Q222" s="15">
        <f>(Table5[[#This Row],[final_sale_price]]-Table5[[#This Row],[avg_comp_price]])/Table5[[#This Row],[avg_comp_price]]</f>
        <v>0.1286434025348232</v>
      </c>
      <c r="R222" s="11">
        <f>Table5[[#This Row],[Profit]]/Table5[[#This Row],[Revenue]]</f>
        <v>0.36170212765957438</v>
      </c>
    </row>
    <row r="223" spans="1:18" x14ac:dyDescent="0.2">
      <c r="A223" s="5">
        <v>222</v>
      </c>
      <c r="B223" s="5">
        <v>44</v>
      </c>
      <c r="C223" s="7">
        <v>45972</v>
      </c>
      <c r="D223" s="5">
        <v>6</v>
      </c>
      <c r="E223" s="4">
        <v>10</v>
      </c>
      <c r="F223" s="12">
        <f t="shared" si="3"/>
        <v>318.24</v>
      </c>
      <c r="G223" t="str">
        <f>VLOOKUP(B223,product_tbl[],2,FALSE)</f>
        <v>Coffee Beans 44</v>
      </c>
      <c r="H223" t="str">
        <f>VLOOKUP(B223,product_tbl[],3,FALSE)</f>
        <v>Grocery</v>
      </c>
      <c r="I223">
        <v>212.16</v>
      </c>
      <c r="J223">
        <f>VLOOKUP(B223,product_tbl[],5,FALSE)</f>
        <v>353.6</v>
      </c>
      <c r="K223">
        <f>VLOOKUP(B223,review_tbl[],3,FALSE)</f>
        <v>4</v>
      </c>
      <c r="L223" s="11">
        <v>386.7650873765557</v>
      </c>
      <c r="M223" s="11">
        <f>AVERAGEIF(Table1[product_id],Master_tbl!B223:B1224,Table1[competitor_price])</f>
        <v>4064.8233333333333</v>
      </c>
      <c r="N223" s="11">
        <f>IFERROR(Table5[[#This Row],[final_sale_price]]*Table5[[#This Row],[quantity_sold ]],0)</f>
        <v>1909.44</v>
      </c>
      <c r="O223" s="11">
        <f>(Table5[[#This Row],[final_sale_price]]-Table5[[#This Row],[cost_price]])*Table5[[#This Row],[quantity_sold ]]</f>
        <v>636.48</v>
      </c>
      <c r="P223" s="11">
        <f>(Table5[final_sale_price]-Table5[[#This Row],[avg_comp_price]])</f>
        <v>-3746.583333333333</v>
      </c>
      <c r="Q223" s="15">
        <f>(Table5[[#This Row],[final_sale_price]]-Table5[[#This Row],[avg_comp_price]])/Table5[[#This Row],[avg_comp_price]]</f>
        <v>-0.92170877455108746</v>
      </c>
      <c r="R223" s="11">
        <f>Table5[[#This Row],[Profit]]/Table5[[#This Row],[Revenue]]</f>
        <v>0.33333333333333331</v>
      </c>
    </row>
    <row r="224" spans="1:18" x14ac:dyDescent="0.2">
      <c r="A224" s="4">
        <v>223</v>
      </c>
      <c r="B224" s="4">
        <v>35</v>
      </c>
      <c r="C224" s="6">
        <v>45806</v>
      </c>
      <c r="D224" s="4">
        <v>46</v>
      </c>
      <c r="E224" s="4">
        <v>5</v>
      </c>
      <c r="F224" s="12">
        <f t="shared" si="3"/>
        <v>128.43049999999999</v>
      </c>
      <c r="G224" t="str">
        <f>VLOOKUP(B224,product_tbl[],2,FALSE)</f>
        <v>Sneakers 35</v>
      </c>
      <c r="H224" t="str">
        <f>VLOOKUP(B224,product_tbl[],3,FALSE)</f>
        <v>Fashion</v>
      </c>
      <c r="I224">
        <v>81.11399999999999</v>
      </c>
      <c r="J224">
        <f>VLOOKUP(B224,product_tbl[],5,FALSE)</f>
        <v>135.19</v>
      </c>
      <c r="K224">
        <f>VLOOKUP(B224,review_tbl[],3,FALSE)</f>
        <v>3</v>
      </c>
      <c r="L224" s="11">
        <v>138.43829863318425</v>
      </c>
      <c r="M224" s="11">
        <f>AVERAGEIF(Table1[product_id],Master_tbl!B224:B1225,Table1[competitor_price])</f>
        <v>2089.5899999999997</v>
      </c>
      <c r="N224" s="11">
        <f>IFERROR(Table5[[#This Row],[final_sale_price]]*Table5[[#This Row],[quantity_sold ]],0)</f>
        <v>5907.8029999999999</v>
      </c>
      <c r="O224" s="11">
        <f>(Table5[[#This Row],[final_sale_price]]-Table5[[#This Row],[cost_price]])*Table5[[#This Row],[quantity_sold ]]</f>
        <v>2176.5590000000002</v>
      </c>
      <c r="P224" s="11">
        <f>(Table5[final_sale_price]-Table5[[#This Row],[avg_comp_price]])</f>
        <v>-1961.1594999999998</v>
      </c>
      <c r="Q224" s="15">
        <f>(Table5[[#This Row],[final_sale_price]]-Table5[[#This Row],[avg_comp_price]])/Table5[[#This Row],[avg_comp_price]]</f>
        <v>-0.93853794285003278</v>
      </c>
      <c r="R224" s="11">
        <f>Table5[[#This Row],[Profit]]/Table5[[#This Row],[Revenue]]</f>
        <v>0.36842105263157898</v>
      </c>
    </row>
    <row r="225" spans="1:18" x14ac:dyDescent="0.2">
      <c r="A225" s="5">
        <v>224</v>
      </c>
      <c r="B225" s="5">
        <v>88</v>
      </c>
      <c r="C225" s="7">
        <v>45591</v>
      </c>
      <c r="D225" s="5">
        <v>16</v>
      </c>
      <c r="E225" s="4">
        <v>9</v>
      </c>
      <c r="F225" s="12">
        <f t="shared" si="3"/>
        <v>5675.0603000000001</v>
      </c>
      <c r="G225" t="str">
        <f>VLOOKUP(B225,product_tbl[],2,FALSE)</f>
        <v>Tablet 88</v>
      </c>
      <c r="H225" t="str">
        <f>VLOOKUP(B225,product_tbl[],3,FALSE)</f>
        <v>Electronics</v>
      </c>
      <c r="I225">
        <v>3741.7979999999998</v>
      </c>
      <c r="J225">
        <f>VLOOKUP(B225,product_tbl[],5,FALSE)</f>
        <v>6236.33</v>
      </c>
      <c r="K225">
        <f>VLOOKUP(B225,review_tbl[],3,FALSE)</f>
        <v>5</v>
      </c>
      <c r="L225" s="11">
        <v>6657.4033628446296</v>
      </c>
      <c r="M225" s="11">
        <f>AVERAGEIF(Table1[product_id],Master_tbl!B225:B1226,Table1[competitor_price])</f>
        <v>4981.5050000000001</v>
      </c>
      <c r="N225" s="11">
        <f>IFERROR(Table5[[#This Row],[final_sale_price]]*Table5[[#This Row],[quantity_sold ]],0)</f>
        <v>90800.964800000002</v>
      </c>
      <c r="O225" s="11">
        <f>(Table5[[#This Row],[final_sale_price]]-Table5[[#This Row],[cost_price]])*Table5[[#This Row],[quantity_sold ]]</f>
        <v>30932.196800000005</v>
      </c>
      <c r="P225" s="11">
        <f>(Table5[final_sale_price]-Table5[[#This Row],[avg_comp_price]])</f>
        <v>693.55529999999999</v>
      </c>
      <c r="Q225" s="15">
        <f>(Table5[[#This Row],[final_sale_price]]-Table5[[#This Row],[avg_comp_price]])/Table5[[#This Row],[avg_comp_price]]</f>
        <v>0.13922605718552927</v>
      </c>
      <c r="R225" s="11">
        <f>Table5[[#This Row],[Profit]]/Table5[[#This Row],[Revenue]]</f>
        <v>0.34065934065934073</v>
      </c>
    </row>
    <row r="226" spans="1:18" x14ac:dyDescent="0.2">
      <c r="A226" s="4">
        <v>225</v>
      </c>
      <c r="B226" s="4">
        <v>117</v>
      </c>
      <c r="C226" s="6">
        <v>45845</v>
      </c>
      <c r="D226" s="4">
        <v>10</v>
      </c>
      <c r="E226" s="4">
        <v>5</v>
      </c>
      <c r="F226" s="12">
        <f t="shared" si="3"/>
        <v>2020.8209999999997</v>
      </c>
      <c r="G226" t="str">
        <f>VLOOKUP(B226,product_tbl[],2,FALSE)</f>
        <v>Refrigerator 117</v>
      </c>
      <c r="H226" t="str">
        <f>VLOOKUP(B226,product_tbl[],3,FALSE)</f>
        <v>Home Appliances</v>
      </c>
      <c r="I226">
        <v>1276.3079999999998</v>
      </c>
      <c r="J226">
        <f>VLOOKUP(B226,product_tbl[],5,FALSE)</f>
        <v>2127.1799999999998</v>
      </c>
      <c r="K226">
        <f>VLOOKUP(B226,review_tbl[],3,FALSE)</f>
        <v>1</v>
      </c>
      <c r="L226" s="11">
        <v>2367.5350678820255</v>
      </c>
      <c r="M226" s="11">
        <f>AVERAGEIF(Table1[product_id],Master_tbl!B226:B1227,Table1[competitor_price])</f>
        <v>892.9766666666668</v>
      </c>
      <c r="N226" s="11">
        <f>IFERROR(Table5[[#This Row],[final_sale_price]]*Table5[[#This Row],[quantity_sold ]],0)</f>
        <v>20208.209999999995</v>
      </c>
      <c r="O226" s="11">
        <f>(Table5[[#This Row],[final_sale_price]]-Table5[[#This Row],[cost_price]])*Table5[[#This Row],[quantity_sold ]]</f>
        <v>7445.1299999999992</v>
      </c>
      <c r="P226" s="11">
        <f>(Table5[final_sale_price]-Table5[[#This Row],[avg_comp_price]])</f>
        <v>1127.844333333333</v>
      </c>
      <c r="Q226" s="15">
        <f>(Table5[[#This Row],[final_sale_price]]-Table5[[#This Row],[avg_comp_price]])/Table5[[#This Row],[avg_comp_price]]</f>
        <v>1.2630165775141562</v>
      </c>
      <c r="R226" s="11">
        <f>Table5[[#This Row],[Profit]]/Table5[[#This Row],[Revenue]]</f>
        <v>0.36842105263157898</v>
      </c>
    </row>
    <row r="227" spans="1:18" x14ac:dyDescent="0.2">
      <c r="A227" s="5">
        <v>226</v>
      </c>
      <c r="B227" s="5">
        <v>11</v>
      </c>
      <c r="C227" s="7">
        <v>45273</v>
      </c>
      <c r="D227" s="5">
        <v>21</v>
      </c>
      <c r="E227" s="4">
        <v>8</v>
      </c>
      <c r="F227" s="12">
        <f t="shared" si="3"/>
        <v>2944.1839999999997</v>
      </c>
      <c r="G227" t="str">
        <f>VLOOKUP(B227,product_tbl[],2,FALSE)</f>
        <v>Remote Car 11</v>
      </c>
      <c r="H227" t="str">
        <f>VLOOKUP(B227,product_tbl[],3,FALSE)</f>
        <v>Toys</v>
      </c>
      <c r="I227">
        <v>1920.12</v>
      </c>
      <c r="J227">
        <f>VLOOKUP(B227,product_tbl[],5,FALSE)</f>
        <v>3200.2</v>
      </c>
      <c r="K227">
        <f>VLOOKUP(B227,review_tbl[],3,FALSE)</f>
        <v>1</v>
      </c>
      <c r="L227" s="11">
        <v>3489.7583812907492</v>
      </c>
      <c r="M227" s="11">
        <f>AVERAGEIF(Table1[product_id],Master_tbl!B227:B1228,Table1[competitor_price])</f>
        <v>7089.33</v>
      </c>
      <c r="N227" s="11">
        <f>IFERROR(Table5[[#This Row],[final_sale_price]]*Table5[[#This Row],[quantity_sold ]],0)</f>
        <v>61827.863999999994</v>
      </c>
      <c r="O227" s="11">
        <f>(Table5[[#This Row],[final_sale_price]]-Table5[[#This Row],[cost_price]])*Table5[[#This Row],[quantity_sold ]]</f>
        <v>21505.343999999997</v>
      </c>
      <c r="P227" s="11">
        <f>(Table5[final_sale_price]-Table5[[#This Row],[avg_comp_price]])</f>
        <v>-4145.1460000000006</v>
      </c>
      <c r="Q227" s="15">
        <f>(Table5[[#This Row],[final_sale_price]]-Table5[[#This Row],[avg_comp_price]])/Table5[[#This Row],[avg_comp_price]]</f>
        <v>-0.58470208045047989</v>
      </c>
      <c r="R227" s="11">
        <f>Table5[[#This Row],[Profit]]/Table5[[#This Row],[Revenue]]</f>
        <v>0.34782608695652173</v>
      </c>
    </row>
    <row r="228" spans="1:18" x14ac:dyDescent="0.2">
      <c r="A228" s="4">
        <v>227</v>
      </c>
      <c r="B228" s="4">
        <v>133</v>
      </c>
      <c r="C228" s="6">
        <v>44968</v>
      </c>
      <c r="D228" s="4">
        <v>50</v>
      </c>
      <c r="E228" s="4">
        <v>4</v>
      </c>
      <c r="F228" s="12">
        <f t="shared" si="3"/>
        <v>6340.7039999999997</v>
      </c>
      <c r="G228" t="str">
        <f>VLOOKUP(B228,product_tbl[],2,FALSE)</f>
        <v>Puzzle Set 133</v>
      </c>
      <c r="H228" t="str">
        <f>VLOOKUP(B228,product_tbl[],3,FALSE)</f>
        <v>Toys</v>
      </c>
      <c r="I228">
        <v>3962.9399999999996</v>
      </c>
      <c r="J228">
        <f>VLOOKUP(B228,product_tbl[],5,FALSE)</f>
        <v>6604.9</v>
      </c>
      <c r="K228">
        <f>VLOOKUP(B228,review_tbl[],3,FALSE)</f>
        <v>4</v>
      </c>
      <c r="L228" s="11">
        <v>8195.4156699201612</v>
      </c>
      <c r="M228" s="11">
        <f>AVERAGEIF(Table1[product_id],Master_tbl!B228:B1229,Table1[competitor_price])</f>
        <v>4666.1933333333336</v>
      </c>
      <c r="N228" s="11">
        <f>IFERROR(Table5[[#This Row],[final_sale_price]]*Table5[[#This Row],[quantity_sold ]],0)</f>
        <v>317035.2</v>
      </c>
      <c r="O228" s="11">
        <f>(Table5[[#This Row],[final_sale_price]]-Table5[[#This Row],[cost_price]])*Table5[[#This Row],[quantity_sold ]]</f>
        <v>118888.20000000001</v>
      </c>
      <c r="P228" s="11">
        <f>(Table5[final_sale_price]-Table5[[#This Row],[avg_comp_price]])</f>
        <v>1674.5106666666661</v>
      </c>
      <c r="Q228" s="15">
        <f>(Table5[[#This Row],[final_sale_price]]-Table5[[#This Row],[avg_comp_price]])/Table5[[#This Row],[avg_comp_price]]</f>
        <v>0.3588601129543138</v>
      </c>
      <c r="R228" s="11">
        <f>Table5[[#This Row],[Profit]]/Table5[[#This Row],[Revenue]]</f>
        <v>0.375</v>
      </c>
    </row>
    <row r="229" spans="1:18" x14ac:dyDescent="0.2">
      <c r="A229" s="5">
        <v>228</v>
      </c>
      <c r="B229" s="5">
        <v>88</v>
      </c>
      <c r="C229" s="7">
        <v>45821</v>
      </c>
      <c r="D229" s="5">
        <v>14</v>
      </c>
      <c r="E229" s="4">
        <v>4</v>
      </c>
      <c r="F229" s="12">
        <f t="shared" si="3"/>
        <v>5986.8768</v>
      </c>
      <c r="G229" t="str">
        <f>VLOOKUP(B229,product_tbl[],2,FALSE)</f>
        <v>Tablet 88</v>
      </c>
      <c r="H229" t="str">
        <f>VLOOKUP(B229,product_tbl[],3,FALSE)</f>
        <v>Electronics</v>
      </c>
      <c r="I229">
        <v>3741.7979999999998</v>
      </c>
      <c r="J229">
        <f>VLOOKUP(B229,product_tbl[],5,FALSE)</f>
        <v>6236.33</v>
      </c>
      <c r="K229">
        <f>VLOOKUP(B229,review_tbl[],3,FALSE)</f>
        <v>5</v>
      </c>
      <c r="L229" s="11">
        <v>6630.6949661655135</v>
      </c>
      <c r="M229" s="11">
        <f>AVERAGEIF(Table1[product_id],Master_tbl!B229:B1230,Table1[competitor_price])</f>
        <v>4981.5050000000001</v>
      </c>
      <c r="N229" s="11">
        <f>IFERROR(Table5[[#This Row],[final_sale_price]]*Table5[[#This Row],[quantity_sold ]],0)</f>
        <v>83816.275200000004</v>
      </c>
      <c r="O229" s="11">
        <f>(Table5[[#This Row],[final_sale_price]]-Table5[[#This Row],[cost_price]])*Table5[[#This Row],[quantity_sold ]]</f>
        <v>31431.103200000005</v>
      </c>
      <c r="P229" s="11">
        <f>(Table5[final_sale_price]-Table5[[#This Row],[avg_comp_price]])</f>
        <v>1005.3717999999999</v>
      </c>
      <c r="Q229" s="15">
        <f>(Table5[[#This Row],[final_sale_price]]-Table5[[#This Row],[avg_comp_price]])/Table5[[#This Row],[avg_comp_price]]</f>
        <v>0.20182089549242646</v>
      </c>
      <c r="R229" s="11">
        <f>Table5[[#This Row],[Profit]]/Table5[[#This Row],[Revenue]]</f>
        <v>0.37500000000000006</v>
      </c>
    </row>
    <row r="230" spans="1:18" x14ac:dyDescent="0.2">
      <c r="A230" s="4">
        <v>229</v>
      </c>
      <c r="B230" s="4">
        <v>128</v>
      </c>
      <c r="C230" s="6">
        <v>45746</v>
      </c>
      <c r="D230" s="4">
        <v>21</v>
      </c>
      <c r="E230" s="4">
        <v>4</v>
      </c>
      <c r="F230" s="12">
        <f t="shared" si="3"/>
        <v>5052.0960000000005</v>
      </c>
      <c r="G230" t="str">
        <f>VLOOKUP(B230,product_tbl[],2,FALSE)</f>
        <v>Coffee Beans 128</v>
      </c>
      <c r="H230" t="str">
        <f>VLOOKUP(B230,product_tbl[],3,FALSE)</f>
        <v>Grocery</v>
      </c>
      <c r="I230">
        <v>3157.56</v>
      </c>
      <c r="J230">
        <f>VLOOKUP(B230,product_tbl[],5,FALSE)</f>
        <v>5262.6</v>
      </c>
      <c r="K230">
        <f>VLOOKUP(B230,review_tbl[],3,FALSE)</f>
        <v>4</v>
      </c>
      <c r="L230" s="11">
        <v>6742.4080691864337</v>
      </c>
      <c r="M230" s="11">
        <f>AVERAGEIF(Table1[product_id],Master_tbl!B230:B1231,Table1[competitor_price])</f>
        <v>1349.8883333333335</v>
      </c>
      <c r="N230" s="11">
        <f>IFERROR(Table5[[#This Row],[final_sale_price]]*Table5[[#This Row],[quantity_sold ]],0)</f>
        <v>106094.016</v>
      </c>
      <c r="O230" s="11">
        <f>(Table5[[#This Row],[final_sale_price]]-Table5[[#This Row],[cost_price]])*Table5[[#This Row],[quantity_sold ]]</f>
        <v>39785.256000000008</v>
      </c>
      <c r="P230" s="11">
        <f>(Table5[final_sale_price]-Table5[[#This Row],[avg_comp_price]])</f>
        <v>3702.2076666666671</v>
      </c>
      <c r="Q230" s="15">
        <f>(Table5[[#This Row],[final_sale_price]]-Table5[[#This Row],[avg_comp_price]])/Table5[[#This Row],[avg_comp_price]]</f>
        <v>2.7426029066601805</v>
      </c>
      <c r="R230" s="11">
        <f>Table5[[#This Row],[Profit]]/Table5[[#This Row],[Revenue]]</f>
        <v>0.37500000000000006</v>
      </c>
    </row>
    <row r="231" spans="1:18" x14ac:dyDescent="0.2">
      <c r="A231" s="5">
        <v>230</v>
      </c>
      <c r="B231" s="5">
        <v>103</v>
      </c>
      <c r="C231" s="7">
        <v>45291</v>
      </c>
      <c r="D231" s="5">
        <v>39</v>
      </c>
      <c r="E231" s="4">
        <v>6</v>
      </c>
      <c r="F231" s="12">
        <f t="shared" si="3"/>
        <v>6029.2069999999994</v>
      </c>
      <c r="G231" t="str">
        <f>VLOOKUP(B231,product_tbl[],2,FALSE)</f>
        <v>Remote Car 103</v>
      </c>
      <c r="H231" t="str">
        <f>VLOOKUP(B231,product_tbl[],3,FALSE)</f>
        <v>Toys</v>
      </c>
      <c r="I231">
        <v>3848.43</v>
      </c>
      <c r="J231">
        <f>VLOOKUP(B231,product_tbl[],5,FALSE)</f>
        <v>6414.05</v>
      </c>
      <c r="K231">
        <f>VLOOKUP(B231,review_tbl[],3,FALSE)</f>
        <v>4</v>
      </c>
      <c r="L231" s="11">
        <v>7756.2411495792057</v>
      </c>
      <c r="M231" s="11">
        <f>AVERAGEIF(Table1[product_id],Master_tbl!B231:B1232,Table1[competitor_price])</f>
        <v>6457.8324999999995</v>
      </c>
      <c r="N231" s="11">
        <f>IFERROR(Table5[[#This Row],[final_sale_price]]*Table5[[#This Row],[quantity_sold ]],0)</f>
        <v>235139.07299999997</v>
      </c>
      <c r="O231" s="11">
        <f>(Table5[[#This Row],[final_sale_price]]-Table5[[#This Row],[cost_price]])*Table5[[#This Row],[quantity_sold ]]</f>
        <v>85050.302999999985</v>
      </c>
      <c r="P231" s="11">
        <f>(Table5[final_sale_price]-Table5[[#This Row],[avg_comp_price]])</f>
        <v>-428.6255000000001</v>
      </c>
      <c r="Q231" s="15">
        <f>(Table5[[#This Row],[final_sale_price]]-Table5[[#This Row],[avg_comp_price]])/Table5[[#This Row],[avg_comp_price]]</f>
        <v>-6.6372966471335407E-2</v>
      </c>
      <c r="R231" s="11">
        <f>Table5[[#This Row],[Profit]]/Table5[[#This Row],[Revenue]]</f>
        <v>0.36170212765957444</v>
      </c>
    </row>
    <row r="232" spans="1:18" x14ac:dyDescent="0.2">
      <c r="A232" s="4">
        <v>231</v>
      </c>
      <c r="B232" s="4">
        <v>6</v>
      </c>
      <c r="C232" s="6">
        <v>45569</v>
      </c>
      <c r="D232" s="4">
        <v>26</v>
      </c>
      <c r="E232" s="4">
        <v>2</v>
      </c>
      <c r="F232" s="12">
        <f t="shared" si="3"/>
        <v>4042.6764000000003</v>
      </c>
      <c r="G232" t="str">
        <f>VLOOKUP(B232,product_tbl[],2,FALSE)</f>
        <v>Microwave 6</v>
      </c>
      <c r="H232" t="str">
        <f>VLOOKUP(B232,product_tbl[],3,FALSE)</f>
        <v>Home Appliances</v>
      </c>
      <c r="I232">
        <v>2475.1080000000002</v>
      </c>
      <c r="J232">
        <f>VLOOKUP(B232,product_tbl[],5,FALSE)</f>
        <v>4125.18</v>
      </c>
      <c r="K232">
        <f>VLOOKUP(B232,review_tbl[],3,FALSE)</f>
        <v>5</v>
      </c>
      <c r="L232" s="11">
        <v>4979.4843375024848</v>
      </c>
      <c r="M232" s="11">
        <f>AVERAGEIF(Table1[product_id],Master_tbl!B232:B1233,Table1[competitor_price])</f>
        <v>6862.0275000000001</v>
      </c>
      <c r="N232" s="11">
        <f>IFERROR(Table5[[#This Row],[final_sale_price]]*Table5[[#This Row],[quantity_sold ]],0)</f>
        <v>105109.5864</v>
      </c>
      <c r="O232" s="11">
        <f>(Table5[[#This Row],[final_sale_price]]-Table5[[#This Row],[cost_price]])*Table5[[#This Row],[quantity_sold ]]</f>
        <v>40756.778400000003</v>
      </c>
      <c r="P232" s="11">
        <f>(Table5[final_sale_price]-Table5[[#This Row],[avg_comp_price]])</f>
        <v>-2819.3510999999999</v>
      </c>
      <c r="Q232" s="15">
        <f>(Table5[[#This Row],[final_sale_price]]-Table5[[#This Row],[avg_comp_price]])/Table5[[#This Row],[avg_comp_price]]</f>
        <v>-0.41086269327833497</v>
      </c>
      <c r="R232" s="11">
        <f>Table5[[#This Row],[Profit]]/Table5[[#This Row],[Revenue]]</f>
        <v>0.38775510204081637</v>
      </c>
    </row>
    <row r="233" spans="1:18" x14ac:dyDescent="0.2">
      <c r="A233" s="5">
        <v>232</v>
      </c>
      <c r="B233" s="5">
        <v>78</v>
      </c>
      <c r="C233" s="7">
        <v>45875</v>
      </c>
      <c r="D233" s="5">
        <v>39</v>
      </c>
      <c r="E233" s="4">
        <v>8</v>
      </c>
      <c r="F233" s="12">
        <f t="shared" si="3"/>
        <v>796.48080000000004</v>
      </c>
      <c r="G233" t="str">
        <f>VLOOKUP(B233,product_tbl[],2,FALSE)</f>
        <v>Biography 78</v>
      </c>
      <c r="H233" t="str">
        <f>VLOOKUP(B233,product_tbl[],3,FALSE)</f>
        <v>Books</v>
      </c>
      <c r="I233">
        <v>519.44399999999996</v>
      </c>
      <c r="J233">
        <f>VLOOKUP(B233,product_tbl[],5,FALSE)</f>
        <v>865.74</v>
      </c>
      <c r="K233">
        <f>VLOOKUP(B233,review_tbl[],3,FALSE)</f>
        <v>4</v>
      </c>
      <c r="L233" s="11">
        <v>995.9389621815759</v>
      </c>
      <c r="M233" s="11">
        <f>AVERAGEIF(Table1[product_id],Master_tbl!B233:B1234,Table1[competitor_price])</f>
        <v>398.392</v>
      </c>
      <c r="N233" s="11">
        <f>IFERROR(Table5[[#This Row],[final_sale_price]]*Table5[[#This Row],[quantity_sold ]],0)</f>
        <v>31062.751200000002</v>
      </c>
      <c r="O233" s="11">
        <f>(Table5[[#This Row],[final_sale_price]]-Table5[[#This Row],[cost_price]])*Table5[[#This Row],[quantity_sold ]]</f>
        <v>10804.435200000004</v>
      </c>
      <c r="P233" s="11">
        <f>(Table5[final_sale_price]-Table5[[#This Row],[avg_comp_price]])</f>
        <v>398.08880000000005</v>
      </c>
      <c r="Q233" s="15">
        <f>(Table5[[#This Row],[final_sale_price]]-Table5[[#This Row],[avg_comp_price]])/Table5[[#This Row],[avg_comp_price]]</f>
        <v>0.99923894054097484</v>
      </c>
      <c r="R233" s="11">
        <f>Table5[[#This Row],[Profit]]/Table5[[#This Row],[Revenue]]</f>
        <v>0.34782608695652184</v>
      </c>
    </row>
    <row r="234" spans="1:18" x14ac:dyDescent="0.2">
      <c r="A234" s="4">
        <v>233</v>
      </c>
      <c r="B234" s="4">
        <v>21</v>
      </c>
      <c r="C234" s="6">
        <v>45808</v>
      </c>
      <c r="D234" s="4">
        <v>22</v>
      </c>
      <c r="E234" s="4">
        <v>10</v>
      </c>
      <c r="F234" s="12">
        <f t="shared" si="3"/>
        <v>2591.3700000000003</v>
      </c>
      <c r="G234" t="str">
        <f>VLOOKUP(B234,product_tbl[],2,FALSE)</f>
        <v>Water Purifier 21</v>
      </c>
      <c r="H234" t="str">
        <f>VLOOKUP(B234,product_tbl[],3,FALSE)</f>
        <v>Home Appliances</v>
      </c>
      <c r="I234">
        <v>1727.5800000000002</v>
      </c>
      <c r="J234">
        <f>VLOOKUP(B234,product_tbl[],5,FALSE)</f>
        <v>2879.3</v>
      </c>
      <c r="K234">
        <f>VLOOKUP(B234,review_tbl[],3,FALSE)</f>
        <v>3</v>
      </c>
      <c r="L234" s="11">
        <v>3351.8377680856115</v>
      </c>
      <c r="M234" s="11">
        <f>AVERAGEIF(Table1[product_id],Master_tbl!B234:B1235,Table1[competitor_price])</f>
        <v>4150.0079999999998</v>
      </c>
      <c r="N234" s="11">
        <f>IFERROR(Table5[[#This Row],[final_sale_price]]*Table5[[#This Row],[quantity_sold ]],0)</f>
        <v>57010.140000000007</v>
      </c>
      <c r="O234" s="11">
        <f>(Table5[[#This Row],[final_sale_price]]-Table5[[#This Row],[cost_price]])*Table5[[#This Row],[quantity_sold ]]</f>
        <v>19003.380000000005</v>
      </c>
      <c r="P234" s="11">
        <f>(Table5[final_sale_price]-Table5[[#This Row],[avg_comp_price]])</f>
        <v>-1558.6379999999995</v>
      </c>
      <c r="Q234" s="15">
        <f>(Table5[[#This Row],[final_sale_price]]-Table5[[#This Row],[avg_comp_price]])/Table5[[#This Row],[avg_comp_price]]</f>
        <v>-0.37557469768732965</v>
      </c>
      <c r="R234" s="11">
        <f>Table5[[#This Row],[Profit]]/Table5[[#This Row],[Revenue]]</f>
        <v>0.33333333333333337</v>
      </c>
    </row>
    <row r="235" spans="1:18" x14ac:dyDescent="0.2">
      <c r="A235" s="5">
        <v>234</v>
      </c>
      <c r="B235" s="5">
        <v>96</v>
      </c>
      <c r="C235" s="7">
        <v>45320</v>
      </c>
      <c r="D235" s="5">
        <v>37</v>
      </c>
      <c r="E235" s="4">
        <v>4</v>
      </c>
      <c r="F235" s="12">
        <f t="shared" si="3"/>
        <v>5169.0623999999998</v>
      </c>
      <c r="G235" t="str">
        <f>VLOOKUP(B235,product_tbl[],2,FALSE)</f>
        <v>Gym Gloves 96</v>
      </c>
      <c r="H235" t="str">
        <f>VLOOKUP(B235,product_tbl[],3,FALSE)</f>
        <v>Sports</v>
      </c>
      <c r="I235">
        <v>3230.6639999999998</v>
      </c>
      <c r="J235">
        <f>VLOOKUP(B235,product_tbl[],5,FALSE)</f>
        <v>5384.44</v>
      </c>
      <c r="K235">
        <f>VLOOKUP(B235,review_tbl[],3,FALSE)</f>
        <v>3</v>
      </c>
      <c r="L235" s="11">
        <v>5849.523262836261</v>
      </c>
      <c r="M235" s="11">
        <f>AVERAGEIF(Table1[product_id],Master_tbl!B235:B1236,Table1[competitor_price])</f>
        <v>3578.9180000000001</v>
      </c>
      <c r="N235" s="11">
        <f>IFERROR(Table5[[#This Row],[final_sale_price]]*Table5[[#This Row],[quantity_sold ]],0)</f>
        <v>191255.3088</v>
      </c>
      <c r="O235" s="11">
        <f>(Table5[[#This Row],[final_sale_price]]-Table5[[#This Row],[cost_price]])*Table5[[#This Row],[quantity_sold ]]</f>
        <v>71720.7408</v>
      </c>
      <c r="P235" s="11">
        <f>(Table5[final_sale_price]-Table5[[#This Row],[avg_comp_price]])</f>
        <v>1590.1443999999997</v>
      </c>
      <c r="Q235" s="15">
        <f>(Table5[[#This Row],[final_sale_price]]-Table5[[#This Row],[avg_comp_price]])/Table5[[#This Row],[avg_comp_price]]</f>
        <v>0.44430869888608782</v>
      </c>
      <c r="R235" s="11">
        <f>Table5[[#This Row],[Profit]]/Table5[[#This Row],[Revenue]]</f>
        <v>0.375</v>
      </c>
    </row>
    <row r="236" spans="1:18" x14ac:dyDescent="0.2">
      <c r="A236" s="4">
        <v>235</v>
      </c>
      <c r="B236" s="4">
        <v>68</v>
      </c>
      <c r="C236" s="6">
        <v>45980</v>
      </c>
      <c r="D236" s="4">
        <v>17</v>
      </c>
      <c r="E236" s="4">
        <v>3</v>
      </c>
      <c r="F236" s="12">
        <f t="shared" si="3"/>
        <v>5862.1852999999992</v>
      </c>
      <c r="G236" t="str">
        <f>VLOOKUP(B236,product_tbl[],2,FALSE)</f>
        <v>Lipstick 68</v>
      </c>
      <c r="H236" t="str">
        <f>VLOOKUP(B236,product_tbl[],3,FALSE)</f>
        <v>Beauty</v>
      </c>
      <c r="I236">
        <v>3626.0939999999996</v>
      </c>
      <c r="J236">
        <f>VLOOKUP(B236,product_tbl[],5,FALSE)</f>
        <v>6043.49</v>
      </c>
      <c r="K236">
        <f>VLOOKUP(B236,review_tbl[],3,FALSE)</f>
        <v>2</v>
      </c>
      <c r="L236" s="11">
        <v>6445.1162490784254</v>
      </c>
      <c r="M236" s="11">
        <f>AVERAGEIF(Table1[product_id],Master_tbl!B236:B1237,Table1[competitor_price])</f>
        <v>796.21333333333325</v>
      </c>
      <c r="N236" s="11">
        <f>IFERROR(Table5[[#This Row],[final_sale_price]]*Table5[[#This Row],[quantity_sold ]],0)</f>
        <v>99657.150099999984</v>
      </c>
      <c r="O236" s="11">
        <f>(Table5[[#This Row],[final_sale_price]]-Table5[[#This Row],[cost_price]])*Table5[[#This Row],[quantity_sold ]]</f>
        <v>38013.552099999994</v>
      </c>
      <c r="P236" s="11">
        <f>(Table5[final_sale_price]-Table5[[#This Row],[avg_comp_price]])</f>
        <v>5065.971966666666</v>
      </c>
      <c r="Q236" s="15">
        <f>(Table5[[#This Row],[final_sale_price]]-Table5[[#This Row],[avg_comp_price]])/Table5[[#This Row],[avg_comp_price]]</f>
        <v>6.3625811758992565</v>
      </c>
      <c r="R236" s="11">
        <f>Table5[[#This Row],[Profit]]/Table5[[#This Row],[Revenue]]</f>
        <v>0.38144329896907214</v>
      </c>
    </row>
    <row r="237" spans="1:18" x14ac:dyDescent="0.2">
      <c r="A237" s="5">
        <v>236</v>
      </c>
      <c r="B237" s="5">
        <v>56</v>
      </c>
      <c r="C237" s="7">
        <v>45944</v>
      </c>
      <c r="D237" s="5">
        <v>29</v>
      </c>
      <c r="E237" s="4">
        <v>9</v>
      </c>
      <c r="F237" s="12">
        <f t="shared" si="3"/>
        <v>7263.4380000000001</v>
      </c>
      <c r="G237" t="str">
        <f>VLOOKUP(B237,product_tbl[],2,FALSE)</f>
        <v>Smartwatch 56</v>
      </c>
      <c r="H237" t="str">
        <f>VLOOKUP(B237,product_tbl[],3,FALSE)</f>
        <v>Electronics</v>
      </c>
      <c r="I237">
        <v>4789.08</v>
      </c>
      <c r="J237">
        <f>VLOOKUP(B237,product_tbl[],5,FALSE)</f>
        <v>7981.8</v>
      </c>
      <c r="K237">
        <f>VLOOKUP(B237,review_tbl[],3,FALSE)</f>
        <v>5</v>
      </c>
      <c r="L237" s="11">
        <v>10035.02856932234</v>
      </c>
      <c r="M237" s="11">
        <f>AVERAGEIF(Table1[product_id],Master_tbl!B237:B1238,Table1[competitor_price])</f>
        <v>3458.9274999999998</v>
      </c>
      <c r="N237" s="11">
        <f>IFERROR(Table5[[#This Row],[final_sale_price]]*Table5[[#This Row],[quantity_sold ]],0)</f>
        <v>210639.70199999999</v>
      </c>
      <c r="O237" s="11">
        <f>(Table5[[#This Row],[final_sale_price]]-Table5[[#This Row],[cost_price]])*Table5[[#This Row],[quantity_sold ]]</f>
        <v>71756.382000000012</v>
      </c>
      <c r="P237" s="11">
        <f>(Table5[final_sale_price]-Table5[[#This Row],[avg_comp_price]])</f>
        <v>3804.5105000000003</v>
      </c>
      <c r="Q237" s="15">
        <f>(Table5[[#This Row],[final_sale_price]]-Table5[[#This Row],[avg_comp_price]])/Table5[[#This Row],[avg_comp_price]]</f>
        <v>1.0999104491204283</v>
      </c>
      <c r="R237" s="11">
        <f>Table5[[#This Row],[Profit]]/Table5[[#This Row],[Revenue]]</f>
        <v>0.34065934065934073</v>
      </c>
    </row>
    <row r="238" spans="1:18" x14ac:dyDescent="0.2">
      <c r="A238" s="4">
        <v>237</v>
      </c>
      <c r="B238" s="4">
        <v>7</v>
      </c>
      <c r="C238" s="6">
        <v>45676</v>
      </c>
      <c r="D238" s="4">
        <v>39</v>
      </c>
      <c r="E238" s="4">
        <v>8</v>
      </c>
      <c r="F238" s="12">
        <f t="shared" si="3"/>
        <v>7695.616</v>
      </c>
      <c r="G238" t="str">
        <f>VLOOKUP(B238,product_tbl[],2,FALSE)</f>
        <v>Handbag 7</v>
      </c>
      <c r="H238" t="str">
        <f>VLOOKUP(B238,product_tbl[],3,FALSE)</f>
        <v>Fashion</v>
      </c>
      <c r="I238">
        <v>5018.8799999999992</v>
      </c>
      <c r="J238">
        <f>VLOOKUP(B238,product_tbl[],5,FALSE)</f>
        <v>8364.7999999999993</v>
      </c>
      <c r="K238">
        <f>VLOOKUP(B238,review_tbl[],3,FALSE)</f>
        <v>1</v>
      </c>
      <c r="L238" s="11">
        <v>9598.3486763888923</v>
      </c>
      <c r="M238" s="11">
        <f>AVERAGEIF(Table1[product_id],Master_tbl!B238:B1239,Table1[competitor_price])</f>
        <v>1679.8333333333333</v>
      </c>
      <c r="N238" s="11">
        <f>IFERROR(Table5[[#This Row],[final_sale_price]]*Table5[[#This Row],[quantity_sold ]],0)</f>
        <v>300129.02399999998</v>
      </c>
      <c r="O238" s="11">
        <f>(Table5[[#This Row],[final_sale_price]]-Table5[[#This Row],[cost_price]])*Table5[[#This Row],[quantity_sold ]]</f>
        <v>104392.70400000003</v>
      </c>
      <c r="P238" s="11">
        <f>(Table5[final_sale_price]-Table5[[#This Row],[avg_comp_price]])</f>
        <v>6015.782666666667</v>
      </c>
      <c r="Q238" s="15">
        <f>(Table5[[#This Row],[final_sale_price]]-Table5[[#This Row],[avg_comp_price]])/Table5[[#This Row],[avg_comp_price]]</f>
        <v>3.5811782914971726</v>
      </c>
      <c r="R238" s="11">
        <f>Table5[[#This Row],[Profit]]/Table5[[#This Row],[Revenue]]</f>
        <v>0.34782608695652184</v>
      </c>
    </row>
    <row r="239" spans="1:18" x14ac:dyDescent="0.2">
      <c r="A239" s="5">
        <v>238</v>
      </c>
      <c r="B239" s="5">
        <v>23</v>
      </c>
      <c r="C239" s="7">
        <v>45027</v>
      </c>
      <c r="D239" s="5">
        <v>12</v>
      </c>
      <c r="E239" s="4">
        <v>8</v>
      </c>
      <c r="F239" s="12">
        <f t="shared" si="3"/>
        <v>3646.3280000000004</v>
      </c>
      <c r="G239" t="str">
        <f>VLOOKUP(B239,product_tbl[],2,FALSE)</f>
        <v>Bluetooth Speaker 23</v>
      </c>
      <c r="H239" t="str">
        <f>VLOOKUP(B239,product_tbl[],3,FALSE)</f>
        <v>Electronics</v>
      </c>
      <c r="I239">
        <v>2378.04</v>
      </c>
      <c r="J239">
        <f>VLOOKUP(B239,product_tbl[],5,FALSE)</f>
        <v>3963.4</v>
      </c>
      <c r="K239">
        <f>VLOOKUP(B239,review_tbl[],3,FALSE)</f>
        <v>5</v>
      </c>
      <c r="L239" s="11">
        <v>4768.4511936551789</v>
      </c>
      <c r="M239" s="11">
        <f>AVERAGEIF(Table1[product_id],Master_tbl!B239:B1240,Table1[competitor_price])</f>
        <v>5343.3279999999995</v>
      </c>
      <c r="N239" s="11">
        <f>IFERROR(Table5[[#This Row],[final_sale_price]]*Table5[[#This Row],[quantity_sold ]],0)</f>
        <v>43755.936000000002</v>
      </c>
      <c r="O239" s="11">
        <f>(Table5[[#This Row],[final_sale_price]]-Table5[[#This Row],[cost_price]])*Table5[[#This Row],[quantity_sold ]]</f>
        <v>15219.456000000006</v>
      </c>
      <c r="P239" s="11">
        <f>(Table5[final_sale_price]-Table5[[#This Row],[avg_comp_price]])</f>
        <v>-1696.9999999999991</v>
      </c>
      <c r="Q239" s="15">
        <f>(Table5[[#This Row],[final_sale_price]]-Table5[[#This Row],[avg_comp_price]])/Table5[[#This Row],[avg_comp_price]]</f>
        <v>-0.31759233196988829</v>
      </c>
      <c r="R239" s="11">
        <f>Table5[[#This Row],[Profit]]/Table5[[#This Row],[Revenue]]</f>
        <v>0.34782608695652184</v>
      </c>
    </row>
    <row r="240" spans="1:18" x14ac:dyDescent="0.2">
      <c r="A240" s="4">
        <v>239</v>
      </c>
      <c r="B240" s="4">
        <v>131</v>
      </c>
      <c r="C240" s="6">
        <v>45820</v>
      </c>
      <c r="D240" s="4">
        <v>19</v>
      </c>
      <c r="E240" s="4">
        <v>2</v>
      </c>
      <c r="F240" s="12">
        <f t="shared" si="3"/>
        <v>6068.7284</v>
      </c>
      <c r="G240" t="str">
        <f>VLOOKUP(B240,product_tbl[],2,FALSE)</f>
        <v>Lipstick 131</v>
      </c>
      <c r="H240" t="str">
        <f>VLOOKUP(B240,product_tbl[],3,FALSE)</f>
        <v>Beauty</v>
      </c>
      <c r="I240">
        <v>3715.5479999999998</v>
      </c>
      <c r="J240">
        <f>VLOOKUP(B240,product_tbl[],5,FALSE)</f>
        <v>6192.58</v>
      </c>
      <c r="K240">
        <f>VLOOKUP(B240,review_tbl[],3,FALSE)</f>
        <v>3</v>
      </c>
      <c r="L240" s="11">
        <v>7616.0834039747133</v>
      </c>
      <c r="M240" s="11">
        <f>AVERAGEIF(Table1[product_id],Master_tbl!B240:B1241,Table1[competitor_price])</f>
        <v>1795.3133333333335</v>
      </c>
      <c r="N240" s="11">
        <f>IFERROR(Table5[[#This Row],[final_sale_price]]*Table5[[#This Row],[quantity_sold ]],0)</f>
        <v>115305.83960000001</v>
      </c>
      <c r="O240" s="11">
        <f>(Table5[[#This Row],[final_sale_price]]-Table5[[#This Row],[cost_price]])*Table5[[#This Row],[quantity_sold ]]</f>
        <v>44710.427600000003</v>
      </c>
      <c r="P240" s="11">
        <f>(Table5[final_sale_price]-Table5[[#This Row],[avg_comp_price]])</f>
        <v>4273.4150666666665</v>
      </c>
      <c r="Q240" s="15">
        <f>(Table5[[#This Row],[final_sale_price]]-Table5[[#This Row],[avg_comp_price]])/Table5[[#This Row],[avg_comp_price]]</f>
        <v>2.3803171219879906</v>
      </c>
      <c r="R240" s="11">
        <f>Table5[[#This Row],[Profit]]/Table5[[#This Row],[Revenue]]</f>
        <v>0.38775510204081631</v>
      </c>
    </row>
    <row r="241" spans="1:18" x14ac:dyDescent="0.2">
      <c r="A241" s="5">
        <v>240</v>
      </c>
      <c r="B241" s="5">
        <v>8</v>
      </c>
      <c r="C241" s="7">
        <v>45819</v>
      </c>
      <c r="D241" s="5">
        <v>41</v>
      </c>
      <c r="E241" s="4">
        <v>6</v>
      </c>
      <c r="F241" s="12">
        <f t="shared" si="3"/>
        <v>5305.3035999999993</v>
      </c>
      <c r="G241" t="str">
        <f>VLOOKUP(B241,product_tbl[],2,FALSE)</f>
        <v>Puzzle Set 8</v>
      </c>
      <c r="H241" t="str">
        <f>VLOOKUP(B241,product_tbl[],3,FALSE)</f>
        <v>Toys</v>
      </c>
      <c r="I241">
        <v>3386.3639999999996</v>
      </c>
      <c r="J241">
        <f>VLOOKUP(B241,product_tbl[],5,FALSE)</f>
        <v>5643.94</v>
      </c>
      <c r="K241">
        <f>VLOOKUP(B241,review_tbl[],3,FALSE)</f>
        <v>2</v>
      </c>
      <c r="L241" s="11">
        <v>6659.4547452889592</v>
      </c>
      <c r="M241" s="11">
        <f>AVERAGEIF(Table1[product_id],Master_tbl!B241:B1242,Table1[competitor_price])</f>
        <v>2853.6650000000004</v>
      </c>
      <c r="N241" s="11">
        <f>IFERROR(Table5[[#This Row],[final_sale_price]]*Table5[[#This Row],[quantity_sold ]],0)</f>
        <v>217517.44759999996</v>
      </c>
      <c r="O241" s="11">
        <f>(Table5[[#This Row],[final_sale_price]]-Table5[[#This Row],[cost_price]])*Table5[[#This Row],[quantity_sold ]]</f>
        <v>78676.523599999986</v>
      </c>
      <c r="P241" s="11">
        <f>(Table5[final_sale_price]-Table5[[#This Row],[avg_comp_price]])</f>
        <v>2451.6385999999989</v>
      </c>
      <c r="Q241" s="15">
        <f>(Table5[[#This Row],[final_sale_price]]-Table5[[#This Row],[avg_comp_price]])/Table5[[#This Row],[avg_comp_price]]</f>
        <v>0.85911927293497958</v>
      </c>
      <c r="R241" s="11">
        <f>Table5[[#This Row],[Profit]]/Table5[[#This Row],[Revenue]]</f>
        <v>0.36170212765957449</v>
      </c>
    </row>
    <row r="242" spans="1:18" x14ac:dyDescent="0.2">
      <c r="A242" s="4">
        <v>241</v>
      </c>
      <c r="B242" s="4">
        <v>131</v>
      </c>
      <c r="C242" s="6">
        <v>45341</v>
      </c>
      <c r="D242" s="4">
        <v>12</v>
      </c>
      <c r="E242" s="4">
        <v>10</v>
      </c>
      <c r="F242" s="12">
        <f t="shared" si="3"/>
        <v>5573.3220000000001</v>
      </c>
      <c r="G242" t="str">
        <f>VLOOKUP(B242,product_tbl[],2,FALSE)</f>
        <v>Lipstick 131</v>
      </c>
      <c r="H242" t="str">
        <f>VLOOKUP(B242,product_tbl[],3,FALSE)</f>
        <v>Beauty</v>
      </c>
      <c r="I242">
        <v>3715.5479999999998</v>
      </c>
      <c r="J242">
        <f>VLOOKUP(B242,product_tbl[],5,FALSE)</f>
        <v>6192.58</v>
      </c>
      <c r="K242">
        <f>VLOOKUP(B242,review_tbl[],3,FALSE)</f>
        <v>3</v>
      </c>
      <c r="L242" s="11">
        <v>7532.2297424405788</v>
      </c>
      <c r="M242" s="11">
        <f>AVERAGEIF(Table1[product_id],Master_tbl!B242:B1243,Table1[competitor_price])</f>
        <v>1795.3133333333335</v>
      </c>
      <c r="N242" s="11">
        <f>IFERROR(Table5[[#This Row],[final_sale_price]]*Table5[[#This Row],[quantity_sold ]],0)</f>
        <v>66879.864000000001</v>
      </c>
      <c r="O242" s="11">
        <f>(Table5[[#This Row],[final_sale_price]]-Table5[[#This Row],[cost_price]])*Table5[[#This Row],[quantity_sold ]]</f>
        <v>22293.288000000004</v>
      </c>
      <c r="P242" s="11">
        <f>(Table5[final_sale_price]-Table5[[#This Row],[avg_comp_price]])</f>
        <v>3778.0086666666666</v>
      </c>
      <c r="Q242" s="15">
        <f>(Table5[[#This Row],[final_sale_price]]-Table5[[#This Row],[avg_comp_price]])/Table5[[#This Row],[avg_comp_price]]</f>
        <v>2.1043728671318283</v>
      </c>
      <c r="R242" s="11">
        <f>Table5[[#This Row],[Profit]]/Table5[[#This Row],[Revenue]]</f>
        <v>0.33333333333333337</v>
      </c>
    </row>
    <row r="243" spans="1:18" x14ac:dyDescent="0.2">
      <c r="A243" s="5">
        <v>242</v>
      </c>
      <c r="B243" s="5">
        <v>101</v>
      </c>
      <c r="C243" s="7">
        <v>45761</v>
      </c>
      <c r="D243" s="5">
        <v>28</v>
      </c>
      <c r="E243" s="4">
        <v>8</v>
      </c>
      <c r="F243" s="12">
        <f t="shared" si="3"/>
        <v>4342.6668</v>
      </c>
      <c r="G243" t="str">
        <f>VLOOKUP(B243,product_tbl[],2,FALSE)</f>
        <v>Jacket 101</v>
      </c>
      <c r="H243" t="str">
        <f>VLOOKUP(B243,product_tbl[],3,FALSE)</f>
        <v>Fashion</v>
      </c>
      <c r="I243">
        <v>2832.174</v>
      </c>
      <c r="J243">
        <f>VLOOKUP(B243,product_tbl[],5,FALSE)</f>
        <v>4720.29</v>
      </c>
      <c r="K243">
        <f>VLOOKUP(B243,review_tbl[],3,FALSE)</f>
        <v>2</v>
      </c>
      <c r="L243" s="11">
        <v>5928.0438624918979</v>
      </c>
      <c r="M243" s="11">
        <f>AVERAGEIF(Table1[product_id],Master_tbl!B243:B1244,Table1[competitor_price])</f>
        <v>6068.0179999999991</v>
      </c>
      <c r="N243" s="11">
        <f>IFERROR(Table5[[#This Row],[final_sale_price]]*Table5[[#This Row],[quantity_sold ]],0)</f>
        <v>121594.6704</v>
      </c>
      <c r="O243" s="11">
        <f>(Table5[[#This Row],[final_sale_price]]-Table5[[#This Row],[cost_price]])*Table5[[#This Row],[quantity_sold ]]</f>
        <v>42293.7984</v>
      </c>
      <c r="P243" s="11">
        <f>(Table5[final_sale_price]-Table5[[#This Row],[avg_comp_price]])</f>
        <v>-1725.3511999999992</v>
      </c>
      <c r="Q243" s="15">
        <f>(Table5[[#This Row],[final_sale_price]]-Table5[[#This Row],[avg_comp_price]])/Table5[[#This Row],[avg_comp_price]]</f>
        <v>-0.28433521456264621</v>
      </c>
      <c r="R243" s="11">
        <f>Table5[[#This Row],[Profit]]/Table5[[#This Row],[Revenue]]</f>
        <v>0.34782608695652173</v>
      </c>
    </row>
    <row r="244" spans="1:18" x14ac:dyDescent="0.2">
      <c r="A244" s="4">
        <v>243</v>
      </c>
      <c r="B244" s="4">
        <v>48</v>
      </c>
      <c r="C244" s="6">
        <v>45739</v>
      </c>
      <c r="D244" s="4">
        <v>43</v>
      </c>
      <c r="E244" s="4">
        <v>6</v>
      </c>
      <c r="F244" s="12">
        <f t="shared" si="3"/>
        <v>3466.9737999999998</v>
      </c>
      <c r="G244" t="str">
        <f>VLOOKUP(B244,product_tbl[],2,FALSE)</f>
        <v>Water Purifier 48</v>
      </c>
      <c r="H244" t="str">
        <f>VLOOKUP(B244,product_tbl[],3,FALSE)</f>
        <v>Home Appliances</v>
      </c>
      <c r="I244">
        <v>2212.962</v>
      </c>
      <c r="J244">
        <f>VLOOKUP(B244,product_tbl[],5,FALSE)</f>
        <v>3688.27</v>
      </c>
      <c r="K244">
        <f>VLOOKUP(B244,review_tbl[],3,FALSE)</f>
        <v>4</v>
      </c>
      <c r="L244" s="11">
        <v>4398.8241749768622</v>
      </c>
      <c r="M244" s="11">
        <f>AVERAGEIF(Table1[product_id],Master_tbl!B244:B1245,Table1[competitor_price])</f>
        <v>1050.3625000000002</v>
      </c>
      <c r="N244" s="11">
        <f>IFERROR(Table5[[#This Row],[final_sale_price]]*Table5[[#This Row],[quantity_sold ]],0)</f>
        <v>149079.87339999998</v>
      </c>
      <c r="O244" s="11">
        <f>(Table5[[#This Row],[final_sale_price]]-Table5[[#This Row],[cost_price]])*Table5[[#This Row],[quantity_sold ]]</f>
        <v>53922.507399999988</v>
      </c>
      <c r="P244" s="11">
        <f>(Table5[final_sale_price]-Table5[[#This Row],[avg_comp_price]])</f>
        <v>2416.6112999999996</v>
      </c>
      <c r="Q244" s="15">
        <f>(Table5[[#This Row],[final_sale_price]]-Table5[[#This Row],[avg_comp_price]])/Table5[[#This Row],[avg_comp_price]]</f>
        <v>2.3007402682407254</v>
      </c>
      <c r="R244" s="11">
        <f>Table5[[#This Row],[Profit]]/Table5[[#This Row],[Revenue]]</f>
        <v>0.36170212765957444</v>
      </c>
    </row>
    <row r="245" spans="1:18" x14ac:dyDescent="0.2">
      <c r="A245" s="5">
        <v>244</v>
      </c>
      <c r="B245" s="5">
        <v>43</v>
      </c>
      <c r="C245" s="7">
        <v>45955</v>
      </c>
      <c r="D245" s="5">
        <v>32</v>
      </c>
      <c r="E245" s="4">
        <v>6</v>
      </c>
      <c r="F245" s="12">
        <f t="shared" si="3"/>
        <v>3031.4811999999997</v>
      </c>
      <c r="G245" t="str">
        <f>VLOOKUP(B245,product_tbl[],2,FALSE)</f>
        <v>Jeans 43</v>
      </c>
      <c r="H245" t="str">
        <f>VLOOKUP(B245,product_tbl[],3,FALSE)</f>
        <v>Fashion</v>
      </c>
      <c r="I245">
        <v>1934.9879999999998</v>
      </c>
      <c r="J245">
        <f>VLOOKUP(B245,product_tbl[],5,FALSE)</f>
        <v>3224.98</v>
      </c>
      <c r="K245">
        <f>VLOOKUP(B245,review_tbl[],3,FALSE)</f>
        <v>2</v>
      </c>
      <c r="L245" s="11">
        <v>3606.5409780835362</v>
      </c>
      <c r="M245" s="11">
        <f>AVERAGEIF(Table1[product_id],Master_tbl!B245:B1246,Table1[competitor_price])</f>
        <v>445.53000000000003</v>
      </c>
      <c r="N245" s="11">
        <f>IFERROR(Table5[[#This Row],[final_sale_price]]*Table5[[#This Row],[quantity_sold ]],0)</f>
        <v>97007.398399999991</v>
      </c>
      <c r="O245" s="11">
        <f>(Table5[[#This Row],[final_sale_price]]-Table5[[#This Row],[cost_price]])*Table5[[#This Row],[quantity_sold ]]</f>
        <v>35087.782399999996</v>
      </c>
      <c r="P245" s="11">
        <f>(Table5[final_sale_price]-Table5[[#This Row],[avg_comp_price]])</f>
        <v>2585.9511999999995</v>
      </c>
      <c r="Q245" s="15">
        <f>(Table5[[#This Row],[final_sale_price]]-Table5[[#This Row],[avg_comp_price]])/Table5[[#This Row],[avg_comp_price]]</f>
        <v>5.8042134087491286</v>
      </c>
      <c r="R245" s="11">
        <f>Table5[[#This Row],[Profit]]/Table5[[#This Row],[Revenue]]</f>
        <v>0.36170212765957449</v>
      </c>
    </row>
    <row r="246" spans="1:18" x14ac:dyDescent="0.2">
      <c r="A246" s="4">
        <v>245</v>
      </c>
      <c r="B246" s="4">
        <v>141</v>
      </c>
      <c r="C246" s="6">
        <v>45626</v>
      </c>
      <c r="D246" s="4">
        <v>40</v>
      </c>
      <c r="E246" s="4">
        <v>3</v>
      </c>
      <c r="F246" s="12">
        <f t="shared" si="3"/>
        <v>7629.2342999999992</v>
      </c>
      <c r="G246" t="str">
        <f>VLOOKUP(B246,product_tbl[],2,FALSE)</f>
        <v>Puzzle Set 141</v>
      </c>
      <c r="H246" t="str">
        <f>VLOOKUP(B246,product_tbl[],3,FALSE)</f>
        <v>Toys</v>
      </c>
      <c r="I246">
        <v>4719.1139999999996</v>
      </c>
      <c r="J246">
        <f>VLOOKUP(B246,product_tbl[],5,FALSE)</f>
        <v>7865.19</v>
      </c>
      <c r="K246">
        <f>VLOOKUP(B246,review_tbl[],3,FALSE)</f>
        <v>5</v>
      </c>
      <c r="L246" s="11">
        <v>8383.0061378157243</v>
      </c>
      <c r="M246" s="11">
        <f>AVERAGEIF(Table1[product_id],Master_tbl!B246:B1247,Table1[competitor_price])</f>
        <v>7586.8133333333344</v>
      </c>
      <c r="N246" s="11">
        <f>IFERROR(Table5[[#This Row],[final_sale_price]]*Table5[[#This Row],[quantity_sold ]],0)</f>
        <v>305169.37199999997</v>
      </c>
      <c r="O246" s="11">
        <f>(Table5[[#This Row],[final_sale_price]]-Table5[[#This Row],[cost_price]])*Table5[[#This Row],[quantity_sold ]]</f>
        <v>116404.81199999998</v>
      </c>
      <c r="P246" s="11">
        <f>(Table5[final_sale_price]-Table5[[#This Row],[avg_comp_price]])</f>
        <v>42.420966666664754</v>
      </c>
      <c r="Q246" s="15">
        <f>(Table5[[#This Row],[final_sale_price]]-Table5[[#This Row],[avg_comp_price]])/Table5[[#This Row],[avg_comp_price]]</f>
        <v>5.5914077232247818E-3</v>
      </c>
      <c r="R246" s="11">
        <f>Table5[[#This Row],[Profit]]/Table5[[#This Row],[Revenue]]</f>
        <v>0.38144329896907214</v>
      </c>
    </row>
    <row r="247" spans="1:18" x14ac:dyDescent="0.2">
      <c r="A247" s="5">
        <v>246</v>
      </c>
      <c r="B247" s="5">
        <v>106</v>
      </c>
      <c r="C247" s="7">
        <v>45226</v>
      </c>
      <c r="D247" s="5">
        <v>7</v>
      </c>
      <c r="E247" s="4">
        <v>7</v>
      </c>
      <c r="F247" s="12">
        <f t="shared" si="3"/>
        <v>1333.6478999999999</v>
      </c>
      <c r="G247" t="str">
        <f>VLOOKUP(B247,product_tbl[],2,FALSE)</f>
        <v>Doll 106</v>
      </c>
      <c r="H247" t="str">
        <f>VLOOKUP(B247,product_tbl[],3,FALSE)</f>
        <v>Toys</v>
      </c>
      <c r="I247">
        <v>860.41800000000001</v>
      </c>
      <c r="J247">
        <f>VLOOKUP(B247,product_tbl[],5,FALSE)</f>
        <v>1434.03</v>
      </c>
      <c r="K247">
        <f>VLOOKUP(B247,review_tbl[],3,FALSE)</f>
        <v>2</v>
      </c>
      <c r="L247" s="11">
        <v>1724.3612793567027</v>
      </c>
      <c r="M247" s="11">
        <f>AVERAGEIF(Table1[product_id],Master_tbl!B247:B1248,Table1[competitor_price])</f>
        <v>695.38400000000001</v>
      </c>
      <c r="N247" s="11">
        <f>IFERROR(Table5[[#This Row],[final_sale_price]]*Table5[[#This Row],[quantity_sold ]],0)</f>
        <v>9335.5352999999996</v>
      </c>
      <c r="O247" s="11">
        <f>(Table5[[#This Row],[final_sale_price]]-Table5[[#This Row],[cost_price]])*Table5[[#This Row],[quantity_sold ]]</f>
        <v>3312.6092999999996</v>
      </c>
      <c r="P247" s="11">
        <f>(Table5[final_sale_price]-Table5[[#This Row],[avg_comp_price]])</f>
        <v>638.26389999999992</v>
      </c>
      <c r="Q247" s="15">
        <f>(Table5[[#This Row],[final_sale_price]]-Table5[[#This Row],[avg_comp_price]])/Table5[[#This Row],[avg_comp_price]]</f>
        <v>0.91785819058246942</v>
      </c>
      <c r="R247" s="11">
        <f>Table5[[#This Row],[Profit]]/Table5[[#This Row],[Revenue]]</f>
        <v>0.35483870967741932</v>
      </c>
    </row>
    <row r="248" spans="1:18" x14ac:dyDescent="0.2">
      <c r="A248" s="4">
        <v>247</v>
      </c>
      <c r="B248" s="4">
        <v>58</v>
      </c>
      <c r="C248" s="6">
        <v>45151</v>
      </c>
      <c r="D248" s="4">
        <v>27</v>
      </c>
      <c r="E248" s="4">
        <v>8</v>
      </c>
      <c r="F248" s="12">
        <f t="shared" si="3"/>
        <v>1047.4936</v>
      </c>
      <c r="G248" t="str">
        <f>VLOOKUP(B248,product_tbl[],2,FALSE)</f>
        <v>Wheat Flour 58</v>
      </c>
      <c r="H248" t="str">
        <f>VLOOKUP(B248,product_tbl[],3,FALSE)</f>
        <v>Grocery</v>
      </c>
      <c r="I248">
        <v>683.14799999999991</v>
      </c>
      <c r="J248">
        <f>VLOOKUP(B248,product_tbl[],5,FALSE)</f>
        <v>1138.58</v>
      </c>
      <c r="K248">
        <f>VLOOKUP(B248,review_tbl[],3,FALSE)</f>
        <v>2</v>
      </c>
      <c r="L248" s="11">
        <v>1467.6313532475879</v>
      </c>
      <c r="M248" s="11">
        <f>AVERAGEIF(Table1[product_id],Master_tbl!B248:B1249,Table1[competitor_price])</f>
        <v>1439.8525</v>
      </c>
      <c r="N248" s="11">
        <f>IFERROR(Table5[[#This Row],[final_sale_price]]*Table5[[#This Row],[quantity_sold ]],0)</f>
        <v>28282.3272</v>
      </c>
      <c r="O248" s="11">
        <f>(Table5[[#This Row],[final_sale_price]]-Table5[[#This Row],[cost_price]])*Table5[[#This Row],[quantity_sold ]]</f>
        <v>9837.3312000000024</v>
      </c>
      <c r="P248" s="11">
        <f>(Table5[final_sale_price]-Table5[[#This Row],[avg_comp_price]])</f>
        <v>-392.35889999999995</v>
      </c>
      <c r="Q248" s="15">
        <f>(Table5[[#This Row],[final_sale_price]]-Table5[[#This Row],[avg_comp_price]])/Table5[[#This Row],[avg_comp_price]]</f>
        <v>-0.27249937059525192</v>
      </c>
      <c r="R248" s="11">
        <f>Table5[[#This Row],[Profit]]/Table5[[#This Row],[Revenue]]</f>
        <v>0.34782608695652184</v>
      </c>
    </row>
    <row r="249" spans="1:18" x14ac:dyDescent="0.2">
      <c r="A249" s="5">
        <v>248</v>
      </c>
      <c r="B249" s="5">
        <v>67</v>
      </c>
      <c r="C249" s="7">
        <v>45246</v>
      </c>
      <c r="D249" s="5">
        <v>14</v>
      </c>
      <c r="E249" s="4">
        <v>7</v>
      </c>
      <c r="F249" s="12">
        <f t="shared" si="3"/>
        <v>1070.1603</v>
      </c>
      <c r="G249" t="str">
        <f>VLOOKUP(B249,product_tbl[],2,FALSE)</f>
        <v>Perfume 67</v>
      </c>
      <c r="H249" t="str">
        <f>VLOOKUP(B249,product_tbl[],3,FALSE)</f>
        <v>Beauty</v>
      </c>
      <c r="I249">
        <v>690.42600000000004</v>
      </c>
      <c r="J249">
        <f>VLOOKUP(B249,product_tbl[],5,FALSE)</f>
        <v>1150.71</v>
      </c>
      <c r="K249">
        <f>VLOOKUP(B249,review_tbl[],3,FALSE)</f>
        <v>4</v>
      </c>
      <c r="L249" s="11">
        <v>1164.365499149787</v>
      </c>
      <c r="M249" s="11">
        <f>AVERAGEIF(Table1[product_id],Master_tbl!B249:B1250,Table1[competitor_price])</f>
        <v>7069.7</v>
      </c>
      <c r="N249" s="11">
        <f>IFERROR(Table5[[#This Row],[final_sale_price]]*Table5[[#This Row],[quantity_sold ]],0)</f>
        <v>14982.244200000001</v>
      </c>
      <c r="O249" s="11">
        <f>(Table5[[#This Row],[final_sale_price]]-Table5[[#This Row],[cost_price]])*Table5[[#This Row],[quantity_sold ]]</f>
        <v>5316.2801999999992</v>
      </c>
      <c r="P249" s="11">
        <f>(Table5[final_sale_price]-Table5[[#This Row],[avg_comp_price]])</f>
        <v>-5999.5396999999994</v>
      </c>
      <c r="Q249" s="15">
        <f>(Table5[[#This Row],[final_sale_price]]-Table5[[#This Row],[avg_comp_price]])/Table5[[#This Row],[avg_comp_price]]</f>
        <v>-0.84862719775945228</v>
      </c>
      <c r="R249" s="11">
        <f>Table5[[#This Row],[Profit]]/Table5[[#This Row],[Revenue]]</f>
        <v>0.35483870967741926</v>
      </c>
    </row>
    <row r="250" spans="1:18" x14ac:dyDescent="0.2">
      <c r="A250" s="4">
        <v>249</v>
      </c>
      <c r="B250" s="4">
        <v>133</v>
      </c>
      <c r="C250" s="6">
        <v>45677</v>
      </c>
      <c r="D250" s="4">
        <v>2</v>
      </c>
      <c r="E250" s="4">
        <v>5</v>
      </c>
      <c r="F250" s="12">
        <f t="shared" si="3"/>
        <v>6274.6549999999997</v>
      </c>
      <c r="G250" t="str">
        <f>VLOOKUP(B250,product_tbl[],2,FALSE)</f>
        <v>Puzzle Set 133</v>
      </c>
      <c r="H250" t="str">
        <f>VLOOKUP(B250,product_tbl[],3,FALSE)</f>
        <v>Toys</v>
      </c>
      <c r="I250">
        <v>3962.9399999999996</v>
      </c>
      <c r="J250">
        <f>VLOOKUP(B250,product_tbl[],5,FALSE)</f>
        <v>6604.9</v>
      </c>
      <c r="K250">
        <f>VLOOKUP(B250,review_tbl[],3,FALSE)</f>
        <v>4</v>
      </c>
      <c r="L250" s="11">
        <v>8584.1948181794469</v>
      </c>
      <c r="M250" s="11">
        <f>AVERAGEIF(Table1[product_id],Master_tbl!B250:B1251,Table1[competitor_price])</f>
        <v>4666.1933333333336</v>
      </c>
      <c r="N250" s="11">
        <f>IFERROR(Table5[[#This Row],[final_sale_price]]*Table5[[#This Row],[quantity_sold ]],0)</f>
        <v>12549.31</v>
      </c>
      <c r="O250" s="11">
        <f>(Table5[[#This Row],[final_sale_price]]-Table5[[#This Row],[cost_price]])*Table5[[#This Row],[quantity_sold ]]</f>
        <v>4623.43</v>
      </c>
      <c r="P250" s="11">
        <f>(Table5[final_sale_price]-Table5[[#This Row],[avg_comp_price]])</f>
        <v>1608.4616666666661</v>
      </c>
      <c r="Q250" s="15">
        <f>(Table5[[#This Row],[final_sale_price]]-Table5[[#This Row],[avg_comp_price]])/Table5[[#This Row],[avg_comp_price]]</f>
        <v>0.34470532011103971</v>
      </c>
      <c r="R250" s="11">
        <f>Table5[[#This Row],[Profit]]/Table5[[#This Row],[Revenue]]</f>
        <v>0.36842105263157898</v>
      </c>
    </row>
    <row r="251" spans="1:18" x14ac:dyDescent="0.2">
      <c r="A251" s="5">
        <v>250</v>
      </c>
      <c r="B251" s="5">
        <v>48</v>
      </c>
      <c r="C251" s="7">
        <v>45444</v>
      </c>
      <c r="D251" s="5">
        <v>47</v>
      </c>
      <c r="E251" s="4">
        <v>4</v>
      </c>
      <c r="F251" s="12">
        <f t="shared" si="3"/>
        <v>3540.7392</v>
      </c>
      <c r="G251" t="str">
        <f>VLOOKUP(B251,product_tbl[],2,FALSE)</f>
        <v>Water Purifier 48</v>
      </c>
      <c r="H251" t="str">
        <f>VLOOKUP(B251,product_tbl[],3,FALSE)</f>
        <v>Home Appliances</v>
      </c>
      <c r="I251">
        <v>2212.962</v>
      </c>
      <c r="J251">
        <f>VLOOKUP(B251,product_tbl[],5,FALSE)</f>
        <v>3688.27</v>
      </c>
      <c r="K251">
        <f>VLOOKUP(B251,review_tbl[],3,FALSE)</f>
        <v>4</v>
      </c>
      <c r="L251" s="11">
        <v>4713.1491694565948</v>
      </c>
      <c r="M251" s="11">
        <f>AVERAGEIF(Table1[product_id],Master_tbl!B251:B1252,Table1[competitor_price])</f>
        <v>1050.3625000000002</v>
      </c>
      <c r="N251" s="11">
        <f>IFERROR(Table5[[#This Row],[final_sale_price]]*Table5[[#This Row],[quantity_sold ]],0)</f>
        <v>166414.74239999999</v>
      </c>
      <c r="O251" s="11">
        <f>(Table5[[#This Row],[final_sale_price]]-Table5[[#This Row],[cost_price]])*Table5[[#This Row],[quantity_sold ]]</f>
        <v>62405.528400000003</v>
      </c>
      <c r="P251" s="11">
        <f>(Table5[final_sale_price]-Table5[[#This Row],[avg_comp_price]])</f>
        <v>2490.3766999999998</v>
      </c>
      <c r="Q251" s="15">
        <f>(Table5[[#This Row],[final_sale_price]]-Table5[[#This Row],[avg_comp_price]])/Table5[[#This Row],[avg_comp_price]]</f>
        <v>2.3709687845862732</v>
      </c>
      <c r="R251" s="11">
        <f>Table5[[#This Row],[Profit]]/Table5[[#This Row],[Revenue]]</f>
        <v>0.37500000000000006</v>
      </c>
    </row>
    <row r="252" spans="1:18" x14ac:dyDescent="0.2">
      <c r="A252" s="4">
        <v>251</v>
      </c>
      <c r="B252" s="4">
        <v>8</v>
      </c>
      <c r="C252" s="6">
        <v>46017</v>
      </c>
      <c r="D252" s="4">
        <v>39</v>
      </c>
      <c r="E252" s="4">
        <v>10</v>
      </c>
      <c r="F252" s="12">
        <f t="shared" si="3"/>
        <v>5079.5459999999994</v>
      </c>
      <c r="G252" t="str">
        <f>VLOOKUP(B252,product_tbl[],2,FALSE)</f>
        <v>Puzzle Set 8</v>
      </c>
      <c r="H252" t="str">
        <f>VLOOKUP(B252,product_tbl[],3,FALSE)</f>
        <v>Toys</v>
      </c>
      <c r="I252">
        <v>3386.3639999999996</v>
      </c>
      <c r="J252">
        <f>VLOOKUP(B252,product_tbl[],5,FALSE)</f>
        <v>5643.94</v>
      </c>
      <c r="K252">
        <f>VLOOKUP(B252,review_tbl[],3,FALSE)</f>
        <v>2</v>
      </c>
      <c r="L252" s="11">
        <v>6157.0373921784594</v>
      </c>
      <c r="M252" s="11">
        <f>AVERAGEIF(Table1[product_id],Master_tbl!B252:B1253,Table1[competitor_price])</f>
        <v>2853.6650000000004</v>
      </c>
      <c r="N252" s="11">
        <f>IFERROR(Table5[[#This Row],[final_sale_price]]*Table5[[#This Row],[quantity_sold ]],0)</f>
        <v>198102.29399999997</v>
      </c>
      <c r="O252" s="11">
        <f>(Table5[[#This Row],[final_sale_price]]-Table5[[#This Row],[cost_price]])*Table5[[#This Row],[quantity_sold ]]</f>
        <v>66034.097999999998</v>
      </c>
      <c r="P252" s="11">
        <f>(Table5[final_sale_price]-Table5[[#This Row],[avg_comp_price]])</f>
        <v>2225.8809999999989</v>
      </c>
      <c r="Q252" s="15">
        <f>(Table5[[#This Row],[final_sale_price]]-Table5[[#This Row],[avg_comp_price]])/Table5[[#This Row],[avg_comp_price]]</f>
        <v>0.78000781451221446</v>
      </c>
      <c r="R252" s="11">
        <f>Table5[[#This Row],[Profit]]/Table5[[#This Row],[Revenue]]</f>
        <v>0.33333333333333337</v>
      </c>
    </row>
    <row r="253" spans="1:18" x14ac:dyDescent="0.2">
      <c r="A253" s="5">
        <v>252</v>
      </c>
      <c r="B253" s="5">
        <v>117</v>
      </c>
      <c r="C253" s="7">
        <v>45632</v>
      </c>
      <c r="D253" s="5">
        <v>15</v>
      </c>
      <c r="E253" s="4">
        <v>6</v>
      </c>
      <c r="F253" s="12">
        <f t="shared" si="3"/>
        <v>1999.5491999999997</v>
      </c>
      <c r="G253" t="str">
        <f>VLOOKUP(B253,product_tbl[],2,FALSE)</f>
        <v>Refrigerator 117</v>
      </c>
      <c r="H253" t="str">
        <f>VLOOKUP(B253,product_tbl[],3,FALSE)</f>
        <v>Home Appliances</v>
      </c>
      <c r="I253">
        <v>1276.3079999999998</v>
      </c>
      <c r="J253">
        <f>VLOOKUP(B253,product_tbl[],5,FALSE)</f>
        <v>2127.1799999999998</v>
      </c>
      <c r="K253">
        <f>VLOOKUP(B253,review_tbl[],3,FALSE)</f>
        <v>1</v>
      </c>
      <c r="L253" s="11">
        <v>2370.3861621494393</v>
      </c>
      <c r="M253" s="11">
        <f>AVERAGEIF(Table1[product_id],Master_tbl!B253:B1254,Table1[competitor_price])</f>
        <v>892.9766666666668</v>
      </c>
      <c r="N253" s="11">
        <f>IFERROR(Table5[[#This Row],[final_sale_price]]*Table5[[#This Row],[quantity_sold ]],0)</f>
        <v>29993.237999999994</v>
      </c>
      <c r="O253" s="11">
        <f>(Table5[[#This Row],[final_sale_price]]-Table5[[#This Row],[cost_price]])*Table5[[#This Row],[quantity_sold ]]</f>
        <v>10848.617999999999</v>
      </c>
      <c r="P253" s="11">
        <f>(Table5[final_sale_price]-Table5[[#This Row],[avg_comp_price]])</f>
        <v>1106.572533333333</v>
      </c>
      <c r="Q253" s="15">
        <f>(Table5[[#This Row],[final_sale_price]]-Table5[[#This Row],[avg_comp_price]])/Table5[[#This Row],[avg_comp_price]]</f>
        <v>1.2391953503824282</v>
      </c>
      <c r="R253" s="11">
        <f>Table5[[#This Row],[Profit]]/Table5[[#This Row],[Revenue]]</f>
        <v>0.36170212765957449</v>
      </c>
    </row>
    <row r="254" spans="1:18" x14ac:dyDescent="0.2">
      <c r="A254" s="4">
        <v>253</v>
      </c>
      <c r="B254" s="4">
        <v>64</v>
      </c>
      <c r="C254" s="6">
        <v>45749</v>
      </c>
      <c r="D254" s="4">
        <v>49</v>
      </c>
      <c r="E254" s="4">
        <v>10</v>
      </c>
      <c r="F254" s="12">
        <f t="shared" si="3"/>
        <v>2880</v>
      </c>
      <c r="G254" t="str">
        <f>VLOOKUP(B254,product_tbl[],2,FALSE)</f>
        <v>Children Story Book 64</v>
      </c>
      <c r="H254" t="str">
        <f>VLOOKUP(B254,product_tbl[],3,FALSE)</f>
        <v>Books</v>
      </c>
      <c r="I254">
        <v>1920</v>
      </c>
      <c r="J254">
        <f>VLOOKUP(B254,product_tbl[],5,FALSE)</f>
        <v>3200</v>
      </c>
      <c r="K254">
        <f>VLOOKUP(B254,review_tbl[],3,FALSE)</f>
        <v>2</v>
      </c>
      <c r="L254" s="11">
        <v>3924.7262595109519</v>
      </c>
      <c r="M254" s="11">
        <f>AVERAGEIF(Table1[product_id],Master_tbl!B254:B1255,Table1[competitor_price])</f>
        <v>3782.0099999999998</v>
      </c>
      <c r="N254" s="11">
        <f>IFERROR(Table5[[#This Row],[final_sale_price]]*Table5[[#This Row],[quantity_sold ]],0)</f>
        <v>141120</v>
      </c>
      <c r="O254" s="11">
        <f>(Table5[[#This Row],[final_sale_price]]-Table5[[#This Row],[cost_price]])*Table5[[#This Row],[quantity_sold ]]</f>
        <v>47040</v>
      </c>
      <c r="P254" s="11">
        <f>(Table5[final_sale_price]-Table5[[#This Row],[avg_comp_price]])</f>
        <v>-902.00999999999976</v>
      </c>
      <c r="Q254" s="15">
        <f>(Table5[[#This Row],[final_sale_price]]-Table5[[#This Row],[avg_comp_price]])/Table5[[#This Row],[avg_comp_price]]</f>
        <v>-0.2385001626119444</v>
      </c>
      <c r="R254" s="11">
        <f>Table5[[#This Row],[Profit]]/Table5[[#This Row],[Revenue]]</f>
        <v>0.33333333333333331</v>
      </c>
    </row>
    <row r="255" spans="1:18" x14ac:dyDescent="0.2">
      <c r="A255" s="5">
        <v>254</v>
      </c>
      <c r="B255" s="5">
        <v>62</v>
      </c>
      <c r="C255" s="7">
        <v>45709</v>
      </c>
      <c r="D255" s="5">
        <v>4</v>
      </c>
      <c r="E255" s="4">
        <v>10</v>
      </c>
      <c r="F255" s="12">
        <f t="shared" si="3"/>
        <v>3112.1460000000002</v>
      </c>
      <c r="G255" t="str">
        <f>VLOOKUP(B255,product_tbl[],2,FALSE)</f>
        <v>Olive Oil 62</v>
      </c>
      <c r="H255" t="str">
        <f>VLOOKUP(B255,product_tbl[],3,FALSE)</f>
        <v>Grocery</v>
      </c>
      <c r="I255">
        <v>2074.7640000000001</v>
      </c>
      <c r="J255">
        <f>VLOOKUP(B255,product_tbl[],5,FALSE)</f>
        <v>3457.94</v>
      </c>
      <c r="K255">
        <f>VLOOKUP(B255,review_tbl[],3,FALSE)</f>
        <v>4</v>
      </c>
      <c r="L255" s="11">
        <v>3750.4286474391947</v>
      </c>
      <c r="M255" s="11">
        <f>AVERAGEIF(Table1[product_id],Master_tbl!B255:B1256,Table1[competitor_price])</f>
        <v>5560.3266666666668</v>
      </c>
      <c r="N255" s="11">
        <f>IFERROR(Table5[[#This Row],[final_sale_price]]*Table5[[#This Row],[quantity_sold ]],0)</f>
        <v>12448.584000000001</v>
      </c>
      <c r="O255" s="11">
        <f>(Table5[[#This Row],[final_sale_price]]-Table5[[#This Row],[cost_price]])*Table5[[#This Row],[quantity_sold ]]</f>
        <v>4149.5280000000002</v>
      </c>
      <c r="P255" s="11">
        <f>(Table5[final_sale_price]-Table5[[#This Row],[avg_comp_price]])</f>
        <v>-2448.1806666666666</v>
      </c>
      <c r="Q255" s="15">
        <f>(Table5[[#This Row],[final_sale_price]]-Table5[[#This Row],[avg_comp_price]])/Table5[[#This Row],[avg_comp_price]]</f>
        <v>-0.44029439517342506</v>
      </c>
      <c r="R255" s="11">
        <f>Table5[[#This Row],[Profit]]/Table5[[#This Row],[Revenue]]</f>
        <v>0.33333333333333331</v>
      </c>
    </row>
    <row r="256" spans="1:18" x14ac:dyDescent="0.2">
      <c r="A256" s="4">
        <v>255</v>
      </c>
      <c r="B256" s="4">
        <v>53</v>
      </c>
      <c r="C256" s="6">
        <v>45924</v>
      </c>
      <c r="D256" s="4">
        <v>27</v>
      </c>
      <c r="E256" s="4">
        <v>7</v>
      </c>
      <c r="F256" s="12">
        <f t="shared" si="3"/>
        <v>3221.9012999999995</v>
      </c>
      <c r="G256" t="str">
        <f>VLOOKUP(B256,product_tbl[],2,FALSE)</f>
        <v>Cookbook 53</v>
      </c>
      <c r="H256" t="str">
        <f>VLOOKUP(B256,product_tbl[],3,FALSE)</f>
        <v>Books</v>
      </c>
      <c r="I256">
        <v>2078.6459999999997</v>
      </c>
      <c r="J256">
        <f>VLOOKUP(B256,product_tbl[],5,FALSE)</f>
        <v>3464.41</v>
      </c>
      <c r="K256">
        <f>VLOOKUP(B256,review_tbl[],3,FALSE)</f>
        <v>4</v>
      </c>
      <c r="L256" s="11">
        <v>3572.7353161885076</v>
      </c>
      <c r="M256" s="11">
        <f>AVERAGEIF(Table1[product_id],Master_tbl!B256:B1257,Table1[competitor_price])</f>
        <v>954.33000000000015</v>
      </c>
      <c r="N256" s="11">
        <f>IFERROR(Table5[[#This Row],[final_sale_price]]*Table5[[#This Row],[quantity_sold ]],0)</f>
        <v>86991.335099999982</v>
      </c>
      <c r="O256" s="11">
        <f>(Table5[[#This Row],[final_sale_price]]-Table5[[#This Row],[cost_price]])*Table5[[#This Row],[quantity_sold ]]</f>
        <v>30867.893099999994</v>
      </c>
      <c r="P256" s="11">
        <f>(Table5[final_sale_price]-Table5[[#This Row],[avg_comp_price]])</f>
        <v>2267.5712999999996</v>
      </c>
      <c r="Q256" s="15">
        <f>(Table5[[#This Row],[final_sale_price]]-Table5[[#This Row],[avg_comp_price]])/Table5[[#This Row],[avg_comp_price]]</f>
        <v>2.3760872025400013</v>
      </c>
      <c r="R256" s="11">
        <f>Table5[[#This Row],[Profit]]/Table5[[#This Row],[Revenue]]</f>
        <v>0.35483870967741937</v>
      </c>
    </row>
    <row r="257" spans="1:18" x14ac:dyDescent="0.2">
      <c r="A257" s="5">
        <v>256</v>
      </c>
      <c r="B257" s="5">
        <v>76</v>
      </c>
      <c r="C257" s="7">
        <v>45818</v>
      </c>
      <c r="D257" s="5">
        <v>20</v>
      </c>
      <c r="E257" s="4">
        <v>7</v>
      </c>
      <c r="F257" s="12">
        <f t="shared" si="3"/>
        <v>2850.9800999999998</v>
      </c>
      <c r="G257" t="str">
        <f>VLOOKUP(B257,product_tbl[],2,FALSE)</f>
        <v>Laptop 76</v>
      </c>
      <c r="H257" t="str">
        <f>VLOOKUP(B257,product_tbl[],3,FALSE)</f>
        <v>Electronics</v>
      </c>
      <c r="I257">
        <v>1839.3420000000001</v>
      </c>
      <c r="J257">
        <f>VLOOKUP(B257,product_tbl[],5,FALSE)</f>
        <v>3065.57</v>
      </c>
      <c r="K257">
        <f>VLOOKUP(B257,review_tbl[],3,FALSE)</f>
        <v>1</v>
      </c>
      <c r="L257" s="11">
        <v>3983.3194477213578</v>
      </c>
      <c r="M257" s="11">
        <f>AVERAGEIF(Table1[product_id],Master_tbl!B257:B1258,Table1[competitor_price])</f>
        <v>831.92600000000004</v>
      </c>
      <c r="N257" s="11">
        <f>IFERROR(Table5[[#This Row],[final_sale_price]]*Table5[[#This Row],[quantity_sold ]],0)</f>
        <v>57019.601999999999</v>
      </c>
      <c r="O257" s="11">
        <f>(Table5[[#This Row],[final_sale_price]]-Table5[[#This Row],[cost_price]])*Table5[[#This Row],[quantity_sold ]]</f>
        <v>20232.761999999995</v>
      </c>
      <c r="P257" s="11">
        <f>(Table5[final_sale_price]-Table5[[#This Row],[avg_comp_price]])</f>
        <v>2019.0540999999998</v>
      </c>
      <c r="Q257" s="15">
        <f>(Table5[[#This Row],[final_sale_price]]-Table5[[#This Row],[avg_comp_price]])/Table5[[#This Row],[avg_comp_price]]</f>
        <v>2.4269635760872958</v>
      </c>
      <c r="R257" s="11">
        <f>Table5[[#This Row],[Profit]]/Table5[[#This Row],[Revenue]]</f>
        <v>0.35483870967741926</v>
      </c>
    </row>
    <row r="258" spans="1:18" x14ac:dyDescent="0.2">
      <c r="A258" s="4">
        <v>257</v>
      </c>
      <c r="B258" s="4">
        <v>9</v>
      </c>
      <c r="C258" s="6">
        <v>45672</v>
      </c>
      <c r="D258" s="4">
        <v>32</v>
      </c>
      <c r="E258" s="4">
        <v>3</v>
      </c>
      <c r="F258" s="12">
        <f t="shared" ref="F258:F321" si="4">J258*(1-E258/100)</f>
        <v>2777.9344999999998</v>
      </c>
      <c r="G258" t="str">
        <f>VLOOKUP(B258,product_tbl[],2,FALSE)</f>
        <v>Air Conditioner 9</v>
      </c>
      <c r="H258" t="str">
        <f>VLOOKUP(B258,product_tbl[],3,FALSE)</f>
        <v>Home Appliances</v>
      </c>
      <c r="I258">
        <v>1718.31</v>
      </c>
      <c r="J258">
        <f>VLOOKUP(B258,product_tbl[],5,FALSE)</f>
        <v>2863.85</v>
      </c>
      <c r="K258">
        <f>VLOOKUP(B258,review_tbl[],3,FALSE)</f>
        <v>5</v>
      </c>
      <c r="L258" s="11">
        <v>2882.6121289134348</v>
      </c>
      <c r="M258" s="11">
        <f>AVERAGEIF(Table1[product_id],Master_tbl!B258:B1259,Table1[competitor_price])</f>
        <v>6325.1699999999992</v>
      </c>
      <c r="N258" s="11">
        <f>IFERROR(Table5[[#This Row],[final_sale_price]]*Table5[[#This Row],[quantity_sold ]],0)</f>
        <v>88893.903999999995</v>
      </c>
      <c r="O258" s="11">
        <f>(Table5[[#This Row],[final_sale_price]]-Table5[[#This Row],[cost_price]])*Table5[[#This Row],[quantity_sold ]]</f>
        <v>33907.983999999997</v>
      </c>
      <c r="P258" s="11">
        <f>(Table5[final_sale_price]-Table5[[#This Row],[avg_comp_price]])</f>
        <v>-3547.2354999999993</v>
      </c>
      <c r="Q258" s="15">
        <f>(Table5[[#This Row],[final_sale_price]]-Table5[[#This Row],[avg_comp_price]])/Table5[[#This Row],[avg_comp_price]]</f>
        <v>-0.56081267380955768</v>
      </c>
      <c r="R258" s="11">
        <f>Table5[[#This Row],[Profit]]/Table5[[#This Row],[Revenue]]</f>
        <v>0.38144329896907214</v>
      </c>
    </row>
    <row r="259" spans="1:18" x14ac:dyDescent="0.2">
      <c r="A259" s="5">
        <v>258</v>
      </c>
      <c r="B259" s="5">
        <v>92</v>
      </c>
      <c r="C259" s="7">
        <v>45255</v>
      </c>
      <c r="D259" s="5">
        <v>22</v>
      </c>
      <c r="E259" s="4">
        <v>9</v>
      </c>
      <c r="F259" s="12">
        <f t="shared" si="4"/>
        <v>3255.9982</v>
      </c>
      <c r="G259" t="str">
        <f>VLOOKUP(B259,product_tbl[],2,FALSE)</f>
        <v>Puzzle Set 92</v>
      </c>
      <c r="H259" t="str">
        <f>VLOOKUP(B259,product_tbl[],3,FALSE)</f>
        <v>Toys</v>
      </c>
      <c r="I259">
        <v>2146.8119999999999</v>
      </c>
      <c r="J259">
        <f>VLOOKUP(B259,product_tbl[],5,FALSE)</f>
        <v>3578.02</v>
      </c>
      <c r="K259">
        <f>VLOOKUP(B259,review_tbl[],3,FALSE)</f>
        <v>5</v>
      </c>
      <c r="L259" s="11">
        <v>4012.78545881234</v>
      </c>
      <c r="M259" s="11">
        <f>AVERAGEIF(Table1[product_id],Master_tbl!B259:B1260,Table1[competitor_price])</f>
        <v>5387.83</v>
      </c>
      <c r="N259" s="11">
        <f>IFERROR(Table5[[#This Row],[final_sale_price]]*Table5[[#This Row],[quantity_sold ]],0)</f>
        <v>71631.960399999996</v>
      </c>
      <c r="O259" s="11">
        <f>(Table5[[#This Row],[final_sale_price]]-Table5[[#This Row],[cost_price]])*Table5[[#This Row],[quantity_sold ]]</f>
        <v>24402.096400000002</v>
      </c>
      <c r="P259" s="11">
        <f>(Table5[final_sale_price]-Table5[[#This Row],[avg_comp_price]])</f>
        <v>-2131.8317999999999</v>
      </c>
      <c r="Q259" s="15">
        <f>(Table5[[#This Row],[final_sale_price]]-Table5[[#This Row],[avg_comp_price]])/Table5[[#This Row],[avg_comp_price]]</f>
        <v>-0.39567540178513427</v>
      </c>
      <c r="R259" s="11">
        <f>Table5[[#This Row],[Profit]]/Table5[[#This Row],[Revenue]]</f>
        <v>0.34065934065934073</v>
      </c>
    </row>
    <row r="260" spans="1:18" x14ac:dyDescent="0.2">
      <c r="A260" s="4">
        <v>259</v>
      </c>
      <c r="B260" s="4">
        <v>119</v>
      </c>
      <c r="C260" s="6">
        <v>45854</v>
      </c>
      <c r="D260" s="4">
        <v>33</v>
      </c>
      <c r="E260" s="4">
        <v>3</v>
      </c>
      <c r="F260" s="12">
        <f t="shared" si="4"/>
        <v>1883.6527000000001</v>
      </c>
      <c r="G260" t="str">
        <f>VLOOKUP(B260,product_tbl[],2,FALSE)</f>
        <v>Wheat Flour 119</v>
      </c>
      <c r="H260" t="str">
        <f>VLOOKUP(B260,product_tbl[],3,FALSE)</f>
        <v>Grocery</v>
      </c>
      <c r="I260">
        <v>1165.146</v>
      </c>
      <c r="J260">
        <f>VLOOKUP(B260,product_tbl[],5,FALSE)</f>
        <v>1941.91</v>
      </c>
      <c r="K260">
        <f>VLOOKUP(B260,review_tbl[],3,FALSE)</f>
        <v>4</v>
      </c>
      <c r="L260" s="11">
        <v>2120.2304846962165</v>
      </c>
      <c r="M260" s="11">
        <f>AVERAGEIF(Table1[product_id],Master_tbl!B260:B1261,Table1[competitor_price])</f>
        <v>4902.3539999999994</v>
      </c>
      <c r="N260" s="11">
        <f>IFERROR(Table5[[#This Row],[final_sale_price]]*Table5[[#This Row],[quantity_sold ]],0)</f>
        <v>62160.539100000002</v>
      </c>
      <c r="O260" s="11">
        <f>(Table5[[#This Row],[final_sale_price]]-Table5[[#This Row],[cost_price]])*Table5[[#This Row],[quantity_sold ]]</f>
        <v>23710.721100000006</v>
      </c>
      <c r="P260" s="11">
        <f>(Table5[final_sale_price]-Table5[[#This Row],[avg_comp_price]])</f>
        <v>-3018.7012999999993</v>
      </c>
      <c r="Q260" s="15">
        <f>(Table5[[#This Row],[final_sale_price]]-Table5[[#This Row],[avg_comp_price]])/Table5[[#This Row],[avg_comp_price]]</f>
        <v>-0.6157656709409397</v>
      </c>
      <c r="R260" s="11">
        <f>Table5[[#This Row],[Profit]]/Table5[[#This Row],[Revenue]]</f>
        <v>0.38144329896907225</v>
      </c>
    </row>
    <row r="261" spans="1:18" x14ac:dyDescent="0.2">
      <c r="A261" s="5">
        <v>260</v>
      </c>
      <c r="B261" s="5">
        <v>85</v>
      </c>
      <c r="C261" s="7">
        <v>45433</v>
      </c>
      <c r="D261" s="5">
        <v>7</v>
      </c>
      <c r="E261" s="4">
        <v>3</v>
      </c>
      <c r="F261" s="12">
        <f t="shared" si="4"/>
        <v>3640.4391000000001</v>
      </c>
      <c r="G261" t="str">
        <f>VLOOKUP(B261,product_tbl[],2,FALSE)</f>
        <v>Handbag 85</v>
      </c>
      <c r="H261" t="str">
        <f>VLOOKUP(B261,product_tbl[],3,FALSE)</f>
        <v>Fashion</v>
      </c>
      <c r="I261">
        <v>2251.8180000000002</v>
      </c>
      <c r="J261">
        <f>VLOOKUP(B261,product_tbl[],5,FALSE)</f>
        <v>3753.03</v>
      </c>
      <c r="K261">
        <f>VLOOKUP(B261,review_tbl[],3,FALSE)</f>
        <v>1</v>
      </c>
      <c r="L261" s="11">
        <v>3801.0992959239379</v>
      </c>
      <c r="M261" s="11">
        <f>AVERAGEIF(Table1[product_id],Master_tbl!B261:B1262,Table1[competitor_price])</f>
        <v>3340.25</v>
      </c>
      <c r="N261" s="11">
        <f>IFERROR(Table5[[#This Row],[final_sale_price]]*Table5[[#This Row],[quantity_sold ]],0)</f>
        <v>25483.073700000001</v>
      </c>
      <c r="O261" s="11">
        <f>(Table5[[#This Row],[final_sale_price]]-Table5[[#This Row],[cost_price]])*Table5[[#This Row],[quantity_sold ]]</f>
        <v>9720.3476999999984</v>
      </c>
      <c r="P261" s="11">
        <f>(Table5[final_sale_price]-Table5[[#This Row],[avg_comp_price]])</f>
        <v>300.18910000000005</v>
      </c>
      <c r="Q261" s="15">
        <f>(Table5[[#This Row],[final_sale_price]]-Table5[[#This Row],[avg_comp_price]])/Table5[[#This Row],[avg_comp_price]]</f>
        <v>8.987024923284187E-2</v>
      </c>
      <c r="R261" s="11">
        <f>Table5[[#This Row],[Profit]]/Table5[[#This Row],[Revenue]]</f>
        <v>0.38144329896907209</v>
      </c>
    </row>
    <row r="262" spans="1:18" x14ac:dyDescent="0.2">
      <c r="A262" s="4">
        <v>261</v>
      </c>
      <c r="B262" s="4">
        <v>134</v>
      </c>
      <c r="C262" s="6">
        <v>45669</v>
      </c>
      <c r="D262" s="4">
        <v>47</v>
      </c>
      <c r="E262" s="4">
        <v>10</v>
      </c>
      <c r="F262" s="12">
        <f t="shared" si="4"/>
        <v>604.98900000000003</v>
      </c>
      <c r="G262" t="str">
        <f>VLOOKUP(B262,product_tbl[],2,FALSE)</f>
        <v>Headphones 134</v>
      </c>
      <c r="H262" t="str">
        <f>VLOOKUP(B262,product_tbl[],3,FALSE)</f>
        <v>Electronics</v>
      </c>
      <c r="I262">
        <v>403.32600000000002</v>
      </c>
      <c r="J262">
        <f>VLOOKUP(B262,product_tbl[],5,FALSE)</f>
        <v>672.21</v>
      </c>
      <c r="K262">
        <f>VLOOKUP(B262,review_tbl[],3,FALSE)</f>
        <v>1</v>
      </c>
      <c r="L262" s="11">
        <v>703.00515022154025</v>
      </c>
      <c r="M262" s="11">
        <f>AVERAGEIF(Table1[product_id],Master_tbl!B262:B1263,Table1[competitor_price])</f>
        <v>4666.126666666667</v>
      </c>
      <c r="N262" s="11">
        <f>IFERROR(Table5[[#This Row],[final_sale_price]]*Table5[[#This Row],[quantity_sold ]],0)</f>
        <v>28434.483</v>
      </c>
      <c r="O262" s="11">
        <f>(Table5[[#This Row],[final_sale_price]]-Table5[[#This Row],[cost_price]])*Table5[[#This Row],[quantity_sold ]]</f>
        <v>9478.1610000000001</v>
      </c>
      <c r="P262" s="11">
        <f>(Table5[final_sale_price]-Table5[[#This Row],[avg_comp_price]])</f>
        <v>-4061.137666666667</v>
      </c>
      <c r="Q262" s="15">
        <f>(Table5[[#This Row],[final_sale_price]]-Table5[[#This Row],[avg_comp_price]])/Table5[[#This Row],[avg_comp_price]]</f>
        <v>-0.87034449700608219</v>
      </c>
      <c r="R262" s="11">
        <f>Table5[[#This Row],[Profit]]/Table5[[#This Row],[Revenue]]</f>
        <v>0.33333333333333331</v>
      </c>
    </row>
    <row r="263" spans="1:18" x14ac:dyDescent="0.2">
      <c r="A263" s="5">
        <v>262</v>
      </c>
      <c r="B263" s="5">
        <v>12</v>
      </c>
      <c r="C263" s="7">
        <v>45641</v>
      </c>
      <c r="D263" s="5">
        <v>11</v>
      </c>
      <c r="E263" s="4">
        <v>7</v>
      </c>
      <c r="F263" s="12">
        <f t="shared" si="4"/>
        <v>1502.1824999999999</v>
      </c>
      <c r="G263" t="str">
        <f>VLOOKUP(B263,product_tbl[],2,FALSE)</f>
        <v>Running Shoes 12</v>
      </c>
      <c r="H263" t="str">
        <f>VLOOKUP(B263,product_tbl[],3,FALSE)</f>
        <v>Sports</v>
      </c>
      <c r="I263">
        <v>969.15</v>
      </c>
      <c r="J263">
        <f>VLOOKUP(B263,product_tbl[],5,FALSE)</f>
        <v>1615.25</v>
      </c>
      <c r="K263">
        <f>VLOOKUP(B263,review_tbl[],3,FALSE)</f>
        <v>3</v>
      </c>
      <c r="L263" s="11">
        <v>1735.8258043772614</v>
      </c>
      <c r="M263" s="11">
        <f>AVERAGEIF(Table1[product_id],Master_tbl!B263:B1264,Table1[competitor_price])</f>
        <v>4365.21</v>
      </c>
      <c r="N263" s="11">
        <f>IFERROR(Table5[[#This Row],[final_sale_price]]*Table5[[#This Row],[quantity_sold ]],0)</f>
        <v>16524.0075</v>
      </c>
      <c r="O263" s="11">
        <f>(Table5[[#This Row],[final_sale_price]]-Table5[[#This Row],[cost_price]])*Table5[[#This Row],[quantity_sold ]]</f>
        <v>5863.3574999999992</v>
      </c>
      <c r="P263" s="11">
        <f>(Table5[final_sale_price]-Table5[[#This Row],[avg_comp_price]])</f>
        <v>-2863.0275000000001</v>
      </c>
      <c r="Q263" s="15">
        <f>(Table5[[#This Row],[final_sale_price]]-Table5[[#This Row],[avg_comp_price]])/Table5[[#This Row],[avg_comp_price]]</f>
        <v>-0.65587394420886969</v>
      </c>
      <c r="R263" s="11">
        <f>Table5[[#This Row],[Profit]]/Table5[[#This Row],[Revenue]]</f>
        <v>0.35483870967741932</v>
      </c>
    </row>
    <row r="264" spans="1:18" x14ac:dyDescent="0.2">
      <c r="A264" s="4">
        <v>263</v>
      </c>
      <c r="B264" s="4">
        <v>130</v>
      </c>
      <c r="C264" s="6">
        <v>45449</v>
      </c>
      <c r="D264" s="4">
        <v>9</v>
      </c>
      <c r="E264" s="4">
        <v>10</v>
      </c>
      <c r="F264" s="12">
        <f t="shared" si="4"/>
        <v>2866.9409999999998</v>
      </c>
      <c r="G264" t="str">
        <f>VLOOKUP(B264,product_tbl[],2,FALSE)</f>
        <v>Gym Gloves 130</v>
      </c>
      <c r="H264" t="str">
        <f>VLOOKUP(B264,product_tbl[],3,FALSE)</f>
        <v>Sports</v>
      </c>
      <c r="I264">
        <v>1911.2939999999999</v>
      </c>
      <c r="J264">
        <f>VLOOKUP(B264,product_tbl[],5,FALSE)</f>
        <v>3185.49</v>
      </c>
      <c r="K264">
        <f>VLOOKUP(B264,review_tbl[],3,FALSE)</f>
        <v>5</v>
      </c>
      <c r="L264" s="11">
        <v>3201.3875414095055</v>
      </c>
      <c r="M264" s="11">
        <f>AVERAGEIF(Table1[product_id],Master_tbl!B264:B1265,Table1[competitor_price])</f>
        <v>3865.1374999999998</v>
      </c>
      <c r="N264" s="11">
        <f>IFERROR(Table5[[#This Row],[final_sale_price]]*Table5[[#This Row],[quantity_sold ]],0)</f>
        <v>25802.468999999997</v>
      </c>
      <c r="O264" s="11">
        <f>(Table5[[#This Row],[final_sale_price]]-Table5[[#This Row],[cost_price]])*Table5[[#This Row],[quantity_sold ]]</f>
        <v>8600.8230000000003</v>
      </c>
      <c r="P264" s="11">
        <f>(Table5[final_sale_price]-Table5[[#This Row],[avg_comp_price]])</f>
        <v>-998.19650000000001</v>
      </c>
      <c r="Q264" s="15">
        <f>(Table5[[#This Row],[final_sale_price]]-Table5[[#This Row],[avg_comp_price]])/Table5[[#This Row],[avg_comp_price]]</f>
        <v>-0.25825640096891767</v>
      </c>
      <c r="R264" s="11">
        <f>Table5[[#This Row],[Profit]]/Table5[[#This Row],[Revenue]]</f>
        <v>0.33333333333333337</v>
      </c>
    </row>
    <row r="265" spans="1:18" x14ac:dyDescent="0.2">
      <c r="A265" s="5">
        <v>264</v>
      </c>
      <c r="B265" s="5">
        <v>30</v>
      </c>
      <c r="C265" s="7">
        <v>45053</v>
      </c>
      <c r="D265" s="5">
        <v>39</v>
      </c>
      <c r="E265" s="4">
        <v>6</v>
      </c>
      <c r="F265" s="12">
        <f t="shared" si="4"/>
        <v>1925.4395999999999</v>
      </c>
      <c r="G265" t="str">
        <f>VLOOKUP(B265,product_tbl[],2,FALSE)</f>
        <v>Doll 30</v>
      </c>
      <c r="H265" t="str">
        <f>VLOOKUP(B265,product_tbl[],3,FALSE)</f>
        <v>Toys</v>
      </c>
      <c r="I265">
        <v>1229.0040000000001</v>
      </c>
      <c r="J265">
        <f>VLOOKUP(B265,product_tbl[],5,FALSE)</f>
        <v>2048.34</v>
      </c>
      <c r="K265">
        <f>VLOOKUP(B265,review_tbl[],3,FALSE)</f>
        <v>1</v>
      </c>
      <c r="L265" s="11">
        <v>2361.3754310087097</v>
      </c>
      <c r="M265" s="11">
        <f>AVERAGEIF(Table1[product_id],Master_tbl!B265:B1266,Table1[competitor_price])</f>
        <v>4153.6075000000001</v>
      </c>
      <c r="N265" s="11">
        <f>IFERROR(Table5[[#This Row],[final_sale_price]]*Table5[[#This Row],[quantity_sold ]],0)</f>
        <v>75092.14439999999</v>
      </c>
      <c r="O265" s="11">
        <f>(Table5[[#This Row],[final_sale_price]]-Table5[[#This Row],[cost_price]])*Table5[[#This Row],[quantity_sold ]]</f>
        <v>27160.988399999991</v>
      </c>
      <c r="P265" s="11">
        <f>(Table5[final_sale_price]-Table5[[#This Row],[avg_comp_price]])</f>
        <v>-2228.1679000000004</v>
      </c>
      <c r="Q265" s="15">
        <f>(Table5[[#This Row],[final_sale_price]]-Table5[[#This Row],[avg_comp_price]])/Table5[[#This Row],[avg_comp_price]]</f>
        <v>-0.53644161129813073</v>
      </c>
      <c r="R265" s="11">
        <f>Table5[[#This Row],[Profit]]/Table5[[#This Row],[Revenue]]</f>
        <v>0.36170212765957438</v>
      </c>
    </row>
    <row r="266" spans="1:18" x14ac:dyDescent="0.2">
      <c r="A266" s="4">
        <v>265</v>
      </c>
      <c r="B266" s="4">
        <v>98</v>
      </c>
      <c r="C266" s="6">
        <v>45270</v>
      </c>
      <c r="D266" s="4">
        <v>47</v>
      </c>
      <c r="E266" s="4">
        <v>10</v>
      </c>
      <c r="F266" s="12">
        <f t="shared" si="4"/>
        <v>7026.9120000000003</v>
      </c>
      <c r="G266" t="str">
        <f>VLOOKUP(B266,product_tbl[],2,FALSE)</f>
        <v>Puzzle Set 98</v>
      </c>
      <c r="H266" t="str">
        <f>VLOOKUP(B266,product_tbl[],3,FALSE)</f>
        <v>Toys</v>
      </c>
      <c r="I266">
        <v>4684.6080000000002</v>
      </c>
      <c r="J266">
        <f>VLOOKUP(B266,product_tbl[],5,FALSE)</f>
        <v>7807.68</v>
      </c>
      <c r="K266">
        <f>VLOOKUP(B266,review_tbl[],3,FALSE)</f>
        <v>3</v>
      </c>
      <c r="L266" s="11">
        <v>8783.4100924812883</v>
      </c>
      <c r="M266" s="11">
        <f>AVERAGEIF(Table1[product_id],Master_tbl!B266:B1267,Table1[competitor_price])</f>
        <v>6533.69</v>
      </c>
      <c r="N266" s="11">
        <f>IFERROR(Table5[[#This Row],[final_sale_price]]*Table5[[#This Row],[quantity_sold ]],0)</f>
        <v>330264.864</v>
      </c>
      <c r="O266" s="11">
        <f>(Table5[[#This Row],[final_sale_price]]-Table5[[#This Row],[cost_price]])*Table5[[#This Row],[quantity_sold ]]</f>
        <v>110088.288</v>
      </c>
      <c r="P266" s="11">
        <f>(Table5[final_sale_price]-Table5[[#This Row],[avg_comp_price]])</f>
        <v>493.22200000000066</v>
      </c>
      <c r="Q266" s="15">
        <f>(Table5[[#This Row],[final_sale_price]]-Table5[[#This Row],[avg_comp_price]])/Table5[[#This Row],[avg_comp_price]]</f>
        <v>7.5489042179840288E-2</v>
      </c>
      <c r="R266" s="11">
        <f>Table5[[#This Row],[Profit]]/Table5[[#This Row],[Revenue]]</f>
        <v>0.33333333333333331</v>
      </c>
    </row>
    <row r="267" spans="1:18" x14ac:dyDescent="0.2">
      <c r="A267" s="5">
        <v>266</v>
      </c>
      <c r="B267" s="5">
        <v>36</v>
      </c>
      <c r="C267" s="7">
        <v>45930</v>
      </c>
      <c r="D267" s="5">
        <v>27</v>
      </c>
      <c r="E267" s="4">
        <v>8</v>
      </c>
      <c r="F267" s="12">
        <f t="shared" si="4"/>
        <v>135.608</v>
      </c>
      <c r="G267" t="str">
        <f>VLOOKUP(B267,product_tbl[],2,FALSE)</f>
        <v>Refrigerator 36</v>
      </c>
      <c r="H267" t="str">
        <f>VLOOKUP(B267,product_tbl[],3,FALSE)</f>
        <v>Home Appliances</v>
      </c>
      <c r="I267">
        <v>88.44</v>
      </c>
      <c r="J267">
        <f>VLOOKUP(B267,product_tbl[],5,FALSE)</f>
        <v>147.4</v>
      </c>
      <c r="K267">
        <f>VLOOKUP(B267,review_tbl[],3,FALSE)</f>
        <v>3</v>
      </c>
      <c r="L267" s="11">
        <v>148.32327906473753</v>
      </c>
      <c r="M267" s="11">
        <f>AVERAGEIF(Table1[product_id],Master_tbl!B267:B1268,Table1[competitor_price])</f>
        <v>2726.4116666666664</v>
      </c>
      <c r="N267" s="11">
        <f>IFERROR(Table5[[#This Row],[final_sale_price]]*Table5[[#This Row],[quantity_sold ]],0)</f>
        <v>3661.4160000000002</v>
      </c>
      <c r="O267" s="11">
        <f>(Table5[[#This Row],[final_sale_price]]-Table5[[#This Row],[cost_price]])*Table5[[#This Row],[quantity_sold ]]</f>
        <v>1273.5360000000001</v>
      </c>
      <c r="P267" s="11">
        <f>(Table5[final_sale_price]-Table5[[#This Row],[avg_comp_price]])</f>
        <v>-2590.8036666666662</v>
      </c>
      <c r="Q267" s="15">
        <f>(Table5[[#This Row],[final_sale_price]]-Table5[[#This Row],[avg_comp_price]])/Table5[[#This Row],[avg_comp_price]]</f>
        <v>-0.95026136307368592</v>
      </c>
      <c r="R267" s="11">
        <f>Table5[[#This Row],[Profit]]/Table5[[#This Row],[Revenue]]</f>
        <v>0.34782608695652173</v>
      </c>
    </row>
    <row r="268" spans="1:18" x14ac:dyDescent="0.2">
      <c r="A268" s="4">
        <v>267</v>
      </c>
      <c r="B268" s="4">
        <v>120</v>
      </c>
      <c r="C268" s="6">
        <v>45508</v>
      </c>
      <c r="D268" s="4">
        <v>37</v>
      </c>
      <c r="E268" s="4">
        <v>9</v>
      </c>
      <c r="F268" s="12">
        <f t="shared" si="4"/>
        <v>1798.7059999999999</v>
      </c>
      <c r="G268" t="str">
        <f>VLOOKUP(B268,product_tbl[],2,FALSE)</f>
        <v>Vacuum Cleaner 120</v>
      </c>
      <c r="H268" t="str">
        <f>VLOOKUP(B268,product_tbl[],3,FALSE)</f>
        <v>Home Appliances</v>
      </c>
      <c r="I268">
        <v>1185.9599999999998</v>
      </c>
      <c r="J268">
        <f>VLOOKUP(B268,product_tbl[],5,FALSE)</f>
        <v>1976.6</v>
      </c>
      <c r="K268">
        <f>VLOOKUP(B268,review_tbl[],3,FALSE)</f>
        <v>2</v>
      </c>
      <c r="L268" s="11">
        <v>2411.3682819691203</v>
      </c>
      <c r="M268" s="11">
        <f>AVERAGEIF(Table1[product_id],Master_tbl!B268:B1269,Table1[competitor_price])</f>
        <v>1688.8574999999998</v>
      </c>
      <c r="N268" s="11">
        <f>IFERROR(Table5[[#This Row],[final_sale_price]]*Table5[[#This Row],[quantity_sold ]],0)</f>
        <v>66552.122000000003</v>
      </c>
      <c r="O268" s="11">
        <f>(Table5[[#This Row],[final_sale_price]]-Table5[[#This Row],[cost_price]])*Table5[[#This Row],[quantity_sold ]]</f>
        <v>22671.602000000003</v>
      </c>
      <c r="P268" s="11">
        <f>(Table5[final_sale_price]-Table5[[#This Row],[avg_comp_price]])</f>
        <v>109.84850000000006</v>
      </c>
      <c r="Q268" s="15">
        <f>(Table5[[#This Row],[final_sale_price]]-Table5[[#This Row],[avg_comp_price]])/Table5[[#This Row],[avg_comp_price]]</f>
        <v>6.5043083859946782E-2</v>
      </c>
      <c r="R268" s="11">
        <f>Table5[[#This Row],[Profit]]/Table5[[#This Row],[Revenue]]</f>
        <v>0.34065934065934067</v>
      </c>
    </row>
    <row r="269" spans="1:18" x14ac:dyDescent="0.2">
      <c r="A269" s="5">
        <v>268</v>
      </c>
      <c r="B269" s="5">
        <v>64</v>
      </c>
      <c r="C269" s="7">
        <v>45220</v>
      </c>
      <c r="D269" s="5">
        <v>9</v>
      </c>
      <c r="E269" s="4">
        <v>7</v>
      </c>
      <c r="F269" s="12">
        <f t="shared" si="4"/>
        <v>2976</v>
      </c>
      <c r="G269" t="str">
        <f>VLOOKUP(B269,product_tbl[],2,FALSE)</f>
        <v>Children Story Book 64</v>
      </c>
      <c r="H269" t="str">
        <f>VLOOKUP(B269,product_tbl[],3,FALSE)</f>
        <v>Books</v>
      </c>
      <c r="I269">
        <v>1920</v>
      </c>
      <c r="J269">
        <f>VLOOKUP(B269,product_tbl[],5,FALSE)</f>
        <v>3200</v>
      </c>
      <c r="K269">
        <f>VLOOKUP(B269,review_tbl[],3,FALSE)</f>
        <v>2</v>
      </c>
      <c r="L269" s="11">
        <v>3842.6646124163567</v>
      </c>
      <c r="M269" s="11">
        <f>AVERAGEIF(Table1[product_id],Master_tbl!B269:B1270,Table1[competitor_price])</f>
        <v>3782.0099999999998</v>
      </c>
      <c r="N269" s="11">
        <f>IFERROR(Table5[[#This Row],[final_sale_price]]*Table5[[#This Row],[quantity_sold ]],0)</f>
        <v>26784</v>
      </c>
      <c r="O269" s="11">
        <f>(Table5[[#This Row],[final_sale_price]]-Table5[[#This Row],[cost_price]])*Table5[[#This Row],[quantity_sold ]]</f>
        <v>9504</v>
      </c>
      <c r="P269" s="11">
        <f>(Table5[final_sale_price]-Table5[[#This Row],[avg_comp_price]])</f>
        <v>-806.00999999999976</v>
      </c>
      <c r="Q269" s="15">
        <f>(Table5[[#This Row],[final_sale_price]]-Table5[[#This Row],[avg_comp_price]])/Table5[[#This Row],[avg_comp_price]]</f>
        <v>-0.21311683469900922</v>
      </c>
      <c r="R269" s="11">
        <f>Table5[[#This Row],[Profit]]/Table5[[#This Row],[Revenue]]</f>
        <v>0.35483870967741937</v>
      </c>
    </row>
    <row r="270" spans="1:18" x14ac:dyDescent="0.2">
      <c r="A270" s="4">
        <v>269</v>
      </c>
      <c r="B270" s="4">
        <v>39</v>
      </c>
      <c r="C270" s="6">
        <v>45383</v>
      </c>
      <c r="D270" s="4">
        <v>10</v>
      </c>
      <c r="E270" s="4">
        <v>2</v>
      </c>
      <c r="F270" s="12">
        <f t="shared" si="4"/>
        <v>3143.4283999999998</v>
      </c>
      <c r="G270" t="str">
        <f>VLOOKUP(B270,product_tbl[],2,FALSE)</f>
        <v>Perfume 39</v>
      </c>
      <c r="H270" t="str">
        <f>VLOOKUP(B270,product_tbl[],3,FALSE)</f>
        <v>Beauty</v>
      </c>
      <c r="I270">
        <v>1924.5479999999998</v>
      </c>
      <c r="J270">
        <f>VLOOKUP(B270,product_tbl[],5,FALSE)</f>
        <v>3207.58</v>
      </c>
      <c r="K270">
        <f>VLOOKUP(B270,review_tbl[],3,FALSE)</f>
        <v>1</v>
      </c>
      <c r="L270" s="11">
        <v>3615.7745661535519</v>
      </c>
      <c r="M270" s="11">
        <f>AVERAGEIF(Table1[product_id],Master_tbl!B270:B1271,Table1[competitor_price])</f>
        <v>9555.6079999999984</v>
      </c>
      <c r="N270" s="11">
        <f>IFERROR(Table5[[#This Row],[final_sale_price]]*Table5[[#This Row],[quantity_sold ]],0)</f>
        <v>31434.284</v>
      </c>
      <c r="O270" s="11">
        <f>(Table5[[#This Row],[final_sale_price]]-Table5[[#This Row],[cost_price]])*Table5[[#This Row],[quantity_sold ]]</f>
        <v>12188.804</v>
      </c>
      <c r="P270" s="11">
        <f>(Table5[final_sale_price]-Table5[[#This Row],[avg_comp_price]])</f>
        <v>-6412.1795999999986</v>
      </c>
      <c r="Q270" s="15">
        <f>(Table5[[#This Row],[final_sale_price]]-Table5[[#This Row],[avg_comp_price]])/Table5[[#This Row],[avg_comp_price]]</f>
        <v>-0.671038368254537</v>
      </c>
      <c r="R270" s="11">
        <f>Table5[[#This Row],[Profit]]/Table5[[#This Row],[Revenue]]</f>
        <v>0.38775510204081631</v>
      </c>
    </row>
    <row r="271" spans="1:18" x14ac:dyDescent="0.2">
      <c r="A271" s="5">
        <v>270</v>
      </c>
      <c r="B271" s="5">
        <v>120</v>
      </c>
      <c r="C271" s="7">
        <v>45315</v>
      </c>
      <c r="D271" s="5">
        <v>31</v>
      </c>
      <c r="E271" s="4">
        <v>7</v>
      </c>
      <c r="F271" s="12">
        <f t="shared" si="4"/>
        <v>1838.2379999999998</v>
      </c>
      <c r="G271" t="str">
        <f>VLOOKUP(B271,product_tbl[],2,FALSE)</f>
        <v>Vacuum Cleaner 120</v>
      </c>
      <c r="H271" t="str">
        <f>VLOOKUP(B271,product_tbl[],3,FALSE)</f>
        <v>Home Appliances</v>
      </c>
      <c r="I271">
        <v>1185.9599999999998</v>
      </c>
      <c r="J271">
        <f>VLOOKUP(B271,product_tbl[],5,FALSE)</f>
        <v>1976.6</v>
      </c>
      <c r="K271">
        <f>VLOOKUP(B271,review_tbl[],3,FALSE)</f>
        <v>2</v>
      </c>
      <c r="L271" s="11">
        <v>2491.4266661925253</v>
      </c>
      <c r="M271" s="11">
        <f>AVERAGEIF(Table1[product_id],Master_tbl!B271:B1272,Table1[competitor_price])</f>
        <v>1688.8574999999998</v>
      </c>
      <c r="N271" s="11">
        <f>IFERROR(Table5[[#This Row],[final_sale_price]]*Table5[[#This Row],[quantity_sold ]],0)</f>
        <v>56985.377999999997</v>
      </c>
      <c r="O271" s="11">
        <f>(Table5[[#This Row],[final_sale_price]]-Table5[[#This Row],[cost_price]])*Table5[[#This Row],[quantity_sold ]]</f>
        <v>20220.618000000002</v>
      </c>
      <c r="P271" s="11">
        <f>(Table5[final_sale_price]-Table5[[#This Row],[avg_comp_price]])</f>
        <v>149.38049999999998</v>
      </c>
      <c r="Q271" s="15">
        <f>(Table5[[#This Row],[final_sale_price]]-Table5[[#This Row],[avg_comp_price]])/Table5[[#This Row],[avg_comp_price]]</f>
        <v>8.8450624164560954E-2</v>
      </c>
      <c r="R271" s="11">
        <f>Table5[[#This Row],[Profit]]/Table5[[#This Row],[Revenue]]</f>
        <v>0.35483870967741943</v>
      </c>
    </row>
    <row r="272" spans="1:18" x14ac:dyDescent="0.2">
      <c r="A272" s="4">
        <v>271</v>
      </c>
      <c r="B272" s="4">
        <v>6</v>
      </c>
      <c r="C272" s="6">
        <v>45434</v>
      </c>
      <c r="D272" s="4">
        <v>1</v>
      </c>
      <c r="E272" s="4">
        <v>7</v>
      </c>
      <c r="F272" s="12">
        <f t="shared" si="4"/>
        <v>3836.4173999999998</v>
      </c>
      <c r="G272" t="str">
        <f>VLOOKUP(B272,product_tbl[],2,FALSE)</f>
        <v>Microwave 6</v>
      </c>
      <c r="H272" t="str">
        <f>VLOOKUP(B272,product_tbl[],3,FALSE)</f>
        <v>Home Appliances</v>
      </c>
      <c r="I272">
        <v>2475.1080000000002</v>
      </c>
      <c r="J272">
        <f>VLOOKUP(B272,product_tbl[],5,FALSE)</f>
        <v>4125.18</v>
      </c>
      <c r="K272">
        <f>VLOOKUP(B272,review_tbl[],3,FALSE)</f>
        <v>5</v>
      </c>
      <c r="L272" s="11">
        <v>4755.3109669504456</v>
      </c>
      <c r="M272" s="11">
        <f>AVERAGEIF(Table1[product_id],Master_tbl!B272:B1273,Table1[competitor_price])</f>
        <v>6862.0275000000001</v>
      </c>
      <c r="N272" s="11">
        <f>IFERROR(Table5[[#This Row],[final_sale_price]]*Table5[[#This Row],[quantity_sold ]],0)</f>
        <v>3836.4173999999998</v>
      </c>
      <c r="O272" s="11">
        <f>(Table5[[#This Row],[final_sale_price]]-Table5[[#This Row],[cost_price]])*Table5[[#This Row],[quantity_sold ]]</f>
        <v>1361.3093999999996</v>
      </c>
      <c r="P272" s="11">
        <f>(Table5[final_sale_price]-Table5[[#This Row],[avg_comp_price]])</f>
        <v>-3025.6101000000003</v>
      </c>
      <c r="Q272" s="15">
        <f>(Table5[[#This Row],[final_sale_price]]-Table5[[#This Row],[avg_comp_price]])/Table5[[#This Row],[avg_comp_price]]</f>
        <v>-0.44092071913148123</v>
      </c>
      <c r="R272" s="11">
        <f>Table5[[#This Row],[Profit]]/Table5[[#This Row],[Revenue]]</f>
        <v>0.35483870967741926</v>
      </c>
    </row>
    <row r="273" spans="1:18" x14ac:dyDescent="0.2">
      <c r="A273" s="5">
        <v>272</v>
      </c>
      <c r="B273" s="5">
        <v>74</v>
      </c>
      <c r="C273" s="7">
        <v>45683</v>
      </c>
      <c r="D273" s="5">
        <v>42</v>
      </c>
      <c r="E273" s="4">
        <v>3</v>
      </c>
      <c r="F273" s="12">
        <f t="shared" si="4"/>
        <v>1848.0536999999999</v>
      </c>
      <c r="G273" t="str">
        <f>VLOOKUP(B273,product_tbl[],2,FALSE)</f>
        <v>Sneakers 74</v>
      </c>
      <c r="H273" t="str">
        <f>VLOOKUP(B273,product_tbl[],3,FALSE)</f>
        <v>Fashion</v>
      </c>
      <c r="I273">
        <v>1143.126</v>
      </c>
      <c r="J273">
        <f>VLOOKUP(B273,product_tbl[],5,FALSE)</f>
        <v>1905.21</v>
      </c>
      <c r="K273">
        <f>VLOOKUP(B273,review_tbl[],3,FALSE)</f>
        <v>5</v>
      </c>
      <c r="L273" s="11">
        <v>2381.611905541281</v>
      </c>
      <c r="M273" s="11">
        <f>AVERAGEIF(Table1[product_id],Master_tbl!B273:B1274,Table1[competitor_price])</f>
        <v>2585.9039999999995</v>
      </c>
      <c r="N273" s="11">
        <f>IFERROR(Table5[[#This Row],[final_sale_price]]*Table5[[#This Row],[quantity_sold ]],0)</f>
        <v>77618.255399999995</v>
      </c>
      <c r="O273" s="11">
        <f>(Table5[[#This Row],[final_sale_price]]-Table5[[#This Row],[cost_price]])*Table5[[#This Row],[quantity_sold ]]</f>
        <v>29606.963399999997</v>
      </c>
      <c r="P273" s="11">
        <f>(Table5[final_sale_price]-Table5[[#This Row],[avg_comp_price]])</f>
        <v>-737.85029999999961</v>
      </c>
      <c r="Q273" s="15">
        <f>(Table5[[#This Row],[final_sale_price]]-Table5[[#This Row],[avg_comp_price]])/Table5[[#This Row],[avg_comp_price]]</f>
        <v>-0.2853355344978003</v>
      </c>
      <c r="R273" s="11">
        <f>Table5[[#This Row],[Profit]]/Table5[[#This Row],[Revenue]]</f>
        <v>0.38144329896907214</v>
      </c>
    </row>
    <row r="274" spans="1:18" x14ac:dyDescent="0.2">
      <c r="A274" s="4">
        <v>273</v>
      </c>
      <c r="B274" s="4">
        <v>66</v>
      </c>
      <c r="C274" s="6">
        <v>44984</v>
      </c>
      <c r="D274" s="4">
        <v>2</v>
      </c>
      <c r="E274" s="4">
        <v>6</v>
      </c>
      <c r="F274" s="12">
        <f t="shared" si="4"/>
        <v>5475.5093999999999</v>
      </c>
      <c r="G274" t="str">
        <f>VLOOKUP(B274,product_tbl[],2,FALSE)</f>
        <v>Olive Oil 66</v>
      </c>
      <c r="H274" t="str">
        <f>VLOOKUP(B274,product_tbl[],3,FALSE)</f>
        <v>Grocery</v>
      </c>
      <c r="I274">
        <v>3495.0059999999999</v>
      </c>
      <c r="J274">
        <f>VLOOKUP(B274,product_tbl[],5,FALSE)</f>
        <v>5825.01</v>
      </c>
      <c r="K274">
        <f>VLOOKUP(B274,review_tbl[],3,FALSE)</f>
        <v>1</v>
      </c>
      <c r="L274" s="11">
        <v>7355.438276315539</v>
      </c>
      <c r="M274" s="11">
        <f>AVERAGEIF(Table1[product_id],Master_tbl!B274:B1275,Table1[competitor_price])</f>
        <v>6051.7379999999994</v>
      </c>
      <c r="N274" s="11">
        <f>IFERROR(Table5[[#This Row],[final_sale_price]]*Table5[[#This Row],[quantity_sold ]],0)</f>
        <v>10951.0188</v>
      </c>
      <c r="O274" s="11">
        <f>(Table5[[#This Row],[final_sale_price]]-Table5[[#This Row],[cost_price]])*Table5[[#This Row],[quantity_sold ]]</f>
        <v>3961.0068000000001</v>
      </c>
      <c r="P274" s="11">
        <f>(Table5[final_sale_price]-Table5[[#This Row],[avg_comp_price]])</f>
        <v>-576.22859999999946</v>
      </c>
      <c r="Q274" s="15">
        <f>(Table5[[#This Row],[final_sale_price]]-Table5[[#This Row],[avg_comp_price]])/Table5[[#This Row],[avg_comp_price]]</f>
        <v>-9.5217043434464535E-2</v>
      </c>
      <c r="R274" s="11">
        <f>Table5[[#This Row],[Profit]]/Table5[[#This Row],[Revenue]]</f>
        <v>0.36170212765957449</v>
      </c>
    </row>
    <row r="275" spans="1:18" x14ac:dyDescent="0.2">
      <c r="A275" s="5">
        <v>274</v>
      </c>
      <c r="B275" s="5">
        <v>88</v>
      </c>
      <c r="C275" s="7">
        <v>45750</v>
      </c>
      <c r="D275" s="5">
        <v>40</v>
      </c>
      <c r="E275" s="4">
        <v>6</v>
      </c>
      <c r="F275" s="12">
        <f t="shared" si="4"/>
        <v>5862.1502</v>
      </c>
      <c r="G275" t="str">
        <f>VLOOKUP(B275,product_tbl[],2,FALSE)</f>
        <v>Tablet 88</v>
      </c>
      <c r="H275" t="str">
        <f>VLOOKUP(B275,product_tbl[],3,FALSE)</f>
        <v>Electronics</v>
      </c>
      <c r="I275">
        <v>3741.7979999999998</v>
      </c>
      <c r="J275">
        <f>VLOOKUP(B275,product_tbl[],5,FALSE)</f>
        <v>6236.33</v>
      </c>
      <c r="K275">
        <f>VLOOKUP(B275,review_tbl[],3,FALSE)</f>
        <v>5</v>
      </c>
      <c r="L275" s="11">
        <v>7405.4608601139744</v>
      </c>
      <c r="M275" s="11">
        <f>AVERAGEIF(Table1[product_id],Master_tbl!B275:B1276,Table1[competitor_price])</f>
        <v>4981.5050000000001</v>
      </c>
      <c r="N275" s="11">
        <f>IFERROR(Table5[[#This Row],[final_sale_price]]*Table5[[#This Row],[quantity_sold ]],0)</f>
        <v>234486.008</v>
      </c>
      <c r="O275" s="11">
        <f>(Table5[[#This Row],[final_sale_price]]-Table5[[#This Row],[cost_price]])*Table5[[#This Row],[quantity_sold ]]</f>
        <v>84814.088000000018</v>
      </c>
      <c r="P275" s="11">
        <f>(Table5[final_sale_price]-Table5[[#This Row],[avg_comp_price]])</f>
        <v>880.64519999999993</v>
      </c>
      <c r="Q275" s="15">
        <f>(Table5[[#This Row],[final_sale_price]]-Table5[[#This Row],[avg_comp_price]])/Table5[[#This Row],[avg_comp_price]]</f>
        <v>0.17678296016966757</v>
      </c>
      <c r="R275" s="11">
        <f>Table5[[#This Row],[Profit]]/Table5[[#This Row],[Revenue]]</f>
        <v>0.36170212765957455</v>
      </c>
    </row>
    <row r="276" spans="1:18" x14ac:dyDescent="0.2">
      <c r="A276" s="4">
        <v>275</v>
      </c>
      <c r="B276" s="4">
        <v>110</v>
      </c>
      <c r="C276" s="6">
        <v>44927</v>
      </c>
      <c r="D276" s="4">
        <v>7</v>
      </c>
      <c r="E276" s="4">
        <v>4</v>
      </c>
      <c r="F276" s="12">
        <f t="shared" si="4"/>
        <v>1492.0416</v>
      </c>
      <c r="G276" t="str">
        <f>VLOOKUP(B276,product_tbl[],2,FALSE)</f>
        <v>Cookbook 110</v>
      </c>
      <c r="H276" t="str">
        <f>VLOOKUP(B276,product_tbl[],3,FALSE)</f>
        <v>Books</v>
      </c>
      <c r="I276">
        <v>932.52599999999995</v>
      </c>
      <c r="J276">
        <f>VLOOKUP(B276,product_tbl[],5,FALSE)</f>
        <v>1554.21</v>
      </c>
      <c r="K276">
        <f>VLOOKUP(B276,review_tbl[],3,FALSE)</f>
        <v>3</v>
      </c>
      <c r="L276" s="11">
        <v>1835.4360136405326</v>
      </c>
      <c r="M276" s="11">
        <f>AVERAGEIF(Table1[product_id],Master_tbl!B276:B1277,Table1[competitor_price])</f>
        <v>764.66499999999996</v>
      </c>
      <c r="N276" s="11">
        <f>IFERROR(Table5[[#This Row],[final_sale_price]]*Table5[[#This Row],[quantity_sold ]],0)</f>
        <v>10444.2912</v>
      </c>
      <c r="O276" s="11">
        <f>(Table5[[#This Row],[final_sale_price]]-Table5[[#This Row],[cost_price]])*Table5[[#This Row],[quantity_sold ]]</f>
        <v>3916.6092000000003</v>
      </c>
      <c r="P276" s="11">
        <f>(Table5[final_sale_price]-Table5[[#This Row],[avg_comp_price]])</f>
        <v>727.37660000000005</v>
      </c>
      <c r="Q276" s="15">
        <f>(Table5[[#This Row],[final_sale_price]]-Table5[[#This Row],[avg_comp_price]])/Table5[[#This Row],[avg_comp_price]]</f>
        <v>0.95123563913609244</v>
      </c>
      <c r="R276" s="11">
        <f>Table5[[#This Row],[Profit]]/Table5[[#This Row],[Revenue]]</f>
        <v>0.37500000000000006</v>
      </c>
    </row>
    <row r="277" spans="1:18" x14ac:dyDescent="0.2">
      <c r="A277" s="5">
        <v>276</v>
      </c>
      <c r="B277" s="5">
        <v>109</v>
      </c>
      <c r="C277" s="7">
        <v>45028</v>
      </c>
      <c r="D277" s="5">
        <v>42</v>
      </c>
      <c r="E277" s="4">
        <v>3</v>
      </c>
      <c r="F277" s="12">
        <f t="shared" si="4"/>
        <v>2148.0552999999995</v>
      </c>
      <c r="G277" t="str">
        <f>VLOOKUP(B277,product_tbl[],2,FALSE)</f>
        <v>Fiction Novel 109</v>
      </c>
      <c r="H277" t="str">
        <f>VLOOKUP(B277,product_tbl[],3,FALSE)</f>
        <v>Books</v>
      </c>
      <c r="I277">
        <v>1328.6939999999997</v>
      </c>
      <c r="J277">
        <f>VLOOKUP(B277,product_tbl[],5,FALSE)</f>
        <v>2214.4899999999998</v>
      </c>
      <c r="K277">
        <f>VLOOKUP(B277,review_tbl[],3,FALSE)</f>
        <v>2</v>
      </c>
      <c r="L277" s="11">
        <v>2646.0388331027134</v>
      </c>
      <c r="M277" s="11">
        <f>AVERAGEIF(Table1[product_id],Master_tbl!B277:B1278,Table1[competitor_price])</f>
        <v>6555.1760000000013</v>
      </c>
      <c r="N277" s="11">
        <f>IFERROR(Table5[[#This Row],[final_sale_price]]*Table5[[#This Row],[quantity_sold ]],0)</f>
        <v>90218.322599999985</v>
      </c>
      <c r="O277" s="11">
        <f>(Table5[[#This Row],[final_sale_price]]-Table5[[#This Row],[cost_price]])*Table5[[#This Row],[quantity_sold ]]</f>
        <v>34413.174599999991</v>
      </c>
      <c r="P277" s="11">
        <f>(Table5[final_sale_price]-Table5[[#This Row],[avg_comp_price]])</f>
        <v>-4407.1207000000013</v>
      </c>
      <c r="Q277" s="15">
        <f>(Table5[[#This Row],[final_sale_price]]-Table5[[#This Row],[avg_comp_price]])/Table5[[#This Row],[avg_comp_price]]</f>
        <v>-0.67231157485321524</v>
      </c>
      <c r="R277" s="11">
        <f>Table5[[#This Row],[Profit]]/Table5[[#This Row],[Revenue]]</f>
        <v>0.38144329896907214</v>
      </c>
    </row>
    <row r="278" spans="1:18" x14ac:dyDescent="0.2">
      <c r="A278" s="4">
        <v>277</v>
      </c>
      <c r="B278" s="4">
        <v>147</v>
      </c>
      <c r="C278" s="6">
        <v>45173</v>
      </c>
      <c r="D278" s="4">
        <v>44</v>
      </c>
      <c r="E278" s="4">
        <v>6</v>
      </c>
      <c r="F278" s="12">
        <f t="shared" si="4"/>
        <v>4309.2607999999991</v>
      </c>
      <c r="G278" t="str">
        <f>VLOOKUP(B278,product_tbl[],2,FALSE)</f>
        <v>Cricket Bat 147</v>
      </c>
      <c r="H278" t="str">
        <f>VLOOKUP(B278,product_tbl[],3,FALSE)</f>
        <v>Sports</v>
      </c>
      <c r="I278">
        <v>2750.5919999999996</v>
      </c>
      <c r="J278">
        <f>VLOOKUP(B278,product_tbl[],5,FALSE)</f>
        <v>4584.32</v>
      </c>
      <c r="K278">
        <f>VLOOKUP(B278,review_tbl[],3,FALSE)</f>
        <v>1</v>
      </c>
      <c r="L278" s="11">
        <v>4991.3452532017254</v>
      </c>
      <c r="M278" s="11">
        <f>AVERAGEIF(Table1[product_id],Master_tbl!B278:B1279,Table1[competitor_price])</f>
        <v>769.14</v>
      </c>
      <c r="N278" s="11">
        <f>IFERROR(Table5[[#This Row],[final_sale_price]]*Table5[[#This Row],[quantity_sold ]],0)</f>
        <v>189607.47519999996</v>
      </c>
      <c r="O278" s="11">
        <f>(Table5[[#This Row],[final_sale_price]]-Table5[[#This Row],[cost_price]])*Table5[[#This Row],[quantity_sold ]]</f>
        <v>68581.427199999976</v>
      </c>
      <c r="P278" s="11">
        <f>(Table5[final_sale_price]-Table5[[#This Row],[avg_comp_price]])</f>
        <v>3540.1207999999992</v>
      </c>
      <c r="Q278" s="15">
        <f>(Table5[[#This Row],[final_sale_price]]-Table5[[#This Row],[avg_comp_price]])/Table5[[#This Row],[avg_comp_price]]</f>
        <v>4.602700158618716</v>
      </c>
      <c r="R278" s="11">
        <f>Table5[[#This Row],[Profit]]/Table5[[#This Row],[Revenue]]</f>
        <v>0.36170212765957444</v>
      </c>
    </row>
    <row r="279" spans="1:18" x14ac:dyDescent="0.2">
      <c r="A279" s="5">
        <v>278</v>
      </c>
      <c r="B279" s="5">
        <v>40</v>
      </c>
      <c r="C279" s="7">
        <v>45357</v>
      </c>
      <c r="D279" s="5">
        <v>32</v>
      </c>
      <c r="E279" s="4">
        <v>9</v>
      </c>
      <c r="F279" s="12">
        <f t="shared" si="4"/>
        <v>447.96570000000003</v>
      </c>
      <c r="G279" t="str">
        <f>VLOOKUP(B279,product_tbl[],2,FALSE)</f>
        <v>Dress 40</v>
      </c>
      <c r="H279" t="str">
        <f>VLOOKUP(B279,product_tbl[],3,FALSE)</f>
        <v>Fashion</v>
      </c>
      <c r="I279">
        <v>295.36199999999997</v>
      </c>
      <c r="J279">
        <f>VLOOKUP(B279,product_tbl[],5,FALSE)</f>
        <v>492.27</v>
      </c>
      <c r="K279">
        <f>VLOOKUP(B279,review_tbl[],3,FALSE)</f>
        <v>1</v>
      </c>
      <c r="L279" s="11">
        <v>616.44059307879979</v>
      </c>
      <c r="M279" s="11">
        <f>AVERAGEIF(Table1[product_id],Master_tbl!B279:B1280,Table1[competitor_price])</f>
        <v>603.70600000000002</v>
      </c>
      <c r="N279" s="11">
        <f>IFERROR(Table5[[#This Row],[final_sale_price]]*Table5[[#This Row],[quantity_sold ]],0)</f>
        <v>14334.902400000001</v>
      </c>
      <c r="O279" s="11">
        <f>(Table5[[#This Row],[final_sale_price]]-Table5[[#This Row],[cost_price]])*Table5[[#This Row],[quantity_sold ]]</f>
        <v>4883.3184000000019</v>
      </c>
      <c r="P279" s="11">
        <f>(Table5[final_sale_price]-Table5[[#This Row],[avg_comp_price]])</f>
        <v>-155.74029999999999</v>
      </c>
      <c r="Q279" s="15">
        <f>(Table5[[#This Row],[final_sale_price]]-Table5[[#This Row],[avg_comp_price]])/Table5[[#This Row],[avg_comp_price]]</f>
        <v>-0.25797374881150759</v>
      </c>
      <c r="R279" s="11">
        <f>Table5[[#This Row],[Profit]]/Table5[[#This Row],[Revenue]]</f>
        <v>0.34065934065934078</v>
      </c>
    </row>
    <row r="280" spans="1:18" x14ac:dyDescent="0.2">
      <c r="A280" s="4">
        <v>279</v>
      </c>
      <c r="B280" s="4">
        <v>38</v>
      </c>
      <c r="C280" s="6">
        <v>45412</v>
      </c>
      <c r="D280" s="4">
        <v>41</v>
      </c>
      <c r="E280" s="4">
        <v>10</v>
      </c>
      <c r="F280" s="12">
        <f t="shared" si="4"/>
        <v>5935.9409999999998</v>
      </c>
      <c r="G280" t="str">
        <f>VLOOKUP(B280,product_tbl[],2,FALSE)</f>
        <v>Jeans 38</v>
      </c>
      <c r="H280" t="str">
        <f>VLOOKUP(B280,product_tbl[],3,FALSE)</f>
        <v>Fashion</v>
      </c>
      <c r="I280">
        <v>3957.2939999999999</v>
      </c>
      <c r="J280">
        <f>VLOOKUP(B280,product_tbl[],5,FALSE)</f>
        <v>6595.49</v>
      </c>
      <c r="K280">
        <f>VLOOKUP(B280,review_tbl[],3,FALSE)</f>
        <v>5</v>
      </c>
      <c r="L280" s="11">
        <v>7621.6397759219808</v>
      </c>
      <c r="M280" s="11">
        <f>AVERAGEIF(Table1[product_id],Master_tbl!B280:B1281,Table1[competitor_price])</f>
        <v>517.86</v>
      </c>
      <c r="N280" s="11">
        <f>IFERROR(Table5[[#This Row],[final_sale_price]]*Table5[[#This Row],[quantity_sold ]],0)</f>
        <v>243373.58100000001</v>
      </c>
      <c r="O280" s="11">
        <f>(Table5[[#This Row],[final_sale_price]]-Table5[[#This Row],[cost_price]])*Table5[[#This Row],[quantity_sold ]]</f>
        <v>81124.527000000002</v>
      </c>
      <c r="P280" s="11">
        <f>(Table5[final_sale_price]-Table5[[#This Row],[avg_comp_price]])</f>
        <v>5418.0810000000001</v>
      </c>
      <c r="Q280" s="15">
        <f>(Table5[[#This Row],[final_sale_price]]-Table5[[#This Row],[avg_comp_price]])/Table5[[#This Row],[avg_comp_price]]</f>
        <v>10.462443517553007</v>
      </c>
      <c r="R280" s="11">
        <f>Table5[[#This Row],[Profit]]/Table5[[#This Row],[Revenue]]</f>
        <v>0.33333333333333331</v>
      </c>
    </row>
    <row r="281" spans="1:18" x14ac:dyDescent="0.2">
      <c r="A281" s="5">
        <v>280</v>
      </c>
      <c r="B281" s="5">
        <v>148</v>
      </c>
      <c r="C281" s="7">
        <v>45532</v>
      </c>
      <c r="D281" s="5">
        <v>1</v>
      </c>
      <c r="E281" s="4">
        <v>2</v>
      </c>
      <c r="F281" s="12">
        <f t="shared" si="4"/>
        <v>3948.4395999999997</v>
      </c>
      <c r="G281" t="str">
        <f>VLOOKUP(B281,product_tbl[],2,FALSE)</f>
        <v>Gym Gloves 148</v>
      </c>
      <c r="H281" t="str">
        <f>VLOOKUP(B281,product_tbl[],3,FALSE)</f>
        <v>Sports</v>
      </c>
      <c r="I281">
        <v>2417.4119999999998</v>
      </c>
      <c r="J281">
        <f>VLOOKUP(B281,product_tbl[],5,FALSE)</f>
        <v>4029.02</v>
      </c>
      <c r="K281">
        <f>VLOOKUP(B281,review_tbl[],3,FALSE)</f>
        <v>1</v>
      </c>
      <c r="L281" s="11">
        <v>4079.082898789718</v>
      </c>
      <c r="M281" s="11">
        <f>AVERAGEIF(Table1[product_id],Master_tbl!B281:B1282,Table1[competitor_price])</f>
        <v>4467.1499999999996</v>
      </c>
      <c r="N281" s="11">
        <f>IFERROR(Table5[[#This Row],[final_sale_price]]*Table5[[#This Row],[quantity_sold ]],0)</f>
        <v>3948.4395999999997</v>
      </c>
      <c r="O281" s="11">
        <f>(Table5[[#This Row],[final_sale_price]]-Table5[[#This Row],[cost_price]])*Table5[[#This Row],[quantity_sold ]]</f>
        <v>1531.0275999999999</v>
      </c>
      <c r="P281" s="11">
        <f>(Table5[final_sale_price]-Table5[[#This Row],[avg_comp_price]])</f>
        <v>-518.71039999999994</v>
      </c>
      <c r="Q281" s="15">
        <f>(Table5[[#This Row],[final_sale_price]]-Table5[[#This Row],[avg_comp_price]])/Table5[[#This Row],[avg_comp_price]]</f>
        <v>-0.11611662917072406</v>
      </c>
      <c r="R281" s="11">
        <f>Table5[[#This Row],[Profit]]/Table5[[#This Row],[Revenue]]</f>
        <v>0.38775510204081631</v>
      </c>
    </row>
    <row r="282" spans="1:18" x14ac:dyDescent="0.2">
      <c r="A282" s="4">
        <v>281</v>
      </c>
      <c r="B282" s="4">
        <v>64</v>
      </c>
      <c r="C282" s="6">
        <v>45937</v>
      </c>
      <c r="D282" s="4">
        <v>42</v>
      </c>
      <c r="E282" s="4">
        <v>6</v>
      </c>
      <c r="F282" s="12">
        <f t="shared" si="4"/>
        <v>3008</v>
      </c>
      <c r="G282" t="str">
        <f>VLOOKUP(B282,product_tbl[],2,FALSE)</f>
        <v>Children Story Book 64</v>
      </c>
      <c r="H282" t="str">
        <f>VLOOKUP(B282,product_tbl[],3,FALSE)</f>
        <v>Books</v>
      </c>
      <c r="I282">
        <v>1920</v>
      </c>
      <c r="J282">
        <f>VLOOKUP(B282,product_tbl[],5,FALSE)</f>
        <v>3200</v>
      </c>
      <c r="K282">
        <f>VLOOKUP(B282,review_tbl[],3,FALSE)</f>
        <v>2</v>
      </c>
      <c r="L282" s="11">
        <v>3490.8879387964466</v>
      </c>
      <c r="M282" s="11">
        <f>AVERAGEIF(Table1[product_id],Master_tbl!B282:B1283,Table1[competitor_price])</f>
        <v>3782.0099999999998</v>
      </c>
      <c r="N282" s="11">
        <f>IFERROR(Table5[[#This Row],[final_sale_price]]*Table5[[#This Row],[quantity_sold ]],0)</f>
        <v>126336</v>
      </c>
      <c r="O282" s="11">
        <f>(Table5[[#This Row],[final_sale_price]]-Table5[[#This Row],[cost_price]])*Table5[[#This Row],[quantity_sold ]]</f>
        <v>45696</v>
      </c>
      <c r="P282" s="11">
        <f>(Table5[final_sale_price]-Table5[[#This Row],[avg_comp_price]])</f>
        <v>-774.00999999999976</v>
      </c>
      <c r="Q282" s="15">
        <f>(Table5[[#This Row],[final_sale_price]]-Table5[[#This Row],[avg_comp_price]])/Table5[[#This Row],[avg_comp_price]]</f>
        <v>-0.20465572539469748</v>
      </c>
      <c r="R282" s="11">
        <f>Table5[[#This Row],[Profit]]/Table5[[#This Row],[Revenue]]</f>
        <v>0.36170212765957449</v>
      </c>
    </row>
    <row r="283" spans="1:18" x14ac:dyDescent="0.2">
      <c r="A283" s="5">
        <v>282</v>
      </c>
      <c r="B283" s="5">
        <v>125</v>
      </c>
      <c r="C283" s="7">
        <v>44990</v>
      </c>
      <c r="D283" s="5">
        <v>31</v>
      </c>
      <c r="E283" s="4">
        <v>2</v>
      </c>
      <c r="F283" s="12">
        <f t="shared" si="4"/>
        <v>4264.0486000000001</v>
      </c>
      <c r="G283" t="str">
        <f>VLOOKUP(B283,product_tbl[],2,FALSE)</f>
        <v>Air Conditioner 125</v>
      </c>
      <c r="H283" t="str">
        <f>VLOOKUP(B283,product_tbl[],3,FALSE)</f>
        <v>Home Appliances</v>
      </c>
      <c r="I283">
        <v>2610.6419999999998</v>
      </c>
      <c r="J283">
        <f>VLOOKUP(B283,product_tbl[],5,FALSE)</f>
        <v>4351.07</v>
      </c>
      <c r="K283">
        <f>VLOOKUP(B283,review_tbl[],3,FALSE)</f>
        <v>5</v>
      </c>
      <c r="L283" s="11">
        <v>4695.6688978374923</v>
      </c>
      <c r="M283" s="11">
        <f>AVERAGEIF(Table1[product_id],Master_tbl!B283:B1284,Table1[competitor_price])</f>
        <v>5094.8040000000001</v>
      </c>
      <c r="N283" s="11">
        <f>IFERROR(Table5[[#This Row],[final_sale_price]]*Table5[[#This Row],[quantity_sold ]],0)</f>
        <v>132185.50659999999</v>
      </c>
      <c r="O283" s="11">
        <f>(Table5[[#This Row],[final_sale_price]]-Table5[[#This Row],[cost_price]])*Table5[[#This Row],[quantity_sold ]]</f>
        <v>51255.604600000006</v>
      </c>
      <c r="P283" s="11">
        <f>(Table5[final_sale_price]-Table5[[#This Row],[avg_comp_price]])</f>
        <v>-830.75540000000001</v>
      </c>
      <c r="Q283" s="15">
        <f>(Table5[[#This Row],[final_sale_price]]-Table5[[#This Row],[avg_comp_price]])/Table5[[#This Row],[avg_comp_price]]</f>
        <v>-0.16305934438302239</v>
      </c>
      <c r="R283" s="11">
        <f>Table5[[#This Row],[Profit]]/Table5[[#This Row],[Revenue]]</f>
        <v>0.38775510204081637</v>
      </c>
    </row>
    <row r="284" spans="1:18" x14ac:dyDescent="0.2">
      <c r="A284" s="4">
        <v>283</v>
      </c>
      <c r="B284" s="4">
        <v>65</v>
      </c>
      <c r="C284" s="6">
        <v>45006</v>
      </c>
      <c r="D284" s="4">
        <v>1</v>
      </c>
      <c r="E284" s="4">
        <v>5</v>
      </c>
      <c r="F284" s="12">
        <f t="shared" si="4"/>
        <v>4285.7919999999995</v>
      </c>
      <c r="G284" t="str">
        <f>VLOOKUP(B284,product_tbl[],2,FALSE)</f>
        <v>Biography 65</v>
      </c>
      <c r="H284" t="str">
        <f>VLOOKUP(B284,product_tbl[],3,FALSE)</f>
        <v>Books</v>
      </c>
      <c r="I284">
        <v>2706.8159999999998</v>
      </c>
      <c r="J284">
        <f>VLOOKUP(B284,product_tbl[],5,FALSE)</f>
        <v>4511.3599999999997</v>
      </c>
      <c r="K284">
        <f>VLOOKUP(B284,review_tbl[],3,FALSE)</f>
        <v>1</v>
      </c>
      <c r="L284" s="11">
        <v>5176.3852944695627</v>
      </c>
      <c r="M284" s="11">
        <f>AVERAGEIF(Table1[product_id],Master_tbl!B284:B1285,Table1[competitor_price])</f>
        <v>1786.8475000000001</v>
      </c>
      <c r="N284" s="11">
        <f>IFERROR(Table5[[#This Row],[final_sale_price]]*Table5[[#This Row],[quantity_sold ]],0)</f>
        <v>4285.7919999999995</v>
      </c>
      <c r="O284" s="11">
        <f>(Table5[[#This Row],[final_sale_price]]-Table5[[#This Row],[cost_price]])*Table5[[#This Row],[quantity_sold ]]</f>
        <v>1578.9759999999997</v>
      </c>
      <c r="P284" s="11">
        <f>(Table5[final_sale_price]-Table5[[#This Row],[avg_comp_price]])</f>
        <v>2498.9444999999996</v>
      </c>
      <c r="Q284" s="15">
        <f>(Table5[[#This Row],[final_sale_price]]-Table5[[#This Row],[avg_comp_price]])/Table5[[#This Row],[avg_comp_price]]</f>
        <v>1.3985214183079415</v>
      </c>
      <c r="R284" s="11">
        <f>Table5[[#This Row],[Profit]]/Table5[[#This Row],[Revenue]]</f>
        <v>0.36842105263157893</v>
      </c>
    </row>
    <row r="285" spans="1:18" x14ac:dyDescent="0.2">
      <c r="A285" s="5">
        <v>284</v>
      </c>
      <c r="B285" s="5">
        <v>21</v>
      </c>
      <c r="C285" s="7">
        <v>45938</v>
      </c>
      <c r="D285" s="5">
        <v>20</v>
      </c>
      <c r="E285" s="4">
        <v>6</v>
      </c>
      <c r="F285" s="12">
        <f t="shared" si="4"/>
        <v>2706.5419999999999</v>
      </c>
      <c r="G285" t="str">
        <f>VLOOKUP(B285,product_tbl[],2,FALSE)</f>
        <v>Water Purifier 21</v>
      </c>
      <c r="H285" t="str">
        <f>VLOOKUP(B285,product_tbl[],3,FALSE)</f>
        <v>Home Appliances</v>
      </c>
      <c r="I285">
        <v>1727.5800000000002</v>
      </c>
      <c r="J285">
        <f>VLOOKUP(B285,product_tbl[],5,FALSE)</f>
        <v>2879.3</v>
      </c>
      <c r="K285">
        <f>VLOOKUP(B285,review_tbl[],3,FALSE)</f>
        <v>3</v>
      </c>
      <c r="L285" s="11">
        <v>3252.1405000536893</v>
      </c>
      <c r="M285" s="11">
        <f>AVERAGEIF(Table1[product_id],Master_tbl!B285:B1286,Table1[competitor_price])</f>
        <v>4150.0079999999998</v>
      </c>
      <c r="N285" s="11">
        <f>IFERROR(Table5[[#This Row],[final_sale_price]]*Table5[[#This Row],[quantity_sold ]],0)</f>
        <v>54130.84</v>
      </c>
      <c r="O285" s="11">
        <f>(Table5[[#This Row],[final_sale_price]]-Table5[[#This Row],[cost_price]])*Table5[[#This Row],[quantity_sold ]]</f>
        <v>19579.239999999994</v>
      </c>
      <c r="P285" s="11">
        <f>(Table5[final_sale_price]-Table5[[#This Row],[avg_comp_price]])</f>
        <v>-1443.4659999999999</v>
      </c>
      <c r="Q285" s="15">
        <f>(Table5[[#This Row],[final_sale_price]]-Table5[[#This Row],[avg_comp_price]])/Table5[[#This Row],[avg_comp_price]]</f>
        <v>-0.34782246202898887</v>
      </c>
      <c r="R285" s="11">
        <f>Table5[[#This Row],[Profit]]/Table5[[#This Row],[Revenue]]</f>
        <v>0.36170212765957438</v>
      </c>
    </row>
    <row r="286" spans="1:18" x14ac:dyDescent="0.2">
      <c r="A286" s="4">
        <v>285</v>
      </c>
      <c r="B286" s="4">
        <v>57</v>
      </c>
      <c r="C286" s="6">
        <v>45390</v>
      </c>
      <c r="D286" s="4">
        <v>8</v>
      </c>
      <c r="E286" s="4">
        <v>9</v>
      </c>
      <c r="F286" s="12">
        <f t="shared" si="4"/>
        <v>6198.6925000000001</v>
      </c>
      <c r="G286" t="str">
        <f>VLOOKUP(B286,product_tbl[],2,FALSE)</f>
        <v>Face Wash 57</v>
      </c>
      <c r="H286" t="str">
        <f>VLOOKUP(B286,product_tbl[],3,FALSE)</f>
        <v>Beauty</v>
      </c>
      <c r="I286">
        <v>4087.0499999999997</v>
      </c>
      <c r="J286">
        <f>VLOOKUP(B286,product_tbl[],5,FALSE)</f>
        <v>6811.75</v>
      </c>
      <c r="K286">
        <f>VLOOKUP(B286,review_tbl[],3,FALSE)</f>
        <v>2</v>
      </c>
      <c r="L286" s="11">
        <v>8731.2817868813654</v>
      </c>
      <c r="M286" s="11">
        <f>AVERAGEIF(Table1[product_id],Master_tbl!B286:B1287,Table1[competitor_price])</f>
        <v>1836.9825000000001</v>
      </c>
      <c r="N286" s="11">
        <f>IFERROR(Table5[[#This Row],[final_sale_price]]*Table5[[#This Row],[quantity_sold ]],0)</f>
        <v>49589.54</v>
      </c>
      <c r="O286" s="11">
        <f>(Table5[[#This Row],[final_sale_price]]-Table5[[#This Row],[cost_price]])*Table5[[#This Row],[quantity_sold ]]</f>
        <v>16893.140000000003</v>
      </c>
      <c r="P286" s="11">
        <f>(Table5[final_sale_price]-Table5[[#This Row],[avg_comp_price]])</f>
        <v>4361.71</v>
      </c>
      <c r="Q286" s="15">
        <f>(Table5[[#This Row],[final_sale_price]]-Table5[[#This Row],[avg_comp_price]])/Table5[[#This Row],[avg_comp_price]]</f>
        <v>2.3743884332049978</v>
      </c>
      <c r="R286" s="11">
        <f>Table5[[#This Row],[Profit]]/Table5[[#This Row],[Revenue]]</f>
        <v>0.34065934065934073</v>
      </c>
    </row>
    <row r="287" spans="1:18" x14ac:dyDescent="0.2">
      <c r="A287" s="5">
        <v>286</v>
      </c>
      <c r="B287" s="5">
        <v>30</v>
      </c>
      <c r="C287" s="7">
        <v>45383</v>
      </c>
      <c r="D287" s="5">
        <v>28</v>
      </c>
      <c r="E287" s="4">
        <v>5</v>
      </c>
      <c r="F287" s="12">
        <f t="shared" si="4"/>
        <v>1945.923</v>
      </c>
      <c r="G287" t="str">
        <f>VLOOKUP(B287,product_tbl[],2,FALSE)</f>
        <v>Doll 30</v>
      </c>
      <c r="H287" t="str">
        <f>VLOOKUP(B287,product_tbl[],3,FALSE)</f>
        <v>Toys</v>
      </c>
      <c r="I287">
        <v>1229.0040000000001</v>
      </c>
      <c r="J287">
        <f>VLOOKUP(B287,product_tbl[],5,FALSE)</f>
        <v>2048.34</v>
      </c>
      <c r="K287">
        <f>VLOOKUP(B287,review_tbl[],3,FALSE)</f>
        <v>1</v>
      </c>
      <c r="L287" s="11">
        <v>2140.7056424833154</v>
      </c>
      <c r="M287" s="11">
        <f>AVERAGEIF(Table1[product_id],Master_tbl!B287:B1288,Table1[competitor_price])</f>
        <v>4153.6075000000001</v>
      </c>
      <c r="N287" s="11">
        <f>IFERROR(Table5[[#This Row],[final_sale_price]]*Table5[[#This Row],[quantity_sold ]],0)</f>
        <v>54485.843999999997</v>
      </c>
      <c r="O287" s="11">
        <f>(Table5[[#This Row],[final_sale_price]]-Table5[[#This Row],[cost_price]])*Table5[[#This Row],[quantity_sold ]]</f>
        <v>20073.731999999996</v>
      </c>
      <c r="P287" s="11">
        <f>(Table5[final_sale_price]-Table5[[#This Row],[avg_comp_price]])</f>
        <v>-2207.6845000000003</v>
      </c>
      <c r="Q287" s="15">
        <f>(Table5[[#This Row],[final_sale_price]]-Table5[[#This Row],[avg_comp_price]])/Table5[[#This Row],[avg_comp_price]]</f>
        <v>-0.53151013907789801</v>
      </c>
      <c r="R287" s="11">
        <f>Table5[[#This Row],[Profit]]/Table5[[#This Row],[Revenue]]</f>
        <v>0.36842105263157887</v>
      </c>
    </row>
    <row r="288" spans="1:18" x14ac:dyDescent="0.2">
      <c r="A288" s="4">
        <v>287</v>
      </c>
      <c r="B288" s="4">
        <v>109</v>
      </c>
      <c r="C288" s="6">
        <v>45104</v>
      </c>
      <c r="D288" s="4">
        <v>16</v>
      </c>
      <c r="E288" s="4">
        <v>9</v>
      </c>
      <c r="F288" s="12">
        <f t="shared" si="4"/>
        <v>2015.1858999999999</v>
      </c>
      <c r="G288" t="str">
        <f>VLOOKUP(B288,product_tbl[],2,FALSE)</f>
        <v>Fiction Novel 109</v>
      </c>
      <c r="H288" t="str">
        <f>VLOOKUP(B288,product_tbl[],3,FALSE)</f>
        <v>Books</v>
      </c>
      <c r="I288">
        <v>1328.6939999999997</v>
      </c>
      <c r="J288">
        <f>VLOOKUP(B288,product_tbl[],5,FALSE)</f>
        <v>2214.4899999999998</v>
      </c>
      <c r="K288">
        <f>VLOOKUP(B288,review_tbl[],3,FALSE)</f>
        <v>2</v>
      </c>
      <c r="L288" s="11">
        <v>2831.4695301258935</v>
      </c>
      <c r="M288" s="11">
        <f>AVERAGEIF(Table1[product_id],Master_tbl!B288:B1289,Table1[competitor_price])</f>
        <v>6555.1760000000013</v>
      </c>
      <c r="N288" s="11">
        <f>IFERROR(Table5[[#This Row],[final_sale_price]]*Table5[[#This Row],[quantity_sold ]],0)</f>
        <v>32242.974399999999</v>
      </c>
      <c r="O288" s="11">
        <f>(Table5[[#This Row],[final_sale_price]]-Table5[[#This Row],[cost_price]])*Table5[[#This Row],[quantity_sold ]]</f>
        <v>10983.870400000003</v>
      </c>
      <c r="P288" s="11">
        <f>(Table5[final_sale_price]-Table5[[#This Row],[avg_comp_price]])</f>
        <v>-4539.9901000000009</v>
      </c>
      <c r="Q288" s="15">
        <f>(Table5[[#This Row],[final_sale_price]]-Table5[[#This Row],[avg_comp_price]])/Table5[[#This Row],[avg_comp_price]]</f>
        <v>-0.69258096197569674</v>
      </c>
      <c r="R288" s="11">
        <f>Table5[[#This Row],[Profit]]/Table5[[#This Row],[Revenue]]</f>
        <v>0.34065934065934078</v>
      </c>
    </row>
    <row r="289" spans="1:18" x14ac:dyDescent="0.2">
      <c r="A289" s="5">
        <v>288</v>
      </c>
      <c r="B289" s="5">
        <v>2</v>
      </c>
      <c r="C289" s="7">
        <v>45494</v>
      </c>
      <c r="D289" s="5">
        <v>33</v>
      </c>
      <c r="E289" s="4">
        <v>8</v>
      </c>
      <c r="F289" s="12">
        <f t="shared" si="4"/>
        <v>4070.7975999999999</v>
      </c>
      <c r="G289" t="str">
        <f>VLOOKUP(B289,product_tbl[],2,FALSE)</f>
        <v>Air Conditioner 2</v>
      </c>
      <c r="H289" t="str">
        <f>VLOOKUP(B289,product_tbl[],3,FALSE)</f>
        <v>Home Appliances</v>
      </c>
      <c r="I289">
        <v>2654.8679999999999</v>
      </c>
      <c r="J289">
        <f>VLOOKUP(B289,product_tbl[],5,FALSE)</f>
        <v>4424.78</v>
      </c>
      <c r="K289">
        <f>VLOOKUP(B289,review_tbl[],3,FALSE)</f>
        <v>4</v>
      </c>
      <c r="L289" s="11">
        <v>5750.1192943273027</v>
      </c>
      <c r="M289" s="11">
        <f>AVERAGEIF(Table1[product_id],Master_tbl!B289:B1290,Table1[competitor_price])</f>
        <v>1807.3</v>
      </c>
      <c r="N289" s="11">
        <f>IFERROR(Table5[[#This Row],[final_sale_price]]*Table5[[#This Row],[quantity_sold ]],0)</f>
        <v>134336.32079999999</v>
      </c>
      <c r="O289" s="11">
        <f>(Table5[[#This Row],[final_sale_price]]-Table5[[#This Row],[cost_price]])*Table5[[#This Row],[quantity_sold ]]</f>
        <v>46725.676800000001</v>
      </c>
      <c r="P289" s="11">
        <f>(Table5[final_sale_price]-Table5[[#This Row],[avg_comp_price]])</f>
        <v>2263.4975999999997</v>
      </c>
      <c r="Q289" s="15">
        <f>(Table5[[#This Row],[final_sale_price]]-Table5[[#This Row],[avg_comp_price]])/Table5[[#This Row],[avg_comp_price]]</f>
        <v>1.2524194101698665</v>
      </c>
      <c r="R289" s="11">
        <f>Table5[[#This Row],[Profit]]/Table5[[#This Row],[Revenue]]</f>
        <v>0.34782608695652178</v>
      </c>
    </row>
    <row r="290" spans="1:18" x14ac:dyDescent="0.2">
      <c r="A290" s="4">
        <v>289</v>
      </c>
      <c r="B290" s="4">
        <v>86</v>
      </c>
      <c r="C290" s="6">
        <v>45587</v>
      </c>
      <c r="D290" s="4">
        <v>11</v>
      </c>
      <c r="E290" s="4">
        <v>4</v>
      </c>
      <c r="F290" s="12">
        <f t="shared" si="4"/>
        <v>2997.9935999999998</v>
      </c>
      <c r="G290" t="str">
        <f>VLOOKUP(B290,product_tbl[],2,FALSE)</f>
        <v>Building Blocks 86</v>
      </c>
      <c r="H290" t="str">
        <f>VLOOKUP(B290,product_tbl[],3,FALSE)</f>
        <v>Toys</v>
      </c>
      <c r="I290">
        <v>1873.7459999999999</v>
      </c>
      <c r="J290">
        <f>VLOOKUP(B290,product_tbl[],5,FALSE)</f>
        <v>3122.91</v>
      </c>
      <c r="K290">
        <f>VLOOKUP(B290,review_tbl[],3,FALSE)</f>
        <v>4</v>
      </c>
      <c r="L290" s="11">
        <v>4053.5625487818593</v>
      </c>
      <c r="M290" s="11">
        <f>AVERAGEIF(Table1[product_id],Master_tbl!B290:B1291,Table1[competitor_price])</f>
        <v>2919.076</v>
      </c>
      <c r="N290" s="11">
        <f>IFERROR(Table5[[#This Row],[final_sale_price]]*Table5[[#This Row],[quantity_sold ]],0)</f>
        <v>32977.929599999996</v>
      </c>
      <c r="O290" s="11">
        <f>(Table5[[#This Row],[final_sale_price]]-Table5[[#This Row],[cost_price]])*Table5[[#This Row],[quantity_sold ]]</f>
        <v>12366.723599999999</v>
      </c>
      <c r="P290" s="11">
        <f>(Table5[final_sale_price]-Table5[[#This Row],[avg_comp_price]])</f>
        <v>78.917599999999766</v>
      </c>
      <c r="Q290" s="15">
        <f>(Table5[[#This Row],[final_sale_price]]-Table5[[#This Row],[avg_comp_price]])/Table5[[#This Row],[avg_comp_price]]</f>
        <v>2.7035130294654805E-2</v>
      </c>
      <c r="R290" s="11">
        <f>Table5[[#This Row],[Profit]]/Table5[[#This Row],[Revenue]]</f>
        <v>0.375</v>
      </c>
    </row>
    <row r="291" spans="1:18" x14ac:dyDescent="0.2">
      <c r="A291" s="5">
        <v>290</v>
      </c>
      <c r="B291" s="5">
        <v>64</v>
      </c>
      <c r="C291" s="7">
        <v>45289</v>
      </c>
      <c r="D291" s="5">
        <v>35</v>
      </c>
      <c r="E291" s="4">
        <v>2</v>
      </c>
      <c r="F291" s="12">
        <f t="shared" si="4"/>
        <v>3136</v>
      </c>
      <c r="G291" t="str">
        <f>VLOOKUP(B291,product_tbl[],2,FALSE)</f>
        <v>Children Story Book 64</v>
      </c>
      <c r="H291" t="str">
        <f>VLOOKUP(B291,product_tbl[],3,FALSE)</f>
        <v>Books</v>
      </c>
      <c r="I291">
        <v>1920</v>
      </c>
      <c r="J291">
        <f>VLOOKUP(B291,product_tbl[],5,FALSE)</f>
        <v>3200</v>
      </c>
      <c r="K291">
        <f>VLOOKUP(B291,review_tbl[],3,FALSE)</f>
        <v>2</v>
      </c>
      <c r="L291" s="11">
        <v>3547.4937693832649</v>
      </c>
      <c r="M291" s="11">
        <f>AVERAGEIF(Table1[product_id],Master_tbl!B291:B1292,Table1[competitor_price])</f>
        <v>3782.0099999999998</v>
      </c>
      <c r="N291" s="11">
        <f>IFERROR(Table5[[#This Row],[final_sale_price]]*Table5[[#This Row],[quantity_sold ]],0)</f>
        <v>109760</v>
      </c>
      <c r="O291" s="11">
        <f>(Table5[[#This Row],[final_sale_price]]-Table5[[#This Row],[cost_price]])*Table5[[#This Row],[quantity_sold ]]</f>
        <v>42560</v>
      </c>
      <c r="P291" s="11">
        <f>(Table5[final_sale_price]-Table5[[#This Row],[avg_comp_price]])</f>
        <v>-646.00999999999976</v>
      </c>
      <c r="Q291" s="15">
        <f>(Table5[[#This Row],[final_sale_price]]-Table5[[#This Row],[avg_comp_price]])/Table5[[#This Row],[avg_comp_price]]</f>
        <v>-0.17081128817745056</v>
      </c>
      <c r="R291" s="11">
        <f>Table5[[#This Row],[Profit]]/Table5[[#This Row],[Revenue]]</f>
        <v>0.38775510204081631</v>
      </c>
    </row>
    <row r="292" spans="1:18" x14ac:dyDescent="0.2">
      <c r="A292" s="4">
        <v>291</v>
      </c>
      <c r="B292" s="4">
        <v>47</v>
      </c>
      <c r="C292" s="6">
        <v>45146</v>
      </c>
      <c r="D292" s="4">
        <v>15</v>
      </c>
      <c r="E292" s="4">
        <v>2</v>
      </c>
      <c r="F292" s="12">
        <f t="shared" si="4"/>
        <v>3345.3083999999999</v>
      </c>
      <c r="G292" t="str">
        <f>VLOOKUP(B292,product_tbl[],2,FALSE)</f>
        <v>Cookbook 47</v>
      </c>
      <c r="H292" t="str">
        <f>VLOOKUP(B292,product_tbl[],3,FALSE)</f>
        <v>Books</v>
      </c>
      <c r="I292">
        <v>2048.1479999999997</v>
      </c>
      <c r="J292">
        <f>VLOOKUP(B292,product_tbl[],5,FALSE)</f>
        <v>3413.58</v>
      </c>
      <c r="K292">
        <f>VLOOKUP(B292,review_tbl[],3,FALSE)</f>
        <v>5</v>
      </c>
      <c r="L292" s="11">
        <v>4335.6596221930795</v>
      </c>
      <c r="M292" s="11">
        <f>AVERAGEIF(Table1[product_id],Master_tbl!B292:B1293,Table1[competitor_price])</f>
        <v>2051.0440000000003</v>
      </c>
      <c r="N292" s="11">
        <f>IFERROR(Table5[[#This Row],[final_sale_price]]*Table5[[#This Row],[quantity_sold ]],0)</f>
        <v>50179.625999999997</v>
      </c>
      <c r="O292" s="11">
        <f>(Table5[[#This Row],[final_sale_price]]-Table5[[#This Row],[cost_price]])*Table5[[#This Row],[quantity_sold ]]</f>
        <v>19457.406000000003</v>
      </c>
      <c r="P292" s="11">
        <f>(Table5[final_sale_price]-Table5[[#This Row],[avg_comp_price]])</f>
        <v>1294.2643999999996</v>
      </c>
      <c r="Q292" s="15">
        <f>(Table5[[#This Row],[final_sale_price]]-Table5[[#This Row],[avg_comp_price]])/Table5[[#This Row],[avg_comp_price]]</f>
        <v>0.63102712569793695</v>
      </c>
      <c r="R292" s="11">
        <f>Table5[[#This Row],[Profit]]/Table5[[#This Row],[Revenue]]</f>
        <v>0.38775510204081642</v>
      </c>
    </row>
    <row r="293" spans="1:18" x14ac:dyDescent="0.2">
      <c r="A293" s="5">
        <v>292</v>
      </c>
      <c r="B293" s="5">
        <v>75</v>
      </c>
      <c r="C293" s="7">
        <v>45206</v>
      </c>
      <c r="D293" s="5">
        <v>15</v>
      </c>
      <c r="E293" s="4">
        <v>8</v>
      </c>
      <c r="F293" s="12">
        <f t="shared" si="4"/>
        <v>3471.5648000000001</v>
      </c>
      <c r="G293" t="str">
        <f>VLOOKUP(B293,product_tbl[],2,FALSE)</f>
        <v>Sneakers 75</v>
      </c>
      <c r="H293" t="str">
        <f>VLOOKUP(B293,product_tbl[],3,FALSE)</f>
        <v>Fashion</v>
      </c>
      <c r="I293">
        <v>2264.0639999999999</v>
      </c>
      <c r="J293">
        <f>VLOOKUP(B293,product_tbl[],5,FALSE)</f>
        <v>3773.44</v>
      </c>
      <c r="K293">
        <f>VLOOKUP(B293,review_tbl[],3,FALSE)</f>
        <v>4</v>
      </c>
      <c r="L293" s="11">
        <v>4855.7364531411095</v>
      </c>
      <c r="M293" s="11">
        <f>AVERAGEIF(Table1[product_id],Master_tbl!B293:B1294,Table1[competitor_price])</f>
        <v>3293.6366666666668</v>
      </c>
      <c r="N293" s="11">
        <f>IFERROR(Table5[[#This Row],[final_sale_price]]*Table5[[#This Row],[quantity_sold ]],0)</f>
        <v>52073.472000000002</v>
      </c>
      <c r="O293" s="11">
        <f>(Table5[[#This Row],[final_sale_price]]-Table5[[#This Row],[cost_price]])*Table5[[#This Row],[quantity_sold ]]</f>
        <v>18112.512000000002</v>
      </c>
      <c r="P293" s="11">
        <f>(Table5[final_sale_price]-Table5[[#This Row],[avg_comp_price]])</f>
        <v>177.92813333333334</v>
      </c>
      <c r="Q293" s="15">
        <f>(Table5[[#This Row],[final_sale_price]]-Table5[[#This Row],[avg_comp_price]])/Table5[[#This Row],[avg_comp_price]]</f>
        <v>5.4021785442838768E-2</v>
      </c>
      <c r="R293" s="11">
        <f>Table5[[#This Row],[Profit]]/Table5[[#This Row],[Revenue]]</f>
        <v>0.34782608695652178</v>
      </c>
    </row>
    <row r="294" spans="1:18" x14ac:dyDescent="0.2">
      <c r="A294" s="4">
        <v>293</v>
      </c>
      <c r="B294" s="4">
        <v>28</v>
      </c>
      <c r="C294" s="6">
        <v>45045</v>
      </c>
      <c r="D294" s="4">
        <v>48</v>
      </c>
      <c r="E294" s="4">
        <v>5</v>
      </c>
      <c r="F294" s="12">
        <f t="shared" si="4"/>
        <v>5430.7889999999998</v>
      </c>
      <c r="G294" t="str">
        <f>VLOOKUP(B294,product_tbl[],2,FALSE)</f>
        <v>Water Purifier 28</v>
      </c>
      <c r="H294" t="str">
        <f>VLOOKUP(B294,product_tbl[],3,FALSE)</f>
        <v>Home Appliances</v>
      </c>
      <c r="I294">
        <v>3429.9719999999998</v>
      </c>
      <c r="J294">
        <f>VLOOKUP(B294,product_tbl[],5,FALSE)</f>
        <v>5716.62</v>
      </c>
      <c r="K294">
        <f>VLOOKUP(B294,review_tbl[],3,FALSE)</f>
        <v>5</v>
      </c>
      <c r="L294" s="11">
        <v>6460.2771178667226</v>
      </c>
      <c r="M294" s="11">
        <f>AVERAGEIF(Table1[product_id],Master_tbl!B294:B1295,Table1[competitor_price])</f>
        <v>3542.9559999999997</v>
      </c>
      <c r="N294" s="11">
        <f>IFERROR(Table5[[#This Row],[final_sale_price]]*Table5[[#This Row],[quantity_sold ]],0)</f>
        <v>260677.87199999997</v>
      </c>
      <c r="O294" s="11">
        <f>(Table5[[#This Row],[final_sale_price]]-Table5[[#This Row],[cost_price]])*Table5[[#This Row],[quantity_sold ]]</f>
        <v>96039.216</v>
      </c>
      <c r="P294" s="11">
        <f>(Table5[final_sale_price]-Table5[[#This Row],[avg_comp_price]])</f>
        <v>1887.8330000000001</v>
      </c>
      <c r="Q294" s="15">
        <f>(Table5[[#This Row],[final_sale_price]]-Table5[[#This Row],[avg_comp_price]])/Table5[[#This Row],[avg_comp_price]]</f>
        <v>0.53284122072077678</v>
      </c>
      <c r="R294" s="11">
        <f>Table5[[#This Row],[Profit]]/Table5[[#This Row],[Revenue]]</f>
        <v>0.36842105263157898</v>
      </c>
    </row>
    <row r="295" spans="1:18" x14ac:dyDescent="0.2">
      <c r="A295" s="5">
        <v>294</v>
      </c>
      <c r="B295" s="5">
        <v>68</v>
      </c>
      <c r="C295" s="7">
        <v>44939</v>
      </c>
      <c r="D295" s="5">
        <v>22</v>
      </c>
      <c r="E295" s="4">
        <v>6</v>
      </c>
      <c r="F295" s="12">
        <f t="shared" si="4"/>
        <v>5680.8805999999995</v>
      </c>
      <c r="G295" t="str">
        <f>VLOOKUP(B295,product_tbl[],2,FALSE)</f>
        <v>Lipstick 68</v>
      </c>
      <c r="H295" t="str">
        <f>VLOOKUP(B295,product_tbl[],3,FALSE)</f>
        <v>Beauty</v>
      </c>
      <c r="I295">
        <v>3626.0939999999996</v>
      </c>
      <c r="J295">
        <f>VLOOKUP(B295,product_tbl[],5,FALSE)</f>
        <v>6043.49</v>
      </c>
      <c r="K295">
        <f>VLOOKUP(B295,review_tbl[],3,FALSE)</f>
        <v>2</v>
      </c>
      <c r="L295" s="11">
        <v>7734.3864020628143</v>
      </c>
      <c r="M295" s="11">
        <f>AVERAGEIF(Table1[product_id],Master_tbl!B295:B1296,Table1[competitor_price])</f>
        <v>796.21333333333325</v>
      </c>
      <c r="N295" s="11">
        <f>IFERROR(Table5[[#This Row],[final_sale_price]]*Table5[[#This Row],[quantity_sold ]],0)</f>
        <v>124979.37319999999</v>
      </c>
      <c r="O295" s="11">
        <f>(Table5[[#This Row],[final_sale_price]]-Table5[[#This Row],[cost_price]])*Table5[[#This Row],[quantity_sold ]]</f>
        <v>45205.305199999995</v>
      </c>
      <c r="P295" s="11">
        <f>(Table5[final_sale_price]-Table5[[#This Row],[avg_comp_price]])</f>
        <v>4884.6672666666664</v>
      </c>
      <c r="Q295" s="15">
        <f>(Table5[[#This Row],[final_sale_price]]-Table5[[#This Row],[avg_comp_price]])/Table5[[#This Row],[avg_comp_price]]</f>
        <v>6.1348724797374237</v>
      </c>
      <c r="R295" s="11">
        <f>Table5[[#This Row],[Profit]]/Table5[[#This Row],[Revenue]]</f>
        <v>0.36170212765957449</v>
      </c>
    </row>
    <row r="296" spans="1:18" x14ac:dyDescent="0.2">
      <c r="A296" s="4">
        <v>295</v>
      </c>
      <c r="B296" s="4">
        <v>136</v>
      </c>
      <c r="C296" s="6">
        <v>45121</v>
      </c>
      <c r="D296" s="4">
        <v>29</v>
      </c>
      <c r="E296" s="4">
        <v>2</v>
      </c>
      <c r="F296" s="12">
        <f t="shared" si="4"/>
        <v>5053.2425999999996</v>
      </c>
      <c r="G296" t="str">
        <f>VLOOKUP(B296,product_tbl[],2,FALSE)</f>
        <v>Handbag 136</v>
      </c>
      <c r="H296" t="str">
        <f>VLOOKUP(B296,product_tbl[],3,FALSE)</f>
        <v>Fashion</v>
      </c>
      <c r="I296">
        <v>3093.8219999999997</v>
      </c>
      <c r="J296">
        <f>VLOOKUP(B296,product_tbl[],5,FALSE)</f>
        <v>5156.37</v>
      </c>
      <c r="K296">
        <f>VLOOKUP(B296,review_tbl[],3,FALSE)</f>
        <v>3</v>
      </c>
      <c r="L296" s="11">
        <v>5255.1145757103677</v>
      </c>
      <c r="M296" s="11">
        <f>AVERAGEIF(Table1[product_id],Master_tbl!B296:B1297,Table1[competitor_price])</f>
        <v>5805.195999999999</v>
      </c>
      <c r="N296" s="11">
        <f>IFERROR(Table5[[#This Row],[final_sale_price]]*Table5[[#This Row],[quantity_sold ]],0)</f>
        <v>146544.03539999999</v>
      </c>
      <c r="O296" s="11">
        <f>(Table5[[#This Row],[final_sale_price]]-Table5[[#This Row],[cost_price]])*Table5[[#This Row],[quantity_sold ]]</f>
        <v>56823.197399999997</v>
      </c>
      <c r="P296" s="11">
        <f>(Table5[final_sale_price]-Table5[[#This Row],[avg_comp_price]])</f>
        <v>-751.95339999999942</v>
      </c>
      <c r="Q296" s="15">
        <f>(Table5[[#This Row],[final_sale_price]]-Table5[[#This Row],[avg_comp_price]])/Table5[[#This Row],[avg_comp_price]]</f>
        <v>-0.12953109593543433</v>
      </c>
      <c r="R296" s="11">
        <f>Table5[[#This Row],[Profit]]/Table5[[#This Row],[Revenue]]</f>
        <v>0.38775510204081631</v>
      </c>
    </row>
    <row r="297" spans="1:18" x14ac:dyDescent="0.2">
      <c r="A297" s="5">
        <v>296</v>
      </c>
      <c r="B297" s="5">
        <v>128</v>
      </c>
      <c r="C297" s="7">
        <v>45282</v>
      </c>
      <c r="D297" s="5">
        <v>2</v>
      </c>
      <c r="E297" s="4">
        <v>8</v>
      </c>
      <c r="F297" s="12">
        <f t="shared" si="4"/>
        <v>4841.5920000000006</v>
      </c>
      <c r="G297" t="str">
        <f>VLOOKUP(B297,product_tbl[],2,FALSE)</f>
        <v>Coffee Beans 128</v>
      </c>
      <c r="H297" t="str">
        <f>VLOOKUP(B297,product_tbl[],3,FALSE)</f>
        <v>Grocery</v>
      </c>
      <c r="I297">
        <v>3157.56</v>
      </c>
      <c r="J297">
        <f>VLOOKUP(B297,product_tbl[],5,FALSE)</f>
        <v>5262.6</v>
      </c>
      <c r="K297">
        <f>VLOOKUP(B297,review_tbl[],3,FALSE)</f>
        <v>4</v>
      </c>
      <c r="L297" s="11">
        <v>6234.6702770850507</v>
      </c>
      <c r="M297" s="11">
        <f>AVERAGEIF(Table1[product_id],Master_tbl!B297:B1298,Table1[competitor_price])</f>
        <v>1349.8883333333335</v>
      </c>
      <c r="N297" s="11">
        <f>IFERROR(Table5[[#This Row],[final_sale_price]]*Table5[[#This Row],[quantity_sold ]],0)</f>
        <v>9683.1840000000011</v>
      </c>
      <c r="O297" s="11">
        <f>(Table5[[#This Row],[final_sale_price]]-Table5[[#This Row],[cost_price]])*Table5[[#This Row],[quantity_sold ]]</f>
        <v>3368.0640000000012</v>
      </c>
      <c r="P297" s="11">
        <f>(Table5[final_sale_price]-Table5[[#This Row],[avg_comp_price]])</f>
        <v>3491.7036666666672</v>
      </c>
      <c r="Q297" s="15">
        <f>(Table5[[#This Row],[final_sale_price]]-Table5[[#This Row],[avg_comp_price]])/Table5[[#This Row],[avg_comp_price]]</f>
        <v>2.5866611188826729</v>
      </c>
      <c r="R297" s="11">
        <f>Table5[[#This Row],[Profit]]/Table5[[#This Row],[Revenue]]</f>
        <v>0.34782608695652184</v>
      </c>
    </row>
    <row r="298" spans="1:18" x14ac:dyDescent="0.2">
      <c r="A298" s="4">
        <v>297</v>
      </c>
      <c r="B298" s="4">
        <v>111</v>
      </c>
      <c r="C298" s="6">
        <v>44941</v>
      </c>
      <c r="D298" s="4">
        <v>50</v>
      </c>
      <c r="E298" s="4">
        <v>4</v>
      </c>
      <c r="F298" s="12">
        <f t="shared" si="4"/>
        <v>724.05119999999999</v>
      </c>
      <c r="G298" t="str">
        <f>VLOOKUP(B298,product_tbl[],2,FALSE)</f>
        <v>Perfume 111</v>
      </c>
      <c r="H298" t="str">
        <f>VLOOKUP(B298,product_tbl[],3,FALSE)</f>
        <v>Beauty</v>
      </c>
      <c r="I298">
        <v>452.53199999999998</v>
      </c>
      <c r="J298">
        <f>VLOOKUP(B298,product_tbl[],5,FALSE)</f>
        <v>754.22</v>
      </c>
      <c r="K298">
        <f>VLOOKUP(B298,review_tbl[],3,FALSE)</f>
        <v>3</v>
      </c>
      <c r="L298" s="11">
        <v>766.02104910337482</v>
      </c>
      <c r="M298" s="11">
        <f>AVERAGEIF(Table1[product_id],Master_tbl!B298:B1299,Table1[competitor_price])</f>
        <v>3824.0450000000001</v>
      </c>
      <c r="N298" s="11">
        <f>IFERROR(Table5[[#This Row],[final_sale_price]]*Table5[[#This Row],[quantity_sold ]],0)</f>
        <v>36202.559999999998</v>
      </c>
      <c r="O298" s="11">
        <f>(Table5[[#This Row],[final_sale_price]]-Table5[[#This Row],[cost_price]])*Table5[[#This Row],[quantity_sold ]]</f>
        <v>13575.960000000001</v>
      </c>
      <c r="P298" s="11">
        <f>(Table5[final_sale_price]-Table5[[#This Row],[avg_comp_price]])</f>
        <v>-3099.9938000000002</v>
      </c>
      <c r="Q298" s="15">
        <f>(Table5[[#This Row],[final_sale_price]]-Table5[[#This Row],[avg_comp_price]])/Table5[[#This Row],[avg_comp_price]]</f>
        <v>-0.81065829507759457</v>
      </c>
      <c r="R298" s="11">
        <f>Table5[[#This Row],[Profit]]/Table5[[#This Row],[Revenue]]</f>
        <v>0.37500000000000006</v>
      </c>
    </row>
    <row r="299" spans="1:18" x14ac:dyDescent="0.2">
      <c r="A299" s="5">
        <v>298</v>
      </c>
      <c r="B299" s="5">
        <v>50</v>
      </c>
      <c r="C299" s="7">
        <v>45606</v>
      </c>
      <c r="D299" s="5">
        <v>34</v>
      </c>
      <c r="E299" s="4">
        <v>7</v>
      </c>
      <c r="F299" s="12">
        <f t="shared" si="4"/>
        <v>1261.731</v>
      </c>
      <c r="G299" t="str">
        <f>VLOOKUP(B299,product_tbl[],2,FALSE)</f>
        <v>Doll 50</v>
      </c>
      <c r="H299" t="str">
        <f>VLOOKUP(B299,product_tbl[],3,FALSE)</f>
        <v>Toys</v>
      </c>
      <c r="I299">
        <v>814.02</v>
      </c>
      <c r="J299">
        <f>VLOOKUP(B299,product_tbl[],5,FALSE)</f>
        <v>1356.7</v>
      </c>
      <c r="K299">
        <f>VLOOKUP(B299,review_tbl[],3,FALSE)</f>
        <v>3</v>
      </c>
      <c r="L299" s="11">
        <v>1620.4363870484283</v>
      </c>
      <c r="M299" s="11">
        <f>AVERAGEIF(Table1[product_id],Master_tbl!B299:B1300,Table1[competitor_price])</f>
        <v>4909.6483333333335</v>
      </c>
      <c r="N299" s="11">
        <f>IFERROR(Table5[[#This Row],[final_sale_price]]*Table5[[#This Row],[quantity_sold ]],0)</f>
        <v>42898.853999999999</v>
      </c>
      <c r="O299" s="11">
        <f>(Table5[[#This Row],[final_sale_price]]-Table5[[#This Row],[cost_price]])*Table5[[#This Row],[quantity_sold ]]</f>
        <v>15222.174000000001</v>
      </c>
      <c r="P299" s="11">
        <f>(Table5[final_sale_price]-Table5[[#This Row],[avg_comp_price]])</f>
        <v>-3647.9173333333338</v>
      </c>
      <c r="Q299" s="15">
        <f>(Table5[[#This Row],[final_sale_price]]-Table5[[#This Row],[avg_comp_price]])/Table5[[#This Row],[avg_comp_price]]</f>
        <v>-0.74300990328906791</v>
      </c>
      <c r="R299" s="11">
        <f>Table5[[#This Row],[Profit]]/Table5[[#This Row],[Revenue]]</f>
        <v>0.35483870967741937</v>
      </c>
    </row>
    <row r="300" spans="1:18" x14ac:dyDescent="0.2">
      <c r="A300" s="4">
        <v>299</v>
      </c>
      <c r="B300" s="4">
        <v>3</v>
      </c>
      <c r="C300" s="6">
        <v>45036</v>
      </c>
      <c r="D300" s="4">
        <v>34</v>
      </c>
      <c r="E300" s="4">
        <v>9</v>
      </c>
      <c r="F300" s="12">
        <f t="shared" si="4"/>
        <v>4701.7698</v>
      </c>
      <c r="G300" t="str">
        <f>VLOOKUP(B300,product_tbl[],2,FALSE)</f>
        <v>Biography 3</v>
      </c>
      <c r="H300" t="str">
        <f>VLOOKUP(B300,product_tbl[],3,FALSE)</f>
        <v>Books</v>
      </c>
      <c r="I300">
        <v>3100.0679999999998</v>
      </c>
      <c r="J300">
        <f>VLOOKUP(B300,product_tbl[],5,FALSE)</f>
        <v>5166.78</v>
      </c>
      <c r="K300">
        <f>VLOOKUP(B300,review_tbl[],3,FALSE)</f>
        <v>1</v>
      </c>
      <c r="L300" s="11">
        <v>5198.1799800478075</v>
      </c>
      <c r="M300" s="11">
        <f>AVERAGEIF(Table1[product_id],Master_tbl!B300:B1301,Table1[competitor_price])</f>
        <v>7049.42</v>
      </c>
      <c r="N300" s="11">
        <f>IFERROR(Table5[[#This Row],[final_sale_price]]*Table5[[#This Row],[quantity_sold ]],0)</f>
        <v>159860.17319999999</v>
      </c>
      <c r="O300" s="11">
        <f>(Table5[[#This Row],[final_sale_price]]-Table5[[#This Row],[cost_price]])*Table5[[#This Row],[quantity_sold ]]</f>
        <v>54457.861200000007</v>
      </c>
      <c r="P300" s="11">
        <f>(Table5[final_sale_price]-Table5[[#This Row],[avg_comp_price]])</f>
        <v>-2347.6502</v>
      </c>
      <c r="Q300" s="15">
        <f>(Table5[[#This Row],[final_sale_price]]-Table5[[#This Row],[avg_comp_price]])/Table5[[#This Row],[avg_comp_price]]</f>
        <v>-0.33302742636982902</v>
      </c>
      <c r="R300" s="11">
        <f>Table5[[#This Row],[Profit]]/Table5[[#This Row],[Revenue]]</f>
        <v>0.34065934065934073</v>
      </c>
    </row>
    <row r="301" spans="1:18" x14ac:dyDescent="0.2">
      <c r="A301" s="5">
        <v>300</v>
      </c>
      <c r="B301" s="5">
        <v>82</v>
      </c>
      <c r="C301" s="7">
        <v>45064</v>
      </c>
      <c r="D301" s="5">
        <v>39</v>
      </c>
      <c r="E301" s="4">
        <v>5</v>
      </c>
      <c r="F301" s="12">
        <f t="shared" si="4"/>
        <v>1207.6589999999999</v>
      </c>
      <c r="G301" t="str">
        <f>VLOOKUP(B301,product_tbl[],2,FALSE)</f>
        <v>Yoga Mat 82</v>
      </c>
      <c r="H301" t="str">
        <f>VLOOKUP(B301,product_tbl[],3,FALSE)</f>
        <v>Sports</v>
      </c>
      <c r="I301">
        <v>762.73199999999997</v>
      </c>
      <c r="J301">
        <f>VLOOKUP(B301,product_tbl[],5,FALSE)</f>
        <v>1271.22</v>
      </c>
      <c r="K301">
        <f>VLOOKUP(B301,review_tbl[],3,FALSE)</f>
        <v>2</v>
      </c>
      <c r="L301" s="11">
        <v>1285.5660290835631</v>
      </c>
      <c r="M301" s="11">
        <f>AVERAGEIF(Table1[product_id],Master_tbl!B301:B1302,Table1[competitor_price])</f>
        <v>2617.7080000000001</v>
      </c>
      <c r="N301" s="11">
        <f>IFERROR(Table5[[#This Row],[final_sale_price]]*Table5[[#This Row],[quantity_sold ]],0)</f>
        <v>47098.700999999994</v>
      </c>
      <c r="O301" s="11">
        <f>(Table5[[#This Row],[final_sale_price]]-Table5[[#This Row],[cost_price]])*Table5[[#This Row],[quantity_sold ]]</f>
        <v>17352.152999999995</v>
      </c>
      <c r="P301" s="11">
        <f>(Table5[final_sale_price]-Table5[[#This Row],[avg_comp_price]])</f>
        <v>-1410.0490000000002</v>
      </c>
      <c r="Q301" s="15">
        <f>(Table5[[#This Row],[final_sale_price]]-Table5[[#This Row],[avg_comp_price]])/Table5[[#This Row],[avg_comp_price]]</f>
        <v>-0.53865786405512006</v>
      </c>
      <c r="R301" s="11">
        <f>Table5[[#This Row],[Profit]]/Table5[[#This Row],[Revenue]]</f>
        <v>0.36842105263157887</v>
      </c>
    </row>
    <row r="302" spans="1:18" x14ac:dyDescent="0.2">
      <c r="A302" s="4">
        <v>301</v>
      </c>
      <c r="B302" s="4">
        <v>25</v>
      </c>
      <c r="C302" s="6">
        <v>45472</v>
      </c>
      <c r="D302" s="4">
        <v>35</v>
      </c>
      <c r="E302" s="4">
        <v>2</v>
      </c>
      <c r="F302" s="12">
        <f t="shared" si="4"/>
        <v>556.8066</v>
      </c>
      <c r="G302" t="str">
        <f>VLOOKUP(B302,product_tbl[],2,FALSE)</f>
        <v>Tennis Racket 25</v>
      </c>
      <c r="H302" t="str">
        <f>VLOOKUP(B302,product_tbl[],3,FALSE)</f>
        <v>Sports</v>
      </c>
      <c r="I302">
        <v>340.90199999999999</v>
      </c>
      <c r="J302">
        <f>VLOOKUP(B302,product_tbl[],5,FALSE)</f>
        <v>568.16999999999996</v>
      </c>
      <c r="K302">
        <f>VLOOKUP(B302,review_tbl[],3,FALSE)</f>
        <v>1</v>
      </c>
      <c r="L302" s="11">
        <v>686.28404263289315</v>
      </c>
      <c r="M302" s="11">
        <f>AVERAGEIF(Table1[product_id],Master_tbl!B302:B1303,Table1[competitor_price])</f>
        <v>2024.2300000000002</v>
      </c>
      <c r="N302" s="11">
        <f>IFERROR(Table5[[#This Row],[final_sale_price]]*Table5[[#This Row],[quantity_sold ]],0)</f>
        <v>19488.231</v>
      </c>
      <c r="O302" s="11">
        <f>(Table5[[#This Row],[final_sale_price]]-Table5[[#This Row],[cost_price]])*Table5[[#This Row],[quantity_sold ]]</f>
        <v>7556.661000000001</v>
      </c>
      <c r="P302" s="11">
        <f>(Table5[final_sale_price]-Table5[[#This Row],[avg_comp_price]])</f>
        <v>-1467.4234000000001</v>
      </c>
      <c r="Q302" s="15">
        <f>(Table5[[#This Row],[final_sale_price]]-Table5[[#This Row],[avg_comp_price]])/Table5[[#This Row],[avg_comp_price]]</f>
        <v>-0.724929182948578</v>
      </c>
      <c r="R302" s="11">
        <f>Table5[[#This Row],[Profit]]/Table5[[#This Row],[Revenue]]</f>
        <v>0.38775510204081637</v>
      </c>
    </row>
    <row r="303" spans="1:18" x14ac:dyDescent="0.2">
      <c r="A303" s="5">
        <v>302</v>
      </c>
      <c r="B303" s="5">
        <v>4</v>
      </c>
      <c r="C303" s="7">
        <v>45476</v>
      </c>
      <c r="D303" s="5">
        <v>14</v>
      </c>
      <c r="E303" s="4">
        <v>10</v>
      </c>
      <c r="F303" s="12">
        <f t="shared" si="4"/>
        <v>6376.8420000000006</v>
      </c>
      <c r="G303" t="str">
        <f>VLOOKUP(B303,product_tbl[],2,FALSE)</f>
        <v>Gym Gloves 4</v>
      </c>
      <c r="H303" t="str">
        <f>VLOOKUP(B303,product_tbl[],3,FALSE)</f>
        <v>Sports</v>
      </c>
      <c r="I303">
        <v>4251.2280000000001</v>
      </c>
      <c r="J303">
        <f>VLOOKUP(B303,product_tbl[],5,FALSE)</f>
        <v>7085.38</v>
      </c>
      <c r="K303">
        <f>VLOOKUP(B303,review_tbl[],3,FALSE)</f>
        <v>4</v>
      </c>
      <c r="L303" s="11">
        <v>7305.8969910209398</v>
      </c>
      <c r="M303" s="11">
        <f>AVERAGEIF(Table1[product_id],Master_tbl!B303:B1304,Table1[competitor_price])</f>
        <v>3570.2466666666674</v>
      </c>
      <c r="N303" s="11">
        <f>IFERROR(Table5[[#This Row],[final_sale_price]]*Table5[[#This Row],[quantity_sold ]],0)</f>
        <v>89275.788</v>
      </c>
      <c r="O303" s="11">
        <f>(Table5[[#This Row],[final_sale_price]]-Table5[[#This Row],[cost_price]])*Table5[[#This Row],[quantity_sold ]]</f>
        <v>29758.596000000005</v>
      </c>
      <c r="P303" s="11">
        <f>(Table5[final_sale_price]-Table5[[#This Row],[avg_comp_price]])</f>
        <v>2806.5953333333332</v>
      </c>
      <c r="Q303" s="15">
        <f>(Table5[[#This Row],[final_sale_price]]-Table5[[#This Row],[avg_comp_price]])/Table5[[#This Row],[avg_comp_price]]</f>
        <v>0.78610684229100869</v>
      </c>
      <c r="R303" s="11">
        <f>Table5[[#This Row],[Profit]]/Table5[[#This Row],[Revenue]]</f>
        <v>0.33333333333333337</v>
      </c>
    </row>
    <row r="304" spans="1:18" x14ac:dyDescent="0.2">
      <c r="A304" s="4">
        <v>303</v>
      </c>
      <c r="B304" s="4">
        <v>54</v>
      </c>
      <c r="C304" s="6">
        <v>45690</v>
      </c>
      <c r="D304" s="4">
        <v>41</v>
      </c>
      <c r="E304" s="4">
        <v>9</v>
      </c>
      <c r="F304" s="12">
        <f t="shared" si="4"/>
        <v>845.89049999999997</v>
      </c>
      <c r="G304" t="str">
        <f>VLOOKUP(B304,product_tbl[],2,FALSE)</f>
        <v>Cookbook 54</v>
      </c>
      <c r="H304" t="str">
        <f>VLOOKUP(B304,product_tbl[],3,FALSE)</f>
        <v>Books</v>
      </c>
      <c r="I304">
        <v>557.7299999999999</v>
      </c>
      <c r="J304">
        <f>VLOOKUP(B304,product_tbl[],5,FALSE)</f>
        <v>929.55</v>
      </c>
      <c r="K304">
        <f>VLOOKUP(B304,review_tbl[],3,FALSE)</f>
        <v>3</v>
      </c>
      <c r="L304" s="11">
        <v>1037.0986699399548</v>
      </c>
      <c r="M304" s="11">
        <f>AVERAGEIF(Table1[product_id],Master_tbl!B304:B1305,Table1[competitor_price])</f>
        <v>2958.2974999999997</v>
      </c>
      <c r="N304" s="11">
        <f>IFERROR(Table5[[#This Row],[final_sale_price]]*Table5[[#This Row],[quantity_sold ]],0)</f>
        <v>34681.510499999997</v>
      </c>
      <c r="O304" s="11">
        <f>(Table5[[#This Row],[final_sale_price]]-Table5[[#This Row],[cost_price]])*Table5[[#This Row],[quantity_sold ]]</f>
        <v>11814.580500000004</v>
      </c>
      <c r="P304" s="11">
        <f>(Table5[final_sale_price]-Table5[[#This Row],[avg_comp_price]])</f>
        <v>-2112.4069999999997</v>
      </c>
      <c r="Q304" s="15">
        <f>(Table5[[#This Row],[final_sale_price]]-Table5[[#This Row],[avg_comp_price]])/Table5[[#This Row],[avg_comp_price]]</f>
        <v>-0.71406171962082921</v>
      </c>
      <c r="R304" s="11">
        <f>Table5[[#This Row],[Profit]]/Table5[[#This Row],[Revenue]]</f>
        <v>0.34065934065934078</v>
      </c>
    </row>
    <row r="305" spans="1:18" x14ac:dyDescent="0.2">
      <c r="A305" s="5">
        <v>304</v>
      </c>
      <c r="B305" s="5">
        <v>95</v>
      </c>
      <c r="C305" s="7">
        <v>45389</v>
      </c>
      <c r="D305" s="5">
        <v>43</v>
      </c>
      <c r="E305" s="4">
        <v>4</v>
      </c>
      <c r="F305" s="12">
        <f t="shared" si="4"/>
        <v>6689.9232000000002</v>
      </c>
      <c r="G305" t="str">
        <f>VLOOKUP(B305,product_tbl[],2,FALSE)</f>
        <v>Coffee Beans 95</v>
      </c>
      <c r="H305" t="str">
        <f>VLOOKUP(B305,product_tbl[],3,FALSE)</f>
        <v>Grocery</v>
      </c>
      <c r="I305">
        <v>4181.2020000000002</v>
      </c>
      <c r="J305">
        <f>VLOOKUP(B305,product_tbl[],5,FALSE)</f>
        <v>6968.67</v>
      </c>
      <c r="K305">
        <f>VLOOKUP(B305,review_tbl[],3,FALSE)</f>
        <v>2</v>
      </c>
      <c r="L305" s="11">
        <v>8025.5526705916272</v>
      </c>
      <c r="M305" s="11">
        <f>AVERAGEIF(Table1[product_id],Master_tbl!B305:B1306,Table1[competitor_price])</f>
        <v>2797.7239999999997</v>
      </c>
      <c r="N305" s="11">
        <f>IFERROR(Table5[[#This Row],[final_sale_price]]*Table5[[#This Row],[quantity_sold ]],0)</f>
        <v>287666.69760000001</v>
      </c>
      <c r="O305" s="11">
        <f>(Table5[[#This Row],[final_sale_price]]-Table5[[#This Row],[cost_price]])*Table5[[#This Row],[quantity_sold ]]</f>
        <v>107875.0116</v>
      </c>
      <c r="P305" s="11">
        <f>(Table5[final_sale_price]-Table5[[#This Row],[avg_comp_price]])</f>
        <v>3892.1992000000005</v>
      </c>
      <c r="Q305" s="15">
        <f>(Table5[[#This Row],[final_sale_price]]-Table5[[#This Row],[avg_comp_price]])/Table5[[#This Row],[avg_comp_price]]</f>
        <v>1.3912019913329552</v>
      </c>
      <c r="R305" s="11">
        <f>Table5[[#This Row],[Profit]]/Table5[[#This Row],[Revenue]]</f>
        <v>0.375</v>
      </c>
    </row>
    <row r="306" spans="1:18" x14ac:dyDescent="0.2">
      <c r="A306" s="4">
        <v>305</v>
      </c>
      <c r="B306" s="4">
        <v>120</v>
      </c>
      <c r="C306" s="6">
        <v>45080</v>
      </c>
      <c r="D306" s="4">
        <v>13</v>
      </c>
      <c r="E306" s="4">
        <v>6</v>
      </c>
      <c r="F306" s="12">
        <f t="shared" si="4"/>
        <v>1858.0039999999999</v>
      </c>
      <c r="G306" t="str">
        <f>VLOOKUP(B306,product_tbl[],2,FALSE)</f>
        <v>Vacuum Cleaner 120</v>
      </c>
      <c r="H306" t="str">
        <f>VLOOKUP(B306,product_tbl[],3,FALSE)</f>
        <v>Home Appliances</v>
      </c>
      <c r="I306">
        <v>1185.9599999999998</v>
      </c>
      <c r="J306">
        <f>VLOOKUP(B306,product_tbl[],5,FALSE)</f>
        <v>1976.6</v>
      </c>
      <c r="K306">
        <f>VLOOKUP(B306,review_tbl[],3,FALSE)</f>
        <v>2</v>
      </c>
      <c r="L306" s="11">
        <v>1999.5702792704981</v>
      </c>
      <c r="M306" s="11">
        <f>AVERAGEIF(Table1[product_id],Master_tbl!B306:B1307,Table1[competitor_price])</f>
        <v>1688.8574999999998</v>
      </c>
      <c r="N306" s="11">
        <f>IFERROR(Table5[[#This Row],[final_sale_price]]*Table5[[#This Row],[quantity_sold ]],0)</f>
        <v>24154.052</v>
      </c>
      <c r="O306" s="11">
        <f>(Table5[[#This Row],[final_sale_price]]-Table5[[#This Row],[cost_price]])*Table5[[#This Row],[quantity_sold ]]</f>
        <v>8736.5720000000019</v>
      </c>
      <c r="P306" s="11">
        <f>(Table5[final_sale_price]-Table5[[#This Row],[avg_comp_price]])</f>
        <v>169.14650000000006</v>
      </c>
      <c r="Q306" s="15">
        <f>(Table5[[#This Row],[final_sale_price]]-Table5[[#This Row],[avg_comp_price]])/Table5[[#This Row],[avg_comp_price]]</f>
        <v>0.10015439431686811</v>
      </c>
      <c r="R306" s="11">
        <f>Table5[[#This Row],[Profit]]/Table5[[#This Row],[Revenue]]</f>
        <v>0.36170212765957455</v>
      </c>
    </row>
    <row r="307" spans="1:18" x14ac:dyDescent="0.2">
      <c r="A307" s="5">
        <v>306</v>
      </c>
      <c r="B307" s="5">
        <v>103</v>
      </c>
      <c r="C307" s="7">
        <v>45683</v>
      </c>
      <c r="D307" s="5">
        <v>8</v>
      </c>
      <c r="E307" s="4">
        <v>10</v>
      </c>
      <c r="F307" s="12">
        <f t="shared" si="4"/>
        <v>5772.6450000000004</v>
      </c>
      <c r="G307" t="str">
        <f>VLOOKUP(B307,product_tbl[],2,FALSE)</f>
        <v>Remote Car 103</v>
      </c>
      <c r="H307" t="str">
        <f>VLOOKUP(B307,product_tbl[],3,FALSE)</f>
        <v>Toys</v>
      </c>
      <c r="I307">
        <v>3848.43</v>
      </c>
      <c r="J307">
        <f>VLOOKUP(B307,product_tbl[],5,FALSE)</f>
        <v>6414.05</v>
      </c>
      <c r="K307">
        <f>VLOOKUP(B307,review_tbl[],3,FALSE)</f>
        <v>4</v>
      </c>
      <c r="L307" s="11">
        <v>7720.1605010445328</v>
      </c>
      <c r="M307" s="11">
        <f>AVERAGEIF(Table1[product_id],Master_tbl!B307:B1308,Table1[competitor_price])</f>
        <v>6457.8324999999995</v>
      </c>
      <c r="N307" s="11">
        <f>IFERROR(Table5[[#This Row],[final_sale_price]]*Table5[[#This Row],[quantity_sold ]],0)</f>
        <v>46181.16</v>
      </c>
      <c r="O307" s="11">
        <f>(Table5[[#This Row],[final_sale_price]]-Table5[[#This Row],[cost_price]])*Table5[[#This Row],[quantity_sold ]]</f>
        <v>15393.720000000005</v>
      </c>
      <c r="P307" s="11">
        <f>(Table5[final_sale_price]-Table5[[#This Row],[avg_comp_price]])</f>
        <v>-685.18749999999909</v>
      </c>
      <c r="Q307" s="15">
        <f>(Table5[[#This Row],[final_sale_price]]-Table5[[#This Row],[avg_comp_price]])/Table5[[#This Row],[avg_comp_price]]</f>
        <v>-0.10610177640872524</v>
      </c>
      <c r="R307" s="11">
        <f>Table5[[#This Row],[Profit]]/Table5[[#This Row],[Revenue]]</f>
        <v>0.33333333333333343</v>
      </c>
    </row>
    <row r="308" spans="1:18" x14ac:dyDescent="0.2">
      <c r="A308" s="4">
        <v>307</v>
      </c>
      <c r="B308" s="4">
        <v>90</v>
      </c>
      <c r="C308" s="6">
        <v>45293</v>
      </c>
      <c r="D308" s="4">
        <v>39</v>
      </c>
      <c r="E308" s="4">
        <v>6</v>
      </c>
      <c r="F308" s="12">
        <f t="shared" si="4"/>
        <v>1294.1073999999999</v>
      </c>
      <c r="G308" t="str">
        <f>VLOOKUP(B308,product_tbl[],2,FALSE)</f>
        <v>Washing Machine 90</v>
      </c>
      <c r="H308" t="str">
        <f>VLOOKUP(B308,product_tbl[],3,FALSE)</f>
        <v>Home Appliances</v>
      </c>
      <c r="I308">
        <v>826.02599999999995</v>
      </c>
      <c r="J308">
        <f>VLOOKUP(B308,product_tbl[],5,FALSE)</f>
        <v>1376.71</v>
      </c>
      <c r="K308">
        <f>VLOOKUP(B308,review_tbl[],3,FALSE)</f>
        <v>4</v>
      </c>
      <c r="L308" s="11">
        <v>1735.4139246634486</v>
      </c>
      <c r="M308" s="11">
        <f>AVERAGEIF(Table1[product_id],Master_tbl!B308:B1309,Table1[competitor_price])</f>
        <v>2414.7550000000001</v>
      </c>
      <c r="N308" s="11">
        <f>IFERROR(Table5[[#This Row],[final_sale_price]]*Table5[[#This Row],[quantity_sold ]],0)</f>
        <v>50470.188599999994</v>
      </c>
      <c r="O308" s="11">
        <f>(Table5[[#This Row],[final_sale_price]]-Table5[[#This Row],[cost_price]])*Table5[[#This Row],[quantity_sold ]]</f>
        <v>18255.174599999998</v>
      </c>
      <c r="P308" s="11">
        <f>(Table5[final_sale_price]-Table5[[#This Row],[avg_comp_price]])</f>
        <v>-1120.6476000000002</v>
      </c>
      <c r="Q308" s="15">
        <f>(Table5[[#This Row],[final_sale_price]]-Table5[[#This Row],[avg_comp_price]])/Table5[[#This Row],[avg_comp_price]]</f>
        <v>-0.46408335421191804</v>
      </c>
      <c r="R308" s="11">
        <f>Table5[[#This Row],[Profit]]/Table5[[#This Row],[Revenue]]</f>
        <v>0.36170212765957449</v>
      </c>
    </row>
    <row r="309" spans="1:18" x14ac:dyDescent="0.2">
      <c r="A309" s="5">
        <v>308</v>
      </c>
      <c r="B309" s="5">
        <v>94</v>
      </c>
      <c r="C309" s="7">
        <v>45837</v>
      </c>
      <c r="D309" s="5">
        <v>46</v>
      </c>
      <c r="E309" s="4">
        <v>5</v>
      </c>
      <c r="F309" s="12">
        <f t="shared" si="4"/>
        <v>4420.1409999999996</v>
      </c>
      <c r="G309" t="str">
        <f>VLOOKUP(B309,product_tbl[],2,FALSE)</f>
        <v>Cricket Bat 94</v>
      </c>
      <c r="H309" t="str">
        <f>VLOOKUP(B309,product_tbl[],3,FALSE)</f>
        <v>Sports</v>
      </c>
      <c r="I309">
        <v>2791.6679999999997</v>
      </c>
      <c r="J309">
        <f>VLOOKUP(B309,product_tbl[],5,FALSE)</f>
        <v>4652.78</v>
      </c>
      <c r="K309">
        <f>VLOOKUP(B309,review_tbl[],3,FALSE)</f>
        <v>1</v>
      </c>
      <c r="L309" s="11">
        <v>5173.7184979551876</v>
      </c>
      <c r="M309" s="11">
        <f>AVERAGEIF(Table1[product_id],Master_tbl!B309:B1310,Table1[competitor_price])</f>
        <v>6485.5883333333331</v>
      </c>
      <c r="N309" s="11">
        <f>IFERROR(Table5[[#This Row],[final_sale_price]]*Table5[[#This Row],[quantity_sold ]],0)</f>
        <v>203326.48599999998</v>
      </c>
      <c r="O309" s="11">
        <f>(Table5[[#This Row],[final_sale_price]]-Table5[[#This Row],[cost_price]])*Table5[[#This Row],[quantity_sold ]]</f>
        <v>74909.758000000002</v>
      </c>
      <c r="P309" s="11">
        <f>(Table5[final_sale_price]-Table5[[#This Row],[avg_comp_price]])</f>
        <v>-2065.4473333333335</v>
      </c>
      <c r="Q309" s="15">
        <f>(Table5[[#This Row],[final_sale_price]]-Table5[[#This Row],[avg_comp_price]])/Table5[[#This Row],[avg_comp_price]]</f>
        <v>-0.31846722720863413</v>
      </c>
      <c r="R309" s="11">
        <f>Table5[[#This Row],[Profit]]/Table5[[#This Row],[Revenue]]</f>
        <v>0.36842105263157898</v>
      </c>
    </row>
    <row r="310" spans="1:18" x14ac:dyDescent="0.2">
      <c r="A310" s="4">
        <v>309</v>
      </c>
      <c r="B310" s="4">
        <v>31</v>
      </c>
      <c r="C310" s="6">
        <v>45447</v>
      </c>
      <c r="D310" s="4">
        <v>41</v>
      </c>
      <c r="E310" s="4">
        <v>2</v>
      </c>
      <c r="F310" s="12">
        <f t="shared" si="4"/>
        <v>1002.7752</v>
      </c>
      <c r="G310" t="str">
        <f>VLOOKUP(B310,product_tbl[],2,FALSE)</f>
        <v>Bluetooth Speaker 31</v>
      </c>
      <c r="H310" t="str">
        <f>VLOOKUP(B310,product_tbl[],3,FALSE)</f>
        <v>Electronics</v>
      </c>
      <c r="I310">
        <v>613.94399999999996</v>
      </c>
      <c r="J310">
        <f>VLOOKUP(B310,product_tbl[],5,FALSE)</f>
        <v>1023.24</v>
      </c>
      <c r="K310">
        <f>VLOOKUP(B310,review_tbl[],3,FALSE)</f>
        <v>2</v>
      </c>
      <c r="L310" s="11">
        <v>1234.7644396556386</v>
      </c>
      <c r="M310" s="11">
        <f>AVERAGEIF(Table1[product_id],Master_tbl!B310:B1311,Table1[competitor_price])</f>
        <v>1065.8219999999999</v>
      </c>
      <c r="N310" s="11">
        <f>IFERROR(Table5[[#This Row],[final_sale_price]]*Table5[[#This Row],[quantity_sold ]],0)</f>
        <v>41113.783200000005</v>
      </c>
      <c r="O310" s="11">
        <f>(Table5[[#This Row],[final_sale_price]]-Table5[[#This Row],[cost_price]])*Table5[[#This Row],[quantity_sold ]]</f>
        <v>15942.079200000004</v>
      </c>
      <c r="P310" s="11">
        <f>(Table5[final_sale_price]-Table5[[#This Row],[avg_comp_price]])</f>
        <v>-63.046799999999848</v>
      </c>
      <c r="Q310" s="15">
        <f>(Table5[[#This Row],[final_sale_price]]-Table5[[#This Row],[avg_comp_price]])/Table5[[#This Row],[avg_comp_price]]</f>
        <v>-5.9153216953675057E-2</v>
      </c>
      <c r="R310" s="11">
        <f>Table5[[#This Row],[Profit]]/Table5[[#This Row],[Revenue]]</f>
        <v>0.38775510204081637</v>
      </c>
    </row>
    <row r="311" spans="1:18" x14ac:dyDescent="0.2">
      <c r="A311" s="5">
        <v>310</v>
      </c>
      <c r="B311" s="5">
        <v>71</v>
      </c>
      <c r="C311" s="7">
        <v>45758</v>
      </c>
      <c r="D311" s="5">
        <v>34</v>
      </c>
      <c r="E311" s="4">
        <v>8</v>
      </c>
      <c r="F311" s="12">
        <f t="shared" si="4"/>
        <v>4536.7592000000004</v>
      </c>
      <c r="G311" t="str">
        <f>VLOOKUP(B311,product_tbl[],2,FALSE)</f>
        <v>Self Help Book 71</v>
      </c>
      <c r="H311" t="str">
        <f>VLOOKUP(B311,product_tbl[],3,FALSE)</f>
        <v>Books</v>
      </c>
      <c r="I311">
        <v>2958.7559999999999</v>
      </c>
      <c r="J311">
        <f>VLOOKUP(B311,product_tbl[],5,FALSE)</f>
        <v>4931.26</v>
      </c>
      <c r="K311">
        <f>VLOOKUP(B311,review_tbl[],3,FALSE)</f>
        <v>3</v>
      </c>
      <c r="L311" s="11">
        <v>5767.5597428162455</v>
      </c>
      <c r="M311" s="11">
        <f>AVERAGEIF(Table1[product_id],Master_tbl!B311:B1312,Table1[competitor_price])</f>
        <v>2482.0633333333335</v>
      </c>
      <c r="N311" s="11">
        <f>IFERROR(Table5[[#This Row],[final_sale_price]]*Table5[[#This Row],[quantity_sold ]],0)</f>
        <v>154249.81280000001</v>
      </c>
      <c r="O311" s="11">
        <f>(Table5[[#This Row],[final_sale_price]]-Table5[[#This Row],[cost_price]])*Table5[[#This Row],[quantity_sold ]]</f>
        <v>53652.108800000016</v>
      </c>
      <c r="P311" s="11">
        <f>(Table5[final_sale_price]-Table5[[#This Row],[avg_comp_price]])</f>
        <v>2054.6958666666669</v>
      </c>
      <c r="Q311" s="15">
        <f>(Table5[[#This Row],[final_sale_price]]-Table5[[#This Row],[avg_comp_price]])/Table5[[#This Row],[avg_comp_price]]</f>
        <v>0.82781766245556454</v>
      </c>
      <c r="R311" s="11">
        <f>Table5[[#This Row],[Profit]]/Table5[[#This Row],[Revenue]]</f>
        <v>0.34782608695652184</v>
      </c>
    </row>
    <row r="312" spans="1:18" x14ac:dyDescent="0.2">
      <c r="A312" s="4">
        <v>311</v>
      </c>
      <c r="B312" s="4">
        <v>62</v>
      </c>
      <c r="C312" s="6">
        <v>45180</v>
      </c>
      <c r="D312" s="4">
        <v>28</v>
      </c>
      <c r="E312" s="4">
        <v>8</v>
      </c>
      <c r="F312" s="12">
        <f t="shared" si="4"/>
        <v>3181.3048000000003</v>
      </c>
      <c r="G312" t="str">
        <f>VLOOKUP(B312,product_tbl[],2,FALSE)</f>
        <v>Olive Oil 62</v>
      </c>
      <c r="H312" t="str">
        <f>VLOOKUP(B312,product_tbl[],3,FALSE)</f>
        <v>Grocery</v>
      </c>
      <c r="I312">
        <v>2074.7640000000001</v>
      </c>
      <c r="J312">
        <f>VLOOKUP(B312,product_tbl[],5,FALSE)</f>
        <v>3457.94</v>
      </c>
      <c r="K312">
        <f>VLOOKUP(B312,review_tbl[],3,FALSE)</f>
        <v>4</v>
      </c>
      <c r="L312" s="11">
        <v>3719.8307594493422</v>
      </c>
      <c r="M312" s="11">
        <f>AVERAGEIF(Table1[product_id],Master_tbl!B312:B1313,Table1[competitor_price])</f>
        <v>5560.3266666666668</v>
      </c>
      <c r="N312" s="11">
        <f>IFERROR(Table5[[#This Row],[final_sale_price]]*Table5[[#This Row],[quantity_sold ]],0)</f>
        <v>89076.534400000004</v>
      </c>
      <c r="O312" s="11">
        <f>(Table5[[#This Row],[final_sale_price]]-Table5[[#This Row],[cost_price]])*Table5[[#This Row],[quantity_sold ]]</f>
        <v>30983.142400000004</v>
      </c>
      <c r="P312" s="11">
        <f>(Table5[final_sale_price]-Table5[[#This Row],[avg_comp_price]])</f>
        <v>-2379.0218666666665</v>
      </c>
      <c r="Q312" s="15">
        <f>(Table5[[#This Row],[final_sale_price]]-Table5[[#This Row],[avg_comp_price]])/Table5[[#This Row],[avg_comp_price]]</f>
        <v>-0.42785649284394556</v>
      </c>
      <c r="R312" s="11">
        <f>Table5[[#This Row],[Profit]]/Table5[[#This Row],[Revenue]]</f>
        <v>0.34782608695652178</v>
      </c>
    </row>
    <row r="313" spans="1:18" x14ac:dyDescent="0.2">
      <c r="A313" s="5">
        <v>312</v>
      </c>
      <c r="B313" s="5">
        <v>80</v>
      </c>
      <c r="C313" s="7">
        <v>45314</v>
      </c>
      <c r="D313" s="5">
        <v>30</v>
      </c>
      <c r="E313" s="4">
        <v>7</v>
      </c>
      <c r="F313" s="12">
        <f t="shared" si="4"/>
        <v>929.13509999999997</v>
      </c>
      <c r="G313" t="str">
        <f>VLOOKUP(B313,product_tbl[],2,FALSE)</f>
        <v>Washing Machine 80</v>
      </c>
      <c r="H313" t="str">
        <f>VLOOKUP(B313,product_tbl[],3,FALSE)</f>
        <v>Home Appliances</v>
      </c>
      <c r="I313">
        <v>599.44200000000001</v>
      </c>
      <c r="J313">
        <f>VLOOKUP(B313,product_tbl[],5,FALSE)</f>
        <v>999.07</v>
      </c>
      <c r="K313">
        <f>VLOOKUP(B313,review_tbl[],3,FALSE)</f>
        <v>5</v>
      </c>
      <c r="L313" s="11">
        <v>1230.2416440333286</v>
      </c>
      <c r="M313" s="11">
        <f>AVERAGEIF(Table1[product_id],Master_tbl!B313:B1314,Table1[competitor_price])</f>
        <v>4319.1966666666667</v>
      </c>
      <c r="N313" s="11">
        <f>IFERROR(Table5[[#This Row],[final_sale_price]]*Table5[[#This Row],[quantity_sold ]],0)</f>
        <v>27874.053</v>
      </c>
      <c r="O313" s="11">
        <f>(Table5[[#This Row],[final_sale_price]]-Table5[[#This Row],[cost_price]])*Table5[[#This Row],[quantity_sold ]]</f>
        <v>9890.7929999999978</v>
      </c>
      <c r="P313" s="11">
        <f>(Table5[final_sale_price]-Table5[[#This Row],[avg_comp_price]])</f>
        <v>-3390.0615666666667</v>
      </c>
      <c r="Q313" s="15">
        <f>(Table5[[#This Row],[final_sale_price]]-Table5[[#This Row],[avg_comp_price]])/Table5[[#This Row],[avg_comp_price]]</f>
        <v>-0.78488242798236396</v>
      </c>
      <c r="R313" s="11">
        <f>Table5[[#This Row],[Profit]]/Table5[[#This Row],[Revenue]]</f>
        <v>0.35483870967741926</v>
      </c>
    </row>
    <row r="314" spans="1:18" x14ac:dyDescent="0.2">
      <c r="A314" s="4">
        <v>313</v>
      </c>
      <c r="B314" s="4">
        <v>131</v>
      </c>
      <c r="C314" s="6">
        <v>45721</v>
      </c>
      <c r="D314" s="4">
        <v>12</v>
      </c>
      <c r="E314" s="4">
        <v>10</v>
      </c>
      <c r="F314" s="12">
        <f t="shared" si="4"/>
        <v>5573.3220000000001</v>
      </c>
      <c r="G314" t="str">
        <f>VLOOKUP(B314,product_tbl[],2,FALSE)</f>
        <v>Lipstick 131</v>
      </c>
      <c r="H314" t="str">
        <f>VLOOKUP(B314,product_tbl[],3,FALSE)</f>
        <v>Beauty</v>
      </c>
      <c r="I314">
        <v>3715.5479999999998</v>
      </c>
      <c r="J314">
        <f>VLOOKUP(B314,product_tbl[],5,FALSE)</f>
        <v>6192.58</v>
      </c>
      <c r="K314">
        <f>VLOOKUP(B314,review_tbl[],3,FALSE)</f>
        <v>3</v>
      </c>
      <c r="L314" s="11">
        <v>8009.4557484971638</v>
      </c>
      <c r="M314" s="11">
        <f>AVERAGEIF(Table1[product_id],Master_tbl!B314:B1315,Table1[competitor_price])</f>
        <v>1795.3133333333335</v>
      </c>
      <c r="N314" s="11">
        <f>IFERROR(Table5[[#This Row],[final_sale_price]]*Table5[[#This Row],[quantity_sold ]],0)</f>
        <v>66879.864000000001</v>
      </c>
      <c r="O314" s="11">
        <f>(Table5[[#This Row],[final_sale_price]]-Table5[[#This Row],[cost_price]])*Table5[[#This Row],[quantity_sold ]]</f>
        <v>22293.288000000004</v>
      </c>
      <c r="P314" s="11">
        <f>(Table5[final_sale_price]-Table5[[#This Row],[avg_comp_price]])</f>
        <v>3778.0086666666666</v>
      </c>
      <c r="Q314" s="15">
        <f>(Table5[[#This Row],[final_sale_price]]-Table5[[#This Row],[avg_comp_price]])/Table5[[#This Row],[avg_comp_price]]</f>
        <v>2.1043728671318283</v>
      </c>
      <c r="R314" s="11">
        <f>Table5[[#This Row],[Profit]]/Table5[[#This Row],[Revenue]]</f>
        <v>0.33333333333333337</v>
      </c>
    </row>
    <row r="315" spans="1:18" x14ac:dyDescent="0.2">
      <c r="A315" s="5">
        <v>314</v>
      </c>
      <c r="B315" s="5">
        <v>34</v>
      </c>
      <c r="C315" s="7">
        <v>45227</v>
      </c>
      <c r="D315" s="5">
        <v>4</v>
      </c>
      <c r="E315" s="4">
        <v>4</v>
      </c>
      <c r="F315" s="12">
        <f t="shared" si="4"/>
        <v>1251.2544</v>
      </c>
      <c r="G315" t="str">
        <f>VLOOKUP(B315,product_tbl[],2,FALSE)</f>
        <v>Doll 34</v>
      </c>
      <c r="H315" t="str">
        <f>VLOOKUP(B315,product_tbl[],3,FALSE)</f>
        <v>Toys</v>
      </c>
      <c r="I315">
        <v>782.03399999999999</v>
      </c>
      <c r="J315">
        <f>VLOOKUP(B315,product_tbl[],5,FALSE)</f>
        <v>1303.3900000000001</v>
      </c>
      <c r="K315">
        <f>VLOOKUP(B315,review_tbl[],3,FALSE)</f>
        <v>2</v>
      </c>
      <c r="L315" s="11">
        <v>1618.0989992639982</v>
      </c>
      <c r="M315" s="11">
        <f>AVERAGEIF(Table1[product_id],Master_tbl!B315:B1316,Table1[competitor_price])</f>
        <v>4145.4440000000004</v>
      </c>
      <c r="N315" s="11">
        <f>IFERROR(Table5[[#This Row],[final_sale_price]]*Table5[[#This Row],[quantity_sold ]],0)</f>
        <v>5005.0176000000001</v>
      </c>
      <c r="O315" s="11">
        <f>(Table5[[#This Row],[final_sale_price]]-Table5[[#This Row],[cost_price]])*Table5[[#This Row],[quantity_sold ]]</f>
        <v>1876.8816000000002</v>
      </c>
      <c r="P315" s="11">
        <f>(Table5[final_sale_price]-Table5[[#This Row],[avg_comp_price]])</f>
        <v>-2894.1896000000006</v>
      </c>
      <c r="Q315" s="15">
        <f>(Table5[[#This Row],[final_sale_price]]-Table5[[#This Row],[avg_comp_price]])/Table5[[#This Row],[avg_comp_price]]</f>
        <v>-0.698161547954815</v>
      </c>
      <c r="R315" s="11">
        <f>Table5[[#This Row],[Profit]]/Table5[[#This Row],[Revenue]]</f>
        <v>0.375</v>
      </c>
    </row>
    <row r="316" spans="1:18" x14ac:dyDescent="0.2">
      <c r="A316" s="4">
        <v>315</v>
      </c>
      <c r="B316" s="4">
        <v>93</v>
      </c>
      <c r="C316" s="6">
        <v>44979</v>
      </c>
      <c r="D316" s="4">
        <v>45</v>
      </c>
      <c r="E316" s="4">
        <v>9</v>
      </c>
      <c r="F316" s="12">
        <f t="shared" si="4"/>
        <v>6972.9386999999997</v>
      </c>
      <c r="G316" t="str">
        <f>VLOOKUP(B316,product_tbl[],2,FALSE)</f>
        <v>Cookbook 93</v>
      </c>
      <c r="H316" t="str">
        <f>VLOOKUP(B316,product_tbl[],3,FALSE)</f>
        <v>Books</v>
      </c>
      <c r="I316">
        <v>4597.5419999999995</v>
      </c>
      <c r="J316">
        <f>VLOOKUP(B316,product_tbl[],5,FALSE)</f>
        <v>7662.57</v>
      </c>
      <c r="K316">
        <f>VLOOKUP(B316,review_tbl[],3,FALSE)</f>
        <v>3</v>
      </c>
      <c r="L316" s="11">
        <v>9633.9909598674985</v>
      </c>
      <c r="M316" s="11">
        <f>AVERAGEIF(Table1[product_id],Master_tbl!B316:B1317,Table1[competitor_price])</f>
        <v>991.00333333333344</v>
      </c>
      <c r="N316" s="11">
        <f>IFERROR(Table5[[#This Row],[final_sale_price]]*Table5[[#This Row],[quantity_sold ]],0)</f>
        <v>313782.2415</v>
      </c>
      <c r="O316" s="11">
        <f>(Table5[[#This Row],[final_sale_price]]-Table5[[#This Row],[cost_price]])*Table5[[#This Row],[quantity_sold ]]</f>
        <v>106892.8515</v>
      </c>
      <c r="P316" s="11">
        <f>(Table5[final_sale_price]-Table5[[#This Row],[avg_comp_price]])</f>
        <v>5981.9353666666666</v>
      </c>
      <c r="Q316" s="15">
        <f>(Table5[[#This Row],[final_sale_price]]-Table5[[#This Row],[avg_comp_price]])/Table5[[#This Row],[avg_comp_price]]</f>
        <v>6.0362414186296034</v>
      </c>
      <c r="R316" s="11">
        <f>Table5[[#This Row],[Profit]]/Table5[[#This Row],[Revenue]]</f>
        <v>0.34065934065934067</v>
      </c>
    </row>
    <row r="317" spans="1:18" x14ac:dyDescent="0.2">
      <c r="A317" s="5">
        <v>316</v>
      </c>
      <c r="B317" s="5">
        <v>118</v>
      </c>
      <c r="C317" s="7">
        <v>45679</v>
      </c>
      <c r="D317" s="5">
        <v>29</v>
      </c>
      <c r="E317" s="4">
        <v>6</v>
      </c>
      <c r="F317" s="12">
        <f t="shared" si="4"/>
        <v>2960.2949999999996</v>
      </c>
      <c r="G317" t="str">
        <f>VLOOKUP(B317,product_tbl[],2,FALSE)</f>
        <v>Doll 118</v>
      </c>
      <c r="H317" t="str">
        <f>VLOOKUP(B317,product_tbl[],3,FALSE)</f>
        <v>Toys</v>
      </c>
      <c r="I317">
        <v>1889.55</v>
      </c>
      <c r="J317">
        <f>VLOOKUP(B317,product_tbl[],5,FALSE)</f>
        <v>3149.25</v>
      </c>
      <c r="K317">
        <f>VLOOKUP(B317,review_tbl[],3,FALSE)</f>
        <v>5</v>
      </c>
      <c r="L317" s="11">
        <v>3329.8682580649843</v>
      </c>
      <c r="M317" s="11">
        <f>AVERAGEIF(Table1[product_id],Master_tbl!B317:B1318,Table1[competitor_price])</f>
        <v>224.52399999999997</v>
      </c>
      <c r="N317" s="11">
        <f>IFERROR(Table5[[#This Row],[final_sale_price]]*Table5[[#This Row],[quantity_sold ]],0)</f>
        <v>85848.554999999993</v>
      </c>
      <c r="O317" s="11">
        <f>(Table5[[#This Row],[final_sale_price]]-Table5[[#This Row],[cost_price]])*Table5[[#This Row],[quantity_sold ]]</f>
        <v>31051.604999999989</v>
      </c>
      <c r="P317" s="11">
        <f>(Table5[final_sale_price]-Table5[[#This Row],[avg_comp_price]])</f>
        <v>2735.7709999999997</v>
      </c>
      <c r="Q317" s="15">
        <f>(Table5[[#This Row],[final_sale_price]]-Table5[[#This Row],[avg_comp_price]])/Table5[[#This Row],[avg_comp_price]]</f>
        <v>12.184759758422263</v>
      </c>
      <c r="R317" s="11">
        <f>Table5[[#This Row],[Profit]]/Table5[[#This Row],[Revenue]]</f>
        <v>0.36170212765957438</v>
      </c>
    </row>
    <row r="318" spans="1:18" x14ac:dyDescent="0.2">
      <c r="A318" s="4">
        <v>317</v>
      </c>
      <c r="B318" s="4">
        <v>4</v>
      </c>
      <c r="C318" s="6">
        <v>45120</v>
      </c>
      <c r="D318" s="4">
        <v>23</v>
      </c>
      <c r="E318" s="4">
        <v>5</v>
      </c>
      <c r="F318" s="12">
        <f t="shared" si="4"/>
        <v>6731.1109999999999</v>
      </c>
      <c r="G318" t="str">
        <f>VLOOKUP(B318,product_tbl[],2,FALSE)</f>
        <v>Gym Gloves 4</v>
      </c>
      <c r="H318" t="str">
        <f>VLOOKUP(B318,product_tbl[],3,FALSE)</f>
        <v>Sports</v>
      </c>
      <c r="I318">
        <v>4251.2280000000001</v>
      </c>
      <c r="J318">
        <f>VLOOKUP(B318,product_tbl[],5,FALSE)</f>
        <v>7085.38</v>
      </c>
      <c r="K318">
        <f>VLOOKUP(B318,review_tbl[],3,FALSE)</f>
        <v>4</v>
      </c>
      <c r="L318" s="11">
        <v>9185.7982894117777</v>
      </c>
      <c r="M318" s="11">
        <f>AVERAGEIF(Table1[product_id],Master_tbl!B318:B1319,Table1[competitor_price])</f>
        <v>3570.2466666666674</v>
      </c>
      <c r="N318" s="11">
        <f>IFERROR(Table5[[#This Row],[final_sale_price]]*Table5[[#This Row],[quantity_sold ]],0)</f>
        <v>154815.55299999999</v>
      </c>
      <c r="O318" s="11">
        <f>(Table5[[#This Row],[final_sale_price]]-Table5[[#This Row],[cost_price]])*Table5[[#This Row],[quantity_sold ]]</f>
        <v>57037.308999999994</v>
      </c>
      <c r="P318" s="11">
        <f>(Table5[final_sale_price]-Table5[[#This Row],[avg_comp_price]])</f>
        <v>3160.8643333333325</v>
      </c>
      <c r="Q318" s="15">
        <f>(Table5[[#This Row],[final_sale_price]]-Table5[[#This Row],[avg_comp_price]])/Table5[[#This Row],[avg_comp_price]]</f>
        <v>0.88533500019606448</v>
      </c>
      <c r="R318" s="11">
        <f>Table5[[#This Row],[Profit]]/Table5[[#This Row],[Revenue]]</f>
        <v>0.36842105263157893</v>
      </c>
    </row>
    <row r="319" spans="1:18" x14ac:dyDescent="0.2">
      <c r="A319" s="5">
        <v>318</v>
      </c>
      <c r="B319" s="5">
        <v>26</v>
      </c>
      <c r="C319" s="7">
        <v>45324</v>
      </c>
      <c r="D319" s="5">
        <v>42</v>
      </c>
      <c r="E319" s="4">
        <v>8</v>
      </c>
      <c r="F319" s="12">
        <f t="shared" si="4"/>
        <v>5185.9664000000002</v>
      </c>
      <c r="G319" t="str">
        <f>VLOOKUP(B319,product_tbl[],2,FALSE)</f>
        <v>Rice Pack 26</v>
      </c>
      <c r="H319" t="str">
        <f>VLOOKUP(B319,product_tbl[],3,FALSE)</f>
        <v>Grocery</v>
      </c>
      <c r="I319">
        <v>3382.152</v>
      </c>
      <c r="J319">
        <f>VLOOKUP(B319,product_tbl[],5,FALSE)</f>
        <v>5636.92</v>
      </c>
      <c r="K319">
        <f>VLOOKUP(B319,review_tbl[],3,FALSE)</f>
        <v>4</v>
      </c>
      <c r="L319" s="11">
        <v>6169.2028214157963</v>
      </c>
      <c r="M319" s="11">
        <f>AVERAGEIF(Table1[product_id],Master_tbl!B319:B1320,Table1[competitor_price])</f>
        <v>3474.7766666666666</v>
      </c>
      <c r="N319" s="11">
        <f>IFERROR(Table5[[#This Row],[final_sale_price]]*Table5[[#This Row],[quantity_sold ]],0)</f>
        <v>217810.5888</v>
      </c>
      <c r="O319" s="11">
        <f>(Table5[[#This Row],[final_sale_price]]-Table5[[#This Row],[cost_price]])*Table5[[#This Row],[quantity_sold ]]</f>
        <v>75760.204800000007</v>
      </c>
      <c r="P319" s="11">
        <f>(Table5[final_sale_price]-Table5[[#This Row],[avg_comp_price]])</f>
        <v>1711.1897333333336</v>
      </c>
      <c r="Q319" s="15">
        <f>(Table5[[#This Row],[final_sale_price]]-Table5[[#This Row],[avg_comp_price]])/Table5[[#This Row],[avg_comp_price]]</f>
        <v>0.49246034996973437</v>
      </c>
      <c r="R319" s="11">
        <f>Table5[[#This Row],[Profit]]/Table5[[#This Row],[Revenue]]</f>
        <v>0.34782608695652178</v>
      </c>
    </row>
    <row r="320" spans="1:18" x14ac:dyDescent="0.2">
      <c r="A320" s="4">
        <v>319</v>
      </c>
      <c r="B320" s="4">
        <v>42</v>
      </c>
      <c r="C320" s="6">
        <v>45245</v>
      </c>
      <c r="D320" s="4">
        <v>38</v>
      </c>
      <c r="E320" s="4">
        <v>2</v>
      </c>
      <c r="F320" s="12">
        <f t="shared" si="4"/>
        <v>419.048</v>
      </c>
      <c r="G320" t="str">
        <f>VLOOKUP(B320,product_tbl[],2,FALSE)</f>
        <v>Action Figure 42</v>
      </c>
      <c r="H320" t="str">
        <f>VLOOKUP(B320,product_tbl[],3,FALSE)</f>
        <v>Toys</v>
      </c>
      <c r="I320">
        <v>256.56</v>
      </c>
      <c r="J320">
        <f>VLOOKUP(B320,product_tbl[],5,FALSE)</f>
        <v>427.6</v>
      </c>
      <c r="K320">
        <f>VLOOKUP(B320,review_tbl[],3,FALSE)</f>
        <v>2</v>
      </c>
      <c r="L320" s="11">
        <v>491.60483810484624</v>
      </c>
      <c r="M320" s="11">
        <f>AVERAGEIF(Table1[product_id],Master_tbl!B320:B1321,Table1[competitor_price])</f>
        <v>513.45666666666671</v>
      </c>
      <c r="N320" s="11">
        <f>IFERROR(Table5[[#This Row],[final_sale_price]]*Table5[[#This Row],[quantity_sold ]],0)</f>
        <v>15923.824000000001</v>
      </c>
      <c r="O320" s="11">
        <f>(Table5[[#This Row],[final_sale_price]]-Table5[[#This Row],[cost_price]])*Table5[[#This Row],[quantity_sold ]]</f>
        <v>6174.5439999999999</v>
      </c>
      <c r="P320" s="11">
        <f>(Table5[final_sale_price]-Table5[[#This Row],[avg_comp_price]])</f>
        <v>-94.408666666666704</v>
      </c>
      <c r="Q320" s="15">
        <f>(Table5[[#This Row],[final_sale_price]]-Table5[[#This Row],[avg_comp_price]])/Table5[[#This Row],[avg_comp_price]]</f>
        <v>-0.18386881074027675</v>
      </c>
      <c r="R320" s="11">
        <f>Table5[[#This Row],[Profit]]/Table5[[#This Row],[Revenue]]</f>
        <v>0.38775510204081631</v>
      </c>
    </row>
    <row r="321" spans="1:18" x14ac:dyDescent="0.2">
      <c r="A321" s="5">
        <v>320</v>
      </c>
      <c r="B321" s="5">
        <v>10</v>
      </c>
      <c r="C321" s="7">
        <v>45415</v>
      </c>
      <c r="D321" s="5">
        <v>36</v>
      </c>
      <c r="E321" s="4">
        <v>4</v>
      </c>
      <c r="F321" s="12">
        <f t="shared" si="4"/>
        <v>2685.3984</v>
      </c>
      <c r="G321" t="str">
        <f>VLOOKUP(B321,product_tbl[],2,FALSE)</f>
        <v>Jacket 10</v>
      </c>
      <c r="H321" t="str">
        <f>VLOOKUP(B321,product_tbl[],3,FALSE)</f>
        <v>Fashion</v>
      </c>
      <c r="I321">
        <v>1678.374</v>
      </c>
      <c r="J321">
        <f>VLOOKUP(B321,product_tbl[],5,FALSE)</f>
        <v>2797.29</v>
      </c>
      <c r="K321">
        <f>VLOOKUP(B321,review_tbl[],3,FALSE)</f>
        <v>4</v>
      </c>
      <c r="L321" s="11">
        <v>3263.2010699827215</v>
      </c>
      <c r="M321" s="11">
        <f>AVERAGEIF(Table1[product_id],Master_tbl!B321:B1322,Table1[competitor_price])</f>
        <v>6310.5433333333322</v>
      </c>
      <c r="N321" s="11">
        <f>IFERROR(Table5[[#This Row],[final_sale_price]]*Table5[[#This Row],[quantity_sold ]],0)</f>
        <v>96674.342399999994</v>
      </c>
      <c r="O321" s="11">
        <f>(Table5[[#This Row],[final_sale_price]]-Table5[[#This Row],[cost_price]])*Table5[[#This Row],[quantity_sold ]]</f>
        <v>36252.878400000001</v>
      </c>
      <c r="P321" s="11">
        <f>(Table5[final_sale_price]-Table5[[#This Row],[avg_comp_price]])</f>
        <v>-3625.1449333333321</v>
      </c>
      <c r="Q321" s="15">
        <f>(Table5[[#This Row],[final_sale_price]]-Table5[[#This Row],[avg_comp_price]])/Table5[[#This Row],[avg_comp_price]]</f>
        <v>-0.57445844863860107</v>
      </c>
      <c r="R321" s="11">
        <f>Table5[[#This Row],[Profit]]/Table5[[#This Row],[Revenue]]</f>
        <v>0.37500000000000006</v>
      </c>
    </row>
    <row r="322" spans="1:18" x14ac:dyDescent="0.2">
      <c r="A322" s="4">
        <v>321</v>
      </c>
      <c r="B322" s="4">
        <v>119</v>
      </c>
      <c r="C322" s="6">
        <v>45032</v>
      </c>
      <c r="D322" s="4">
        <v>2</v>
      </c>
      <c r="E322" s="4">
        <v>3</v>
      </c>
      <c r="F322" s="12">
        <f t="shared" ref="F322:F385" si="5">J322*(1-E322/100)</f>
        <v>1883.6527000000001</v>
      </c>
      <c r="G322" t="str">
        <f>VLOOKUP(B322,product_tbl[],2,FALSE)</f>
        <v>Wheat Flour 119</v>
      </c>
      <c r="H322" t="str">
        <f>VLOOKUP(B322,product_tbl[],3,FALSE)</f>
        <v>Grocery</v>
      </c>
      <c r="I322">
        <v>1165.146</v>
      </c>
      <c r="J322">
        <f>VLOOKUP(B322,product_tbl[],5,FALSE)</f>
        <v>1941.91</v>
      </c>
      <c r="K322">
        <f>VLOOKUP(B322,review_tbl[],3,FALSE)</f>
        <v>4</v>
      </c>
      <c r="L322" s="11">
        <v>2425.0894245912182</v>
      </c>
      <c r="M322" s="11">
        <f>AVERAGEIF(Table1[product_id],Master_tbl!B322:B1323,Table1[competitor_price])</f>
        <v>4902.3539999999994</v>
      </c>
      <c r="N322" s="11">
        <f>IFERROR(Table5[[#This Row],[final_sale_price]]*Table5[[#This Row],[quantity_sold ]],0)</f>
        <v>3767.3054000000002</v>
      </c>
      <c r="O322" s="11">
        <f>(Table5[[#This Row],[final_sale_price]]-Table5[[#This Row],[cost_price]])*Table5[[#This Row],[quantity_sold ]]</f>
        <v>1437.0134000000003</v>
      </c>
      <c r="P322" s="11">
        <f>(Table5[final_sale_price]-Table5[[#This Row],[avg_comp_price]])</f>
        <v>-3018.7012999999993</v>
      </c>
      <c r="Q322" s="15">
        <f>(Table5[[#This Row],[final_sale_price]]-Table5[[#This Row],[avg_comp_price]])/Table5[[#This Row],[avg_comp_price]]</f>
        <v>-0.6157656709409397</v>
      </c>
      <c r="R322" s="11">
        <f>Table5[[#This Row],[Profit]]/Table5[[#This Row],[Revenue]]</f>
        <v>0.3814432989690722</v>
      </c>
    </row>
    <row r="323" spans="1:18" x14ac:dyDescent="0.2">
      <c r="A323" s="5">
        <v>322</v>
      </c>
      <c r="B323" s="5">
        <v>69</v>
      </c>
      <c r="C323" s="7">
        <v>45002</v>
      </c>
      <c r="D323" s="5">
        <v>15</v>
      </c>
      <c r="E323" s="4">
        <v>9</v>
      </c>
      <c r="F323" s="12">
        <f t="shared" si="5"/>
        <v>6787.4170000000004</v>
      </c>
      <c r="G323" t="str">
        <f>VLOOKUP(B323,product_tbl[],2,FALSE)</f>
        <v>Doll 69</v>
      </c>
      <c r="H323" t="str">
        <f>VLOOKUP(B323,product_tbl[],3,FALSE)</f>
        <v>Toys</v>
      </c>
      <c r="I323">
        <v>4475.2199999999993</v>
      </c>
      <c r="J323">
        <f>VLOOKUP(B323,product_tbl[],5,FALSE)</f>
        <v>7458.7</v>
      </c>
      <c r="K323">
        <f>VLOOKUP(B323,review_tbl[],3,FALSE)</f>
        <v>3</v>
      </c>
      <c r="L323" s="11">
        <v>9411.7248280297881</v>
      </c>
      <c r="M323" s="11">
        <f>AVERAGEIF(Table1[product_id],Master_tbl!B323:B1324,Table1[competitor_price])</f>
        <v>809.57599999999991</v>
      </c>
      <c r="N323" s="11">
        <f>IFERROR(Table5[[#This Row],[final_sale_price]]*Table5[[#This Row],[quantity_sold ]],0)</f>
        <v>101811.255</v>
      </c>
      <c r="O323" s="11">
        <f>(Table5[[#This Row],[final_sale_price]]-Table5[[#This Row],[cost_price]])*Table5[[#This Row],[quantity_sold ]]</f>
        <v>34682.955000000016</v>
      </c>
      <c r="P323" s="11">
        <f>(Table5[final_sale_price]-Table5[[#This Row],[avg_comp_price]])</f>
        <v>5977.8410000000003</v>
      </c>
      <c r="Q323" s="15">
        <f>(Table5[[#This Row],[final_sale_price]]-Table5[[#This Row],[avg_comp_price]])/Table5[[#This Row],[avg_comp_price]]</f>
        <v>7.3839157781357168</v>
      </c>
      <c r="R323" s="11">
        <f>Table5[[#This Row],[Profit]]/Table5[[#This Row],[Revenue]]</f>
        <v>0.34065934065934078</v>
      </c>
    </row>
    <row r="324" spans="1:18" x14ac:dyDescent="0.2">
      <c r="A324" s="4">
        <v>323</v>
      </c>
      <c r="B324" s="4">
        <v>93</v>
      </c>
      <c r="C324" s="6">
        <v>45996</v>
      </c>
      <c r="D324" s="4">
        <v>40</v>
      </c>
      <c r="E324" s="4">
        <v>7</v>
      </c>
      <c r="F324" s="12">
        <f t="shared" si="5"/>
        <v>7126.1900999999989</v>
      </c>
      <c r="G324" t="str">
        <f>VLOOKUP(B324,product_tbl[],2,FALSE)</f>
        <v>Cookbook 93</v>
      </c>
      <c r="H324" t="str">
        <f>VLOOKUP(B324,product_tbl[],3,FALSE)</f>
        <v>Books</v>
      </c>
      <c r="I324">
        <v>4597.5419999999995</v>
      </c>
      <c r="J324">
        <f>VLOOKUP(B324,product_tbl[],5,FALSE)</f>
        <v>7662.57</v>
      </c>
      <c r="K324">
        <f>VLOOKUP(B324,review_tbl[],3,FALSE)</f>
        <v>3</v>
      </c>
      <c r="L324" s="11">
        <v>8799.8864852020033</v>
      </c>
      <c r="M324" s="11">
        <f>AVERAGEIF(Table1[product_id],Master_tbl!B324:B1325,Table1[competitor_price])</f>
        <v>991.00333333333344</v>
      </c>
      <c r="N324" s="11">
        <f>IFERROR(Table5[[#This Row],[final_sale_price]]*Table5[[#This Row],[quantity_sold ]],0)</f>
        <v>285047.60399999993</v>
      </c>
      <c r="O324" s="11">
        <f>(Table5[[#This Row],[final_sale_price]]-Table5[[#This Row],[cost_price]])*Table5[[#This Row],[quantity_sold ]]</f>
        <v>101145.92399999997</v>
      </c>
      <c r="P324" s="11">
        <f>(Table5[final_sale_price]-Table5[[#This Row],[avg_comp_price]])</f>
        <v>6135.1867666666658</v>
      </c>
      <c r="Q324" s="15">
        <f>(Table5[[#This Row],[final_sale_price]]-Table5[[#This Row],[avg_comp_price]])/Table5[[#This Row],[avg_comp_price]]</f>
        <v>6.1908840871709128</v>
      </c>
      <c r="R324" s="11">
        <f>Table5[[#This Row],[Profit]]/Table5[[#This Row],[Revenue]]</f>
        <v>0.35483870967741932</v>
      </c>
    </row>
    <row r="325" spans="1:18" x14ac:dyDescent="0.2">
      <c r="A325" s="5">
        <v>324</v>
      </c>
      <c r="B325" s="5">
        <v>139</v>
      </c>
      <c r="C325" s="7">
        <v>45478</v>
      </c>
      <c r="D325" s="5">
        <v>36</v>
      </c>
      <c r="E325" s="4">
        <v>9</v>
      </c>
      <c r="F325" s="12">
        <f t="shared" si="5"/>
        <v>2357.8827999999999</v>
      </c>
      <c r="G325" t="str">
        <f>VLOOKUP(B325,product_tbl[],2,FALSE)</f>
        <v>Jacket 139</v>
      </c>
      <c r="H325" t="str">
        <f>VLOOKUP(B325,product_tbl[],3,FALSE)</f>
        <v>Fashion</v>
      </c>
      <c r="I325">
        <v>1554.6479999999999</v>
      </c>
      <c r="J325">
        <f>VLOOKUP(B325,product_tbl[],5,FALSE)</f>
        <v>2591.08</v>
      </c>
      <c r="K325">
        <f>VLOOKUP(B325,review_tbl[],3,FALSE)</f>
        <v>5</v>
      </c>
      <c r="L325" s="11">
        <v>2600.5611569301045</v>
      </c>
      <c r="M325" s="11">
        <f>AVERAGEIF(Table1[product_id],Master_tbl!B325:B1326,Table1[competitor_price])</f>
        <v>2839.1733333333336</v>
      </c>
      <c r="N325" s="11">
        <f>IFERROR(Table5[[#This Row],[final_sale_price]]*Table5[[#This Row],[quantity_sold ]],0)</f>
        <v>84883.780799999993</v>
      </c>
      <c r="O325" s="11">
        <f>(Table5[[#This Row],[final_sale_price]]-Table5[[#This Row],[cost_price]])*Table5[[#This Row],[quantity_sold ]]</f>
        <v>28916.452799999999</v>
      </c>
      <c r="P325" s="11">
        <f>(Table5[final_sale_price]-Table5[[#This Row],[avg_comp_price]])</f>
        <v>-481.29053333333377</v>
      </c>
      <c r="Q325" s="15">
        <f>(Table5[[#This Row],[final_sale_price]]-Table5[[#This Row],[avg_comp_price]])/Table5[[#This Row],[avg_comp_price]]</f>
        <v>-0.16951784087386954</v>
      </c>
      <c r="R325" s="11">
        <f>Table5[[#This Row],[Profit]]/Table5[[#This Row],[Revenue]]</f>
        <v>0.34065934065934067</v>
      </c>
    </row>
    <row r="326" spans="1:18" x14ac:dyDescent="0.2">
      <c r="A326" s="4">
        <v>325</v>
      </c>
      <c r="B326" s="4">
        <v>131</v>
      </c>
      <c r="C326" s="6">
        <v>45955</v>
      </c>
      <c r="D326" s="4">
        <v>50</v>
      </c>
      <c r="E326" s="4">
        <v>7</v>
      </c>
      <c r="F326" s="12">
        <f t="shared" si="5"/>
        <v>5759.0993999999992</v>
      </c>
      <c r="G326" t="str">
        <f>VLOOKUP(B326,product_tbl[],2,FALSE)</f>
        <v>Lipstick 131</v>
      </c>
      <c r="H326" t="str">
        <f>VLOOKUP(B326,product_tbl[],3,FALSE)</f>
        <v>Beauty</v>
      </c>
      <c r="I326">
        <v>3715.5479999999998</v>
      </c>
      <c r="J326">
        <f>VLOOKUP(B326,product_tbl[],5,FALSE)</f>
        <v>6192.58</v>
      </c>
      <c r="K326">
        <f>VLOOKUP(B326,review_tbl[],3,FALSE)</f>
        <v>3</v>
      </c>
      <c r="L326" s="11">
        <v>7553.6105055364524</v>
      </c>
      <c r="M326" s="11">
        <f>AVERAGEIF(Table1[product_id],Master_tbl!B326:B1327,Table1[competitor_price])</f>
        <v>1795.3133333333335</v>
      </c>
      <c r="N326" s="11">
        <f>IFERROR(Table5[[#This Row],[final_sale_price]]*Table5[[#This Row],[quantity_sold ]],0)</f>
        <v>287954.96999999997</v>
      </c>
      <c r="O326" s="11">
        <f>(Table5[[#This Row],[final_sale_price]]-Table5[[#This Row],[cost_price]])*Table5[[#This Row],[quantity_sold ]]</f>
        <v>102177.56999999996</v>
      </c>
      <c r="P326" s="11">
        <f>(Table5[final_sale_price]-Table5[[#This Row],[avg_comp_price]])</f>
        <v>3963.7860666666656</v>
      </c>
      <c r="Q326" s="15">
        <f>(Table5[[#This Row],[final_sale_price]]-Table5[[#This Row],[avg_comp_price]])/Table5[[#This Row],[avg_comp_price]]</f>
        <v>2.2078519627028887</v>
      </c>
      <c r="R326" s="11">
        <f>Table5[[#This Row],[Profit]]/Table5[[#This Row],[Revenue]]</f>
        <v>0.35483870967741926</v>
      </c>
    </row>
    <row r="327" spans="1:18" x14ac:dyDescent="0.2">
      <c r="A327" s="5">
        <v>326</v>
      </c>
      <c r="B327" s="5">
        <v>72</v>
      </c>
      <c r="C327" s="7">
        <v>45967</v>
      </c>
      <c r="D327" s="5">
        <v>21</v>
      </c>
      <c r="E327" s="4">
        <v>9</v>
      </c>
      <c r="F327" s="12">
        <f t="shared" si="5"/>
        <v>5279.2739999999994</v>
      </c>
      <c r="G327" t="str">
        <f>VLOOKUP(B327,product_tbl[],2,FALSE)</f>
        <v>Smartwatch 72</v>
      </c>
      <c r="H327" t="str">
        <f>VLOOKUP(B327,product_tbl[],3,FALSE)</f>
        <v>Electronics</v>
      </c>
      <c r="I327">
        <v>3480.8399999999997</v>
      </c>
      <c r="J327">
        <f>VLOOKUP(B327,product_tbl[],5,FALSE)</f>
        <v>5801.4</v>
      </c>
      <c r="K327">
        <f>VLOOKUP(B327,review_tbl[],3,FALSE)</f>
        <v>3</v>
      </c>
      <c r="L327" s="11">
        <v>7233.2517848262132</v>
      </c>
      <c r="M327" s="11">
        <f>AVERAGEIF(Table1[product_id],Master_tbl!B327:B1328,Table1[competitor_price])</f>
        <v>5210.5919999999996</v>
      </c>
      <c r="N327" s="11">
        <f>IFERROR(Table5[[#This Row],[final_sale_price]]*Table5[[#This Row],[quantity_sold ]],0)</f>
        <v>110864.75399999999</v>
      </c>
      <c r="O327" s="11">
        <f>(Table5[[#This Row],[final_sale_price]]-Table5[[#This Row],[cost_price]])*Table5[[#This Row],[quantity_sold ]]</f>
        <v>37767.113999999994</v>
      </c>
      <c r="P327" s="11">
        <f>(Table5[final_sale_price]-Table5[[#This Row],[avg_comp_price]])</f>
        <v>68.681999999999789</v>
      </c>
      <c r="Q327" s="15">
        <f>(Table5[[#This Row],[final_sale_price]]-Table5[[#This Row],[avg_comp_price]])/Table5[[#This Row],[avg_comp_price]]</f>
        <v>1.3181227776037693E-2</v>
      </c>
      <c r="R327" s="11">
        <f>Table5[[#This Row],[Profit]]/Table5[[#This Row],[Revenue]]</f>
        <v>0.34065934065934067</v>
      </c>
    </row>
    <row r="328" spans="1:18" x14ac:dyDescent="0.2">
      <c r="A328" s="4">
        <v>327</v>
      </c>
      <c r="B328" s="4">
        <v>8</v>
      </c>
      <c r="C328" s="6">
        <v>45298</v>
      </c>
      <c r="D328" s="4">
        <v>36</v>
      </c>
      <c r="E328" s="4">
        <v>9</v>
      </c>
      <c r="F328" s="12">
        <f t="shared" si="5"/>
        <v>5135.9853999999996</v>
      </c>
      <c r="G328" t="str">
        <f>VLOOKUP(B328,product_tbl[],2,FALSE)</f>
        <v>Puzzle Set 8</v>
      </c>
      <c r="H328" t="str">
        <f>VLOOKUP(B328,product_tbl[],3,FALSE)</f>
        <v>Toys</v>
      </c>
      <c r="I328">
        <v>3386.3639999999996</v>
      </c>
      <c r="J328">
        <f>VLOOKUP(B328,product_tbl[],5,FALSE)</f>
        <v>5643.94</v>
      </c>
      <c r="K328">
        <f>VLOOKUP(B328,review_tbl[],3,FALSE)</f>
        <v>2</v>
      </c>
      <c r="L328" s="11">
        <v>6414.1918547767673</v>
      </c>
      <c r="M328" s="11">
        <f>AVERAGEIF(Table1[product_id],Master_tbl!B328:B1329,Table1[competitor_price])</f>
        <v>2853.6650000000004</v>
      </c>
      <c r="N328" s="11">
        <f>IFERROR(Table5[[#This Row],[final_sale_price]]*Table5[[#This Row],[quantity_sold ]],0)</f>
        <v>184895.47439999998</v>
      </c>
      <c r="O328" s="11">
        <f>(Table5[[#This Row],[final_sale_price]]-Table5[[#This Row],[cost_price]])*Table5[[#This Row],[quantity_sold ]]</f>
        <v>62986.3704</v>
      </c>
      <c r="P328" s="11">
        <f>(Table5[final_sale_price]-Table5[[#This Row],[avg_comp_price]])</f>
        <v>2282.3203999999992</v>
      </c>
      <c r="Q328" s="15">
        <f>(Table5[[#This Row],[final_sale_price]]-Table5[[#This Row],[avg_comp_price]])/Table5[[#This Row],[avg_comp_price]]</f>
        <v>0.79978567911790588</v>
      </c>
      <c r="R328" s="11">
        <f>Table5[[#This Row],[Profit]]/Table5[[#This Row],[Revenue]]</f>
        <v>0.34065934065934073</v>
      </c>
    </row>
    <row r="329" spans="1:18" x14ac:dyDescent="0.2">
      <c r="A329" s="5">
        <v>328</v>
      </c>
      <c r="B329" s="5">
        <v>57</v>
      </c>
      <c r="C329" s="7">
        <v>45942</v>
      </c>
      <c r="D329" s="5">
        <v>7</v>
      </c>
      <c r="E329" s="4">
        <v>2</v>
      </c>
      <c r="F329" s="12">
        <f t="shared" si="5"/>
        <v>6675.5150000000003</v>
      </c>
      <c r="G329" t="str">
        <f>VLOOKUP(B329,product_tbl[],2,FALSE)</f>
        <v>Face Wash 57</v>
      </c>
      <c r="H329" t="str">
        <f>VLOOKUP(B329,product_tbl[],3,FALSE)</f>
        <v>Beauty</v>
      </c>
      <c r="I329">
        <v>4087.0499999999997</v>
      </c>
      <c r="J329">
        <f>VLOOKUP(B329,product_tbl[],5,FALSE)</f>
        <v>6811.75</v>
      </c>
      <c r="K329">
        <f>VLOOKUP(B329,review_tbl[],3,FALSE)</f>
        <v>2</v>
      </c>
      <c r="L329" s="11">
        <v>6839.607875738584</v>
      </c>
      <c r="M329" s="11">
        <f>AVERAGEIF(Table1[product_id],Master_tbl!B329:B1330,Table1[competitor_price])</f>
        <v>1836.9825000000001</v>
      </c>
      <c r="N329" s="11">
        <f>IFERROR(Table5[[#This Row],[final_sale_price]]*Table5[[#This Row],[quantity_sold ]],0)</f>
        <v>46728.605000000003</v>
      </c>
      <c r="O329" s="11">
        <f>(Table5[[#This Row],[final_sale_price]]-Table5[[#This Row],[cost_price]])*Table5[[#This Row],[quantity_sold ]]</f>
        <v>18119.255000000005</v>
      </c>
      <c r="P329" s="11">
        <f>(Table5[final_sale_price]-Table5[[#This Row],[avg_comp_price]])</f>
        <v>4838.5325000000003</v>
      </c>
      <c r="Q329" s="15">
        <f>(Table5[[#This Row],[final_sale_price]]-Table5[[#This Row],[avg_comp_price]])/Table5[[#This Row],[avg_comp_price]]</f>
        <v>2.633956774220767</v>
      </c>
      <c r="R329" s="11">
        <f>Table5[[#This Row],[Profit]]/Table5[[#This Row],[Revenue]]</f>
        <v>0.38775510204081642</v>
      </c>
    </row>
    <row r="330" spans="1:18" x14ac:dyDescent="0.2">
      <c r="A330" s="4">
        <v>329</v>
      </c>
      <c r="B330" s="4">
        <v>24</v>
      </c>
      <c r="C330" s="6">
        <v>45203</v>
      </c>
      <c r="D330" s="4">
        <v>24</v>
      </c>
      <c r="E330" s="4">
        <v>6</v>
      </c>
      <c r="F330" s="12">
        <f t="shared" si="5"/>
        <v>3756.7287999999999</v>
      </c>
      <c r="G330" t="str">
        <f>VLOOKUP(B330,product_tbl[],2,FALSE)</f>
        <v>Rice Pack 24</v>
      </c>
      <c r="H330" t="str">
        <f>VLOOKUP(B330,product_tbl[],3,FALSE)</f>
        <v>Grocery</v>
      </c>
      <c r="I330">
        <v>2397.9119999999998</v>
      </c>
      <c r="J330">
        <f>VLOOKUP(B330,product_tbl[],5,FALSE)</f>
        <v>3996.52</v>
      </c>
      <c r="K330">
        <f>VLOOKUP(B330,review_tbl[],3,FALSE)</f>
        <v>4</v>
      </c>
      <c r="L330" s="11">
        <v>4425.2850616195556</v>
      </c>
      <c r="M330" s="11">
        <f>AVERAGEIF(Table1[product_id],Master_tbl!B330:B1331,Table1[competitor_price])</f>
        <v>3028.7733333333331</v>
      </c>
      <c r="N330" s="11">
        <f>IFERROR(Table5[[#This Row],[final_sale_price]]*Table5[[#This Row],[quantity_sold ]],0)</f>
        <v>90161.491199999989</v>
      </c>
      <c r="O330" s="11">
        <f>(Table5[[#This Row],[final_sale_price]]-Table5[[#This Row],[cost_price]])*Table5[[#This Row],[quantity_sold ]]</f>
        <v>32611.603200000001</v>
      </c>
      <c r="P330" s="11">
        <f>(Table5[final_sale_price]-Table5[[#This Row],[avg_comp_price]])</f>
        <v>727.95546666666678</v>
      </c>
      <c r="Q330" s="15">
        <f>(Table5[[#This Row],[final_sale_price]]-Table5[[#This Row],[avg_comp_price]])/Table5[[#This Row],[avg_comp_price]]</f>
        <v>0.24034663097931841</v>
      </c>
      <c r="R330" s="11">
        <f>Table5[[#This Row],[Profit]]/Table5[[#This Row],[Revenue]]</f>
        <v>0.36170212765957455</v>
      </c>
    </row>
    <row r="331" spans="1:18" x14ac:dyDescent="0.2">
      <c r="A331" s="5">
        <v>330</v>
      </c>
      <c r="B331" s="5">
        <v>28</v>
      </c>
      <c r="C331" s="7">
        <v>45155</v>
      </c>
      <c r="D331" s="5">
        <v>31</v>
      </c>
      <c r="E331" s="4">
        <v>3</v>
      </c>
      <c r="F331" s="12">
        <f t="shared" si="5"/>
        <v>5545.1214</v>
      </c>
      <c r="G331" t="str">
        <f>VLOOKUP(B331,product_tbl[],2,FALSE)</f>
        <v>Water Purifier 28</v>
      </c>
      <c r="H331" t="str">
        <f>VLOOKUP(B331,product_tbl[],3,FALSE)</f>
        <v>Home Appliances</v>
      </c>
      <c r="I331">
        <v>3429.9719999999998</v>
      </c>
      <c r="J331">
        <f>VLOOKUP(B331,product_tbl[],5,FALSE)</f>
        <v>5716.62</v>
      </c>
      <c r="K331">
        <f>VLOOKUP(B331,review_tbl[],3,FALSE)</f>
        <v>5</v>
      </c>
      <c r="L331" s="11">
        <v>7357.0103579034239</v>
      </c>
      <c r="M331" s="11">
        <f>AVERAGEIF(Table1[product_id],Master_tbl!B331:B1332,Table1[competitor_price])</f>
        <v>3542.9559999999997</v>
      </c>
      <c r="N331" s="11">
        <f>IFERROR(Table5[[#This Row],[final_sale_price]]*Table5[[#This Row],[quantity_sold ]],0)</f>
        <v>171898.7634</v>
      </c>
      <c r="O331" s="11">
        <f>(Table5[[#This Row],[final_sale_price]]-Table5[[#This Row],[cost_price]])*Table5[[#This Row],[quantity_sold ]]</f>
        <v>65569.631400000013</v>
      </c>
      <c r="P331" s="11">
        <f>(Table5[final_sale_price]-Table5[[#This Row],[avg_comp_price]])</f>
        <v>2002.1654000000003</v>
      </c>
      <c r="Q331" s="15">
        <f>(Table5[[#This Row],[final_sale_price]]-Table5[[#This Row],[avg_comp_price]])/Table5[[#This Row],[avg_comp_price]]</f>
        <v>0.56511156220963521</v>
      </c>
      <c r="R331" s="11">
        <f>Table5[[#This Row],[Profit]]/Table5[[#This Row],[Revenue]]</f>
        <v>0.38144329896907225</v>
      </c>
    </row>
    <row r="332" spans="1:18" x14ac:dyDescent="0.2">
      <c r="A332" s="4">
        <v>331</v>
      </c>
      <c r="B332" s="4">
        <v>5</v>
      </c>
      <c r="C332" s="6">
        <v>45075</v>
      </c>
      <c r="D332" s="4">
        <v>17</v>
      </c>
      <c r="E332" s="4">
        <v>3</v>
      </c>
      <c r="F332" s="12">
        <f t="shared" si="5"/>
        <v>805.34249999999997</v>
      </c>
      <c r="G332" t="str">
        <f>VLOOKUP(B332,product_tbl[],2,FALSE)</f>
        <v>Moisturizer 5</v>
      </c>
      <c r="H332" t="str">
        <f>VLOOKUP(B332,product_tbl[],3,FALSE)</f>
        <v>Beauty</v>
      </c>
      <c r="I332">
        <v>498.15</v>
      </c>
      <c r="J332">
        <f>VLOOKUP(B332,product_tbl[],5,FALSE)</f>
        <v>830.25</v>
      </c>
      <c r="K332">
        <f>VLOOKUP(B332,review_tbl[],3,FALSE)</f>
        <v>5</v>
      </c>
      <c r="L332" s="11">
        <v>971.0096375298159</v>
      </c>
      <c r="M332" s="11">
        <f>AVERAGEIF(Table1[product_id],Master_tbl!B332:B1333,Table1[competitor_price])</f>
        <v>7010.5333333333328</v>
      </c>
      <c r="N332" s="11">
        <f>IFERROR(Table5[[#This Row],[final_sale_price]]*Table5[[#This Row],[quantity_sold ]],0)</f>
        <v>13690.8225</v>
      </c>
      <c r="O332" s="11">
        <f>(Table5[[#This Row],[final_sale_price]]-Table5[[#This Row],[cost_price]])*Table5[[#This Row],[quantity_sold ]]</f>
        <v>5222.2725</v>
      </c>
      <c r="P332" s="11">
        <f>(Table5[final_sale_price]-Table5[[#This Row],[avg_comp_price]])</f>
        <v>-6205.1908333333331</v>
      </c>
      <c r="Q332" s="15">
        <f>(Table5[[#This Row],[final_sale_price]]-Table5[[#This Row],[avg_comp_price]])/Table5[[#This Row],[avg_comp_price]]</f>
        <v>-0.88512393255862609</v>
      </c>
      <c r="R332" s="11">
        <f>Table5[[#This Row],[Profit]]/Table5[[#This Row],[Revenue]]</f>
        <v>0.38144329896907214</v>
      </c>
    </row>
    <row r="333" spans="1:18" x14ac:dyDescent="0.2">
      <c r="A333" s="5">
        <v>332</v>
      </c>
      <c r="B333" s="5">
        <v>28</v>
      </c>
      <c r="C333" s="7">
        <v>45693</v>
      </c>
      <c r="D333" s="5">
        <v>29</v>
      </c>
      <c r="E333" s="4">
        <v>6</v>
      </c>
      <c r="F333" s="12">
        <f t="shared" si="5"/>
        <v>5373.6227999999992</v>
      </c>
      <c r="G333" t="str">
        <f>VLOOKUP(B333,product_tbl[],2,FALSE)</f>
        <v>Water Purifier 28</v>
      </c>
      <c r="H333" t="str">
        <f>VLOOKUP(B333,product_tbl[],3,FALSE)</f>
        <v>Home Appliances</v>
      </c>
      <c r="I333">
        <v>3429.9719999999998</v>
      </c>
      <c r="J333">
        <f>VLOOKUP(B333,product_tbl[],5,FALSE)</f>
        <v>5716.62</v>
      </c>
      <c r="K333">
        <f>VLOOKUP(B333,review_tbl[],3,FALSE)</f>
        <v>5</v>
      </c>
      <c r="L333" s="11">
        <v>5990.8163625598663</v>
      </c>
      <c r="M333" s="11">
        <f>AVERAGEIF(Table1[product_id],Master_tbl!B333:B1334,Table1[competitor_price])</f>
        <v>3542.9559999999997</v>
      </c>
      <c r="N333" s="11">
        <f>IFERROR(Table5[[#This Row],[final_sale_price]]*Table5[[#This Row],[quantity_sold ]],0)</f>
        <v>155835.06119999997</v>
      </c>
      <c r="O333" s="11">
        <f>(Table5[[#This Row],[final_sale_price]]-Table5[[#This Row],[cost_price]])*Table5[[#This Row],[quantity_sold ]]</f>
        <v>56365.873199999987</v>
      </c>
      <c r="P333" s="11">
        <f>(Table5[final_sale_price]-Table5[[#This Row],[avg_comp_price]])</f>
        <v>1830.6667999999995</v>
      </c>
      <c r="Q333" s="15">
        <f>(Table5[[#This Row],[final_sale_price]]-Table5[[#This Row],[avg_comp_price]])/Table5[[#This Row],[avg_comp_price]]</f>
        <v>0.51670604997634739</v>
      </c>
      <c r="R333" s="11">
        <f>Table5[[#This Row],[Profit]]/Table5[[#This Row],[Revenue]]</f>
        <v>0.36170212765957444</v>
      </c>
    </row>
    <row r="334" spans="1:18" x14ac:dyDescent="0.2">
      <c r="A334" s="4">
        <v>333</v>
      </c>
      <c r="B334" s="4">
        <v>80</v>
      </c>
      <c r="C334" s="6">
        <v>44978</v>
      </c>
      <c r="D334" s="4">
        <v>48</v>
      </c>
      <c r="E334" s="4">
        <v>2</v>
      </c>
      <c r="F334" s="12">
        <f t="shared" si="5"/>
        <v>979.08860000000004</v>
      </c>
      <c r="G334" t="str">
        <f>VLOOKUP(B334,product_tbl[],2,FALSE)</f>
        <v>Washing Machine 80</v>
      </c>
      <c r="H334" t="str">
        <f>VLOOKUP(B334,product_tbl[],3,FALSE)</f>
        <v>Home Appliances</v>
      </c>
      <c r="I334">
        <v>599.44200000000001</v>
      </c>
      <c r="J334">
        <f>VLOOKUP(B334,product_tbl[],5,FALSE)</f>
        <v>999.07</v>
      </c>
      <c r="K334">
        <f>VLOOKUP(B334,review_tbl[],3,FALSE)</f>
        <v>5</v>
      </c>
      <c r="L334" s="11">
        <v>1081.9288990621915</v>
      </c>
      <c r="M334" s="11">
        <f>AVERAGEIF(Table1[product_id],Master_tbl!B334:B1335,Table1[competitor_price])</f>
        <v>4319.1966666666667</v>
      </c>
      <c r="N334" s="11">
        <f>IFERROR(Table5[[#This Row],[final_sale_price]]*Table5[[#This Row],[quantity_sold ]],0)</f>
        <v>46996.252800000002</v>
      </c>
      <c r="O334" s="11">
        <f>(Table5[[#This Row],[final_sale_price]]-Table5[[#This Row],[cost_price]])*Table5[[#This Row],[quantity_sold ]]</f>
        <v>18223.036800000002</v>
      </c>
      <c r="P334" s="11">
        <f>(Table5[final_sale_price]-Table5[[#This Row],[avg_comp_price]])</f>
        <v>-3340.1080666666667</v>
      </c>
      <c r="Q334" s="15">
        <f>(Table5[[#This Row],[final_sale_price]]-Table5[[#This Row],[avg_comp_price]])/Table5[[#This Row],[avg_comp_price]]</f>
        <v>-0.77331696712120079</v>
      </c>
      <c r="R334" s="11">
        <f>Table5[[#This Row],[Profit]]/Table5[[#This Row],[Revenue]]</f>
        <v>0.38775510204081637</v>
      </c>
    </row>
    <row r="335" spans="1:18" x14ac:dyDescent="0.2">
      <c r="A335" s="5">
        <v>334</v>
      </c>
      <c r="B335" s="5">
        <v>116</v>
      </c>
      <c r="C335" s="7">
        <v>45522</v>
      </c>
      <c r="D335" s="5">
        <v>22</v>
      </c>
      <c r="E335" s="4">
        <v>7</v>
      </c>
      <c r="F335" s="12">
        <f t="shared" si="5"/>
        <v>2197.7294999999999</v>
      </c>
      <c r="G335" t="str">
        <f>VLOOKUP(B335,product_tbl[],2,FALSE)</f>
        <v>Building Blocks 116</v>
      </c>
      <c r="H335" t="str">
        <f>VLOOKUP(B335,product_tbl[],3,FALSE)</f>
        <v>Toys</v>
      </c>
      <c r="I335">
        <v>1417.89</v>
      </c>
      <c r="J335">
        <f>VLOOKUP(B335,product_tbl[],5,FALSE)</f>
        <v>2363.15</v>
      </c>
      <c r="K335">
        <f>VLOOKUP(B335,review_tbl[],3,FALSE)</f>
        <v>5</v>
      </c>
      <c r="L335" s="11">
        <v>2496.1949238483821</v>
      </c>
      <c r="M335" s="11">
        <f>AVERAGEIF(Table1[product_id],Master_tbl!B335:B1336,Table1[competitor_price])</f>
        <v>4469.4999999999991</v>
      </c>
      <c r="N335" s="11">
        <f>IFERROR(Table5[[#This Row],[final_sale_price]]*Table5[[#This Row],[quantity_sold ]],0)</f>
        <v>48350.048999999999</v>
      </c>
      <c r="O335" s="11">
        <f>(Table5[[#This Row],[final_sale_price]]-Table5[[#This Row],[cost_price]])*Table5[[#This Row],[quantity_sold ]]</f>
        <v>17156.468999999997</v>
      </c>
      <c r="P335" s="11">
        <f>(Table5[final_sale_price]-Table5[[#This Row],[avg_comp_price]])</f>
        <v>-2271.7704999999992</v>
      </c>
      <c r="Q335" s="15">
        <f>(Table5[[#This Row],[final_sale_price]]-Table5[[#This Row],[avg_comp_price]])/Table5[[#This Row],[avg_comp_price]]</f>
        <v>-0.50828291755229882</v>
      </c>
      <c r="R335" s="11">
        <f>Table5[[#This Row],[Profit]]/Table5[[#This Row],[Revenue]]</f>
        <v>0.35483870967741932</v>
      </c>
    </row>
    <row r="336" spans="1:18" x14ac:dyDescent="0.2">
      <c r="A336" s="4">
        <v>335</v>
      </c>
      <c r="B336" s="4">
        <v>117</v>
      </c>
      <c r="C336" s="6">
        <v>45834</v>
      </c>
      <c r="D336" s="4">
        <v>42</v>
      </c>
      <c r="E336" s="4">
        <v>2</v>
      </c>
      <c r="F336" s="12">
        <f t="shared" si="5"/>
        <v>2084.6363999999999</v>
      </c>
      <c r="G336" t="str">
        <f>VLOOKUP(B336,product_tbl[],2,FALSE)</f>
        <v>Refrigerator 117</v>
      </c>
      <c r="H336" t="str">
        <f>VLOOKUP(B336,product_tbl[],3,FALSE)</f>
        <v>Home Appliances</v>
      </c>
      <c r="I336">
        <v>1276.3079999999998</v>
      </c>
      <c r="J336">
        <f>VLOOKUP(B336,product_tbl[],5,FALSE)</f>
        <v>2127.1799999999998</v>
      </c>
      <c r="K336">
        <f>VLOOKUP(B336,review_tbl[],3,FALSE)</f>
        <v>1</v>
      </c>
      <c r="L336" s="11">
        <v>2143.827006602321</v>
      </c>
      <c r="M336" s="11">
        <f>AVERAGEIF(Table1[product_id],Master_tbl!B336:B1337,Table1[competitor_price])</f>
        <v>892.9766666666668</v>
      </c>
      <c r="N336" s="11">
        <f>IFERROR(Table5[[#This Row],[final_sale_price]]*Table5[[#This Row],[quantity_sold ]],0)</f>
        <v>87554.728799999997</v>
      </c>
      <c r="O336" s="11">
        <f>(Table5[[#This Row],[final_sale_price]]-Table5[[#This Row],[cost_price]])*Table5[[#This Row],[quantity_sold ]]</f>
        <v>33949.792800000003</v>
      </c>
      <c r="P336" s="11">
        <f>(Table5[final_sale_price]-Table5[[#This Row],[avg_comp_price]])</f>
        <v>1191.659733333333</v>
      </c>
      <c r="Q336" s="15">
        <f>(Table5[[#This Row],[final_sale_price]]-Table5[[#This Row],[avg_comp_price]])/Table5[[#This Row],[avg_comp_price]]</f>
        <v>1.3344802589093401</v>
      </c>
      <c r="R336" s="11">
        <f>Table5[[#This Row],[Profit]]/Table5[[#This Row],[Revenue]]</f>
        <v>0.38775510204081637</v>
      </c>
    </row>
    <row r="337" spans="1:18" x14ac:dyDescent="0.2">
      <c r="A337" s="5">
        <v>336</v>
      </c>
      <c r="B337" s="5">
        <v>30</v>
      </c>
      <c r="C337" s="7">
        <v>45994</v>
      </c>
      <c r="D337" s="5">
        <v>37</v>
      </c>
      <c r="E337" s="4">
        <v>6</v>
      </c>
      <c r="F337" s="12">
        <f t="shared" si="5"/>
        <v>1925.4395999999999</v>
      </c>
      <c r="G337" t="str">
        <f>VLOOKUP(B337,product_tbl[],2,FALSE)</f>
        <v>Doll 30</v>
      </c>
      <c r="H337" t="str">
        <f>VLOOKUP(B337,product_tbl[],3,FALSE)</f>
        <v>Toys</v>
      </c>
      <c r="I337">
        <v>1229.0040000000001</v>
      </c>
      <c r="J337">
        <f>VLOOKUP(B337,product_tbl[],5,FALSE)</f>
        <v>2048.34</v>
      </c>
      <c r="K337">
        <f>VLOOKUP(B337,review_tbl[],3,FALSE)</f>
        <v>1</v>
      </c>
      <c r="L337" s="11">
        <v>2148.177865295123</v>
      </c>
      <c r="M337" s="11">
        <f>AVERAGEIF(Table1[product_id],Master_tbl!B337:B1338,Table1[competitor_price])</f>
        <v>4153.6075000000001</v>
      </c>
      <c r="N337" s="11">
        <f>IFERROR(Table5[[#This Row],[final_sale_price]]*Table5[[#This Row],[quantity_sold ]],0)</f>
        <v>71241.265199999994</v>
      </c>
      <c r="O337" s="11">
        <f>(Table5[[#This Row],[final_sale_price]]-Table5[[#This Row],[cost_price]])*Table5[[#This Row],[quantity_sold ]]</f>
        <v>25768.117199999993</v>
      </c>
      <c r="P337" s="11">
        <f>(Table5[final_sale_price]-Table5[[#This Row],[avg_comp_price]])</f>
        <v>-2228.1679000000004</v>
      </c>
      <c r="Q337" s="15">
        <f>(Table5[[#This Row],[final_sale_price]]-Table5[[#This Row],[avg_comp_price]])/Table5[[#This Row],[avg_comp_price]]</f>
        <v>-0.53644161129813073</v>
      </c>
      <c r="R337" s="11">
        <f>Table5[[#This Row],[Profit]]/Table5[[#This Row],[Revenue]]</f>
        <v>0.36170212765957438</v>
      </c>
    </row>
    <row r="338" spans="1:18" x14ac:dyDescent="0.2">
      <c r="A338" s="4">
        <v>337</v>
      </c>
      <c r="B338" s="4">
        <v>78</v>
      </c>
      <c r="C338" s="6">
        <v>45108</v>
      </c>
      <c r="D338" s="4">
        <v>35</v>
      </c>
      <c r="E338" s="4">
        <v>3</v>
      </c>
      <c r="F338" s="12">
        <f t="shared" si="5"/>
        <v>839.76779999999997</v>
      </c>
      <c r="G338" t="str">
        <f>VLOOKUP(B338,product_tbl[],2,FALSE)</f>
        <v>Biography 78</v>
      </c>
      <c r="H338" t="str">
        <f>VLOOKUP(B338,product_tbl[],3,FALSE)</f>
        <v>Books</v>
      </c>
      <c r="I338">
        <v>519.44399999999996</v>
      </c>
      <c r="J338">
        <f>VLOOKUP(B338,product_tbl[],5,FALSE)</f>
        <v>865.74</v>
      </c>
      <c r="K338">
        <f>VLOOKUP(B338,review_tbl[],3,FALSE)</f>
        <v>4</v>
      </c>
      <c r="L338" s="11">
        <v>1008.8605428514768</v>
      </c>
      <c r="M338" s="11">
        <f>AVERAGEIF(Table1[product_id],Master_tbl!B338:B1339,Table1[competitor_price])</f>
        <v>398.392</v>
      </c>
      <c r="N338" s="11">
        <f>IFERROR(Table5[[#This Row],[final_sale_price]]*Table5[[#This Row],[quantity_sold ]],0)</f>
        <v>29391.873</v>
      </c>
      <c r="O338" s="11">
        <f>(Table5[[#This Row],[final_sale_price]]-Table5[[#This Row],[cost_price]])*Table5[[#This Row],[quantity_sold ]]</f>
        <v>11211.333000000001</v>
      </c>
      <c r="P338" s="11">
        <f>(Table5[final_sale_price]-Table5[[#This Row],[avg_comp_price]])</f>
        <v>441.37579999999997</v>
      </c>
      <c r="Q338" s="15">
        <f>(Table5[[#This Row],[final_sale_price]]-Table5[[#This Row],[avg_comp_price]])/Table5[[#This Row],[avg_comp_price]]</f>
        <v>1.1078932307877667</v>
      </c>
      <c r="R338" s="11">
        <f>Table5[[#This Row],[Profit]]/Table5[[#This Row],[Revenue]]</f>
        <v>0.3814432989690722</v>
      </c>
    </row>
    <row r="339" spans="1:18" x14ac:dyDescent="0.2">
      <c r="A339" s="5">
        <v>338</v>
      </c>
      <c r="B339" s="5">
        <v>80</v>
      </c>
      <c r="C339" s="7">
        <v>45941</v>
      </c>
      <c r="D339" s="5">
        <v>43</v>
      </c>
      <c r="E339" s="4">
        <v>9</v>
      </c>
      <c r="F339" s="12">
        <f t="shared" si="5"/>
        <v>909.15370000000007</v>
      </c>
      <c r="G339" t="str">
        <f>VLOOKUP(B339,product_tbl[],2,FALSE)</f>
        <v>Washing Machine 80</v>
      </c>
      <c r="H339" t="str">
        <f>VLOOKUP(B339,product_tbl[],3,FALSE)</f>
        <v>Home Appliances</v>
      </c>
      <c r="I339">
        <v>599.44200000000001</v>
      </c>
      <c r="J339">
        <f>VLOOKUP(B339,product_tbl[],5,FALSE)</f>
        <v>999.07</v>
      </c>
      <c r="K339">
        <f>VLOOKUP(B339,review_tbl[],3,FALSE)</f>
        <v>5</v>
      </c>
      <c r="L339" s="11">
        <v>1076.7234481093133</v>
      </c>
      <c r="M339" s="11">
        <f>AVERAGEIF(Table1[product_id],Master_tbl!B339:B1340,Table1[competitor_price])</f>
        <v>4319.1966666666667</v>
      </c>
      <c r="N339" s="11">
        <f>IFERROR(Table5[[#This Row],[final_sale_price]]*Table5[[#This Row],[quantity_sold ]],0)</f>
        <v>39093.609100000001</v>
      </c>
      <c r="O339" s="11">
        <f>(Table5[[#This Row],[final_sale_price]]-Table5[[#This Row],[cost_price]])*Table5[[#This Row],[quantity_sold ]]</f>
        <v>13317.603100000002</v>
      </c>
      <c r="P339" s="11">
        <f>(Table5[final_sale_price]-Table5[[#This Row],[avg_comp_price]])</f>
        <v>-3410.0429666666669</v>
      </c>
      <c r="Q339" s="15">
        <f>(Table5[[#This Row],[final_sale_price]]-Table5[[#This Row],[avg_comp_price]])/Table5[[#This Row],[avg_comp_price]]</f>
        <v>-0.78950861232682934</v>
      </c>
      <c r="R339" s="11">
        <f>Table5[[#This Row],[Profit]]/Table5[[#This Row],[Revenue]]</f>
        <v>0.34065934065934073</v>
      </c>
    </row>
    <row r="340" spans="1:18" x14ac:dyDescent="0.2">
      <c r="A340" s="4">
        <v>339</v>
      </c>
      <c r="B340" s="4">
        <v>5</v>
      </c>
      <c r="C340" s="6">
        <v>45368</v>
      </c>
      <c r="D340" s="4">
        <v>24</v>
      </c>
      <c r="E340" s="4">
        <v>9</v>
      </c>
      <c r="F340" s="12">
        <f t="shared" si="5"/>
        <v>755.52750000000003</v>
      </c>
      <c r="G340" t="str">
        <f>VLOOKUP(B340,product_tbl[],2,FALSE)</f>
        <v>Moisturizer 5</v>
      </c>
      <c r="H340" t="str">
        <f>VLOOKUP(B340,product_tbl[],3,FALSE)</f>
        <v>Beauty</v>
      </c>
      <c r="I340">
        <v>498.15</v>
      </c>
      <c r="J340">
        <f>VLOOKUP(B340,product_tbl[],5,FALSE)</f>
        <v>830.25</v>
      </c>
      <c r="K340">
        <f>VLOOKUP(B340,review_tbl[],3,FALSE)</f>
        <v>5</v>
      </c>
      <c r="L340" s="11">
        <v>894.27135141423344</v>
      </c>
      <c r="M340" s="11">
        <f>AVERAGEIF(Table1[product_id],Master_tbl!B340:B1341,Table1[competitor_price])</f>
        <v>7010.5333333333328</v>
      </c>
      <c r="N340" s="11">
        <f>IFERROR(Table5[[#This Row],[final_sale_price]]*Table5[[#This Row],[quantity_sold ]],0)</f>
        <v>18132.66</v>
      </c>
      <c r="O340" s="11">
        <f>(Table5[[#This Row],[final_sale_price]]-Table5[[#This Row],[cost_price]])*Table5[[#This Row],[quantity_sold ]]</f>
        <v>6177.0600000000013</v>
      </c>
      <c r="P340" s="11">
        <f>(Table5[final_sale_price]-Table5[[#This Row],[avg_comp_price]])</f>
        <v>-6255.0058333333327</v>
      </c>
      <c r="Q340" s="15">
        <f>(Table5[[#This Row],[final_sale_price]]-Table5[[#This Row],[avg_comp_price]])/Table5[[#This Row],[avg_comp_price]]</f>
        <v>-0.89222966868902032</v>
      </c>
      <c r="R340" s="11">
        <f>Table5[[#This Row],[Profit]]/Table5[[#This Row],[Revenue]]</f>
        <v>0.34065934065934073</v>
      </c>
    </row>
    <row r="341" spans="1:18" x14ac:dyDescent="0.2">
      <c r="A341" s="5">
        <v>340</v>
      </c>
      <c r="B341" s="5">
        <v>137</v>
      </c>
      <c r="C341" s="7">
        <v>45935</v>
      </c>
      <c r="D341" s="5">
        <v>41</v>
      </c>
      <c r="E341" s="4">
        <v>7</v>
      </c>
      <c r="F341" s="12">
        <f t="shared" si="5"/>
        <v>333.56310000000002</v>
      </c>
      <c r="G341" t="str">
        <f>VLOOKUP(B341,product_tbl[],2,FALSE)</f>
        <v>Moisturizer 137</v>
      </c>
      <c r="H341" t="str">
        <f>VLOOKUP(B341,product_tbl[],3,FALSE)</f>
        <v>Beauty</v>
      </c>
      <c r="I341">
        <v>215.202</v>
      </c>
      <c r="J341">
        <f>VLOOKUP(B341,product_tbl[],5,FALSE)</f>
        <v>358.67</v>
      </c>
      <c r="K341">
        <f>VLOOKUP(B341,review_tbl[],3,FALSE)</f>
        <v>3</v>
      </c>
      <c r="L341" s="11">
        <v>428.6321273463347</v>
      </c>
      <c r="M341" s="11">
        <f>AVERAGEIF(Table1[product_id],Master_tbl!B341:B1342,Table1[competitor_price])</f>
        <v>4109.2999999999993</v>
      </c>
      <c r="N341" s="11">
        <f>IFERROR(Table5[[#This Row],[final_sale_price]]*Table5[[#This Row],[quantity_sold ]],0)</f>
        <v>13676.087100000001</v>
      </c>
      <c r="O341" s="11">
        <f>(Table5[[#This Row],[final_sale_price]]-Table5[[#This Row],[cost_price]])*Table5[[#This Row],[quantity_sold ]]</f>
        <v>4852.8051000000005</v>
      </c>
      <c r="P341" s="11">
        <f>(Table5[final_sale_price]-Table5[[#This Row],[avg_comp_price]])</f>
        <v>-3775.7368999999994</v>
      </c>
      <c r="Q341" s="15">
        <f>(Table5[[#This Row],[final_sale_price]]-Table5[[#This Row],[avg_comp_price]])/Table5[[#This Row],[avg_comp_price]]</f>
        <v>-0.91882726985131291</v>
      </c>
      <c r="R341" s="11">
        <f>Table5[[#This Row],[Profit]]/Table5[[#This Row],[Revenue]]</f>
        <v>0.35483870967741937</v>
      </c>
    </row>
    <row r="342" spans="1:18" x14ac:dyDescent="0.2">
      <c r="A342" s="4">
        <v>341</v>
      </c>
      <c r="B342" s="4">
        <v>95</v>
      </c>
      <c r="C342" s="6">
        <v>45861</v>
      </c>
      <c r="D342" s="4">
        <v>7</v>
      </c>
      <c r="E342" s="4">
        <v>4</v>
      </c>
      <c r="F342" s="12">
        <f t="shared" si="5"/>
        <v>6689.9232000000002</v>
      </c>
      <c r="G342" t="str">
        <f>VLOOKUP(B342,product_tbl[],2,FALSE)</f>
        <v>Coffee Beans 95</v>
      </c>
      <c r="H342" t="str">
        <f>VLOOKUP(B342,product_tbl[],3,FALSE)</f>
        <v>Grocery</v>
      </c>
      <c r="I342">
        <v>4181.2020000000002</v>
      </c>
      <c r="J342">
        <f>VLOOKUP(B342,product_tbl[],5,FALSE)</f>
        <v>6968.67</v>
      </c>
      <c r="K342">
        <f>VLOOKUP(B342,review_tbl[],3,FALSE)</f>
        <v>2</v>
      </c>
      <c r="L342" s="11">
        <v>8117.3623558526688</v>
      </c>
      <c r="M342" s="11">
        <f>AVERAGEIF(Table1[product_id],Master_tbl!B342:B1343,Table1[competitor_price])</f>
        <v>2797.7239999999997</v>
      </c>
      <c r="N342" s="11">
        <f>IFERROR(Table5[[#This Row],[final_sale_price]]*Table5[[#This Row],[quantity_sold ]],0)</f>
        <v>46829.462400000004</v>
      </c>
      <c r="O342" s="11">
        <f>(Table5[[#This Row],[final_sale_price]]-Table5[[#This Row],[cost_price]])*Table5[[#This Row],[quantity_sold ]]</f>
        <v>17561.0484</v>
      </c>
      <c r="P342" s="11">
        <f>(Table5[final_sale_price]-Table5[[#This Row],[avg_comp_price]])</f>
        <v>3892.1992000000005</v>
      </c>
      <c r="Q342" s="15">
        <f>(Table5[[#This Row],[final_sale_price]]-Table5[[#This Row],[avg_comp_price]])/Table5[[#This Row],[avg_comp_price]]</f>
        <v>1.3912019913329552</v>
      </c>
      <c r="R342" s="11">
        <f>Table5[[#This Row],[Profit]]/Table5[[#This Row],[Revenue]]</f>
        <v>0.37499999999999994</v>
      </c>
    </row>
    <row r="343" spans="1:18" x14ac:dyDescent="0.2">
      <c r="A343" s="5">
        <v>342</v>
      </c>
      <c r="B343" s="5">
        <v>79</v>
      </c>
      <c r="C343" s="7">
        <v>45279</v>
      </c>
      <c r="D343" s="5">
        <v>50</v>
      </c>
      <c r="E343" s="4">
        <v>9</v>
      </c>
      <c r="F343" s="12">
        <f t="shared" si="5"/>
        <v>2009.2162999999998</v>
      </c>
      <c r="G343" t="str">
        <f>VLOOKUP(B343,product_tbl[],2,FALSE)</f>
        <v>Biography 79</v>
      </c>
      <c r="H343" t="str">
        <f>VLOOKUP(B343,product_tbl[],3,FALSE)</f>
        <v>Books</v>
      </c>
      <c r="I343">
        <v>1324.7579999999998</v>
      </c>
      <c r="J343">
        <f>VLOOKUP(B343,product_tbl[],5,FALSE)</f>
        <v>2207.9299999999998</v>
      </c>
      <c r="K343">
        <f>VLOOKUP(B343,review_tbl[],3,FALSE)</f>
        <v>1</v>
      </c>
      <c r="L343" s="11">
        <v>2771.747967635069</v>
      </c>
      <c r="M343" s="11">
        <f>AVERAGEIF(Table1[product_id],Master_tbl!B343:B1344,Table1[competitor_price])</f>
        <v>197.005</v>
      </c>
      <c r="N343" s="11">
        <f>IFERROR(Table5[[#This Row],[final_sale_price]]*Table5[[#This Row],[quantity_sold ]],0)</f>
        <v>100460.81499999999</v>
      </c>
      <c r="O343" s="11">
        <f>(Table5[[#This Row],[final_sale_price]]-Table5[[#This Row],[cost_price]])*Table5[[#This Row],[quantity_sold ]]</f>
        <v>34222.915000000001</v>
      </c>
      <c r="P343" s="11">
        <f>(Table5[final_sale_price]-Table5[[#This Row],[avg_comp_price]])</f>
        <v>1812.2112999999999</v>
      </c>
      <c r="Q343" s="15">
        <f>(Table5[[#This Row],[final_sale_price]]-Table5[[#This Row],[avg_comp_price]])/Table5[[#This Row],[avg_comp_price]]</f>
        <v>9.1988086596786882</v>
      </c>
      <c r="R343" s="11">
        <f>Table5[[#This Row],[Profit]]/Table5[[#This Row],[Revenue]]</f>
        <v>0.34065934065934073</v>
      </c>
    </row>
    <row r="344" spans="1:18" x14ac:dyDescent="0.2">
      <c r="A344" s="4">
        <v>343</v>
      </c>
      <c r="B344" s="4">
        <v>64</v>
      </c>
      <c r="C344" s="6">
        <v>45380</v>
      </c>
      <c r="D344" s="4">
        <v>12</v>
      </c>
      <c r="E344" s="4">
        <v>10</v>
      </c>
      <c r="F344" s="12">
        <f t="shared" si="5"/>
        <v>2880</v>
      </c>
      <c r="G344" t="str">
        <f>VLOOKUP(B344,product_tbl[],2,FALSE)</f>
        <v>Children Story Book 64</v>
      </c>
      <c r="H344" t="str">
        <f>VLOOKUP(B344,product_tbl[],3,FALSE)</f>
        <v>Books</v>
      </c>
      <c r="I344">
        <v>1920</v>
      </c>
      <c r="J344">
        <f>VLOOKUP(B344,product_tbl[],5,FALSE)</f>
        <v>3200</v>
      </c>
      <c r="K344">
        <f>VLOOKUP(B344,review_tbl[],3,FALSE)</f>
        <v>2</v>
      </c>
      <c r="L344" s="11">
        <v>3261.649672002005</v>
      </c>
      <c r="M344" s="11">
        <f>AVERAGEIF(Table1[product_id],Master_tbl!B344:B1345,Table1[competitor_price])</f>
        <v>3782.0099999999998</v>
      </c>
      <c r="N344" s="11">
        <f>IFERROR(Table5[[#This Row],[final_sale_price]]*Table5[[#This Row],[quantity_sold ]],0)</f>
        <v>34560</v>
      </c>
      <c r="O344" s="11">
        <f>(Table5[[#This Row],[final_sale_price]]-Table5[[#This Row],[cost_price]])*Table5[[#This Row],[quantity_sold ]]</f>
        <v>11520</v>
      </c>
      <c r="P344" s="11">
        <f>(Table5[final_sale_price]-Table5[[#This Row],[avg_comp_price]])</f>
        <v>-902.00999999999976</v>
      </c>
      <c r="Q344" s="15">
        <f>(Table5[[#This Row],[final_sale_price]]-Table5[[#This Row],[avg_comp_price]])/Table5[[#This Row],[avg_comp_price]]</f>
        <v>-0.2385001626119444</v>
      </c>
      <c r="R344" s="11">
        <f>Table5[[#This Row],[Profit]]/Table5[[#This Row],[Revenue]]</f>
        <v>0.33333333333333331</v>
      </c>
    </row>
    <row r="345" spans="1:18" x14ac:dyDescent="0.2">
      <c r="A345" s="5">
        <v>344</v>
      </c>
      <c r="B345" s="5">
        <v>90</v>
      </c>
      <c r="C345" s="7">
        <v>45335</v>
      </c>
      <c r="D345" s="5">
        <v>43</v>
      </c>
      <c r="E345" s="4">
        <v>4</v>
      </c>
      <c r="F345" s="12">
        <f t="shared" si="5"/>
        <v>1321.6415999999999</v>
      </c>
      <c r="G345" t="str">
        <f>VLOOKUP(B345,product_tbl[],2,FALSE)</f>
        <v>Washing Machine 90</v>
      </c>
      <c r="H345" t="str">
        <f>VLOOKUP(B345,product_tbl[],3,FALSE)</f>
        <v>Home Appliances</v>
      </c>
      <c r="I345">
        <v>826.02599999999995</v>
      </c>
      <c r="J345">
        <f>VLOOKUP(B345,product_tbl[],5,FALSE)</f>
        <v>1376.71</v>
      </c>
      <c r="K345">
        <f>VLOOKUP(B345,review_tbl[],3,FALSE)</f>
        <v>4</v>
      </c>
      <c r="L345" s="11">
        <v>1386.4380883575873</v>
      </c>
      <c r="M345" s="11">
        <f>AVERAGEIF(Table1[product_id],Master_tbl!B345:B1346,Table1[competitor_price])</f>
        <v>2414.7550000000001</v>
      </c>
      <c r="N345" s="11">
        <f>IFERROR(Table5[[#This Row],[final_sale_price]]*Table5[[#This Row],[quantity_sold ]],0)</f>
        <v>56830.588799999998</v>
      </c>
      <c r="O345" s="11">
        <f>(Table5[[#This Row],[final_sale_price]]-Table5[[#This Row],[cost_price]])*Table5[[#This Row],[quantity_sold ]]</f>
        <v>21311.470799999999</v>
      </c>
      <c r="P345" s="11">
        <f>(Table5[final_sale_price]-Table5[[#This Row],[avg_comp_price]])</f>
        <v>-1093.1134000000002</v>
      </c>
      <c r="Q345" s="15">
        <f>(Table5[[#This Row],[final_sale_price]]-Table5[[#This Row],[avg_comp_price]])/Table5[[#This Row],[avg_comp_price]]</f>
        <v>-0.45268087238663968</v>
      </c>
      <c r="R345" s="11">
        <f>Table5[[#This Row],[Profit]]/Table5[[#This Row],[Revenue]]</f>
        <v>0.375</v>
      </c>
    </row>
    <row r="346" spans="1:18" x14ac:dyDescent="0.2">
      <c r="A346" s="4">
        <v>345</v>
      </c>
      <c r="B346" s="4">
        <v>137</v>
      </c>
      <c r="C346" s="6">
        <v>45356</v>
      </c>
      <c r="D346" s="4">
        <v>36</v>
      </c>
      <c r="E346" s="4">
        <v>10</v>
      </c>
      <c r="F346" s="12">
        <f t="shared" si="5"/>
        <v>322.803</v>
      </c>
      <c r="G346" t="str">
        <f>VLOOKUP(B346,product_tbl[],2,FALSE)</f>
        <v>Moisturizer 137</v>
      </c>
      <c r="H346" t="str">
        <f>VLOOKUP(B346,product_tbl[],3,FALSE)</f>
        <v>Beauty</v>
      </c>
      <c r="I346">
        <v>215.202</v>
      </c>
      <c r="J346">
        <f>VLOOKUP(B346,product_tbl[],5,FALSE)</f>
        <v>358.67</v>
      </c>
      <c r="K346">
        <f>VLOOKUP(B346,review_tbl[],3,FALSE)</f>
        <v>3</v>
      </c>
      <c r="L346" s="11">
        <v>429.29849400856051</v>
      </c>
      <c r="M346" s="11">
        <f>AVERAGEIF(Table1[product_id],Master_tbl!B346:B1347,Table1[competitor_price])</f>
        <v>4109.2999999999993</v>
      </c>
      <c r="N346" s="11">
        <f>IFERROR(Table5[[#This Row],[final_sale_price]]*Table5[[#This Row],[quantity_sold ]],0)</f>
        <v>11620.907999999999</v>
      </c>
      <c r="O346" s="11">
        <f>(Table5[[#This Row],[final_sale_price]]-Table5[[#This Row],[cost_price]])*Table5[[#This Row],[quantity_sold ]]</f>
        <v>3873.636</v>
      </c>
      <c r="P346" s="11">
        <f>(Table5[final_sale_price]-Table5[[#This Row],[avg_comp_price]])</f>
        <v>-3786.4969999999994</v>
      </c>
      <c r="Q346" s="15">
        <f>(Table5[[#This Row],[final_sale_price]]-Table5[[#This Row],[avg_comp_price]])/Table5[[#This Row],[avg_comp_price]]</f>
        <v>-0.92144574501739962</v>
      </c>
      <c r="R346" s="11">
        <f>Table5[[#This Row],[Profit]]/Table5[[#This Row],[Revenue]]</f>
        <v>0.33333333333333337</v>
      </c>
    </row>
    <row r="347" spans="1:18" x14ac:dyDescent="0.2">
      <c r="A347" s="5">
        <v>346</v>
      </c>
      <c r="B347" s="5">
        <v>40</v>
      </c>
      <c r="C347" s="7">
        <v>44992</v>
      </c>
      <c r="D347" s="5">
        <v>4</v>
      </c>
      <c r="E347" s="4">
        <v>7</v>
      </c>
      <c r="F347" s="12">
        <f t="shared" si="5"/>
        <v>457.81109999999995</v>
      </c>
      <c r="G347" t="str">
        <f>VLOOKUP(B347,product_tbl[],2,FALSE)</f>
        <v>Dress 40</v>
      </c>
      <c r="H347" t="str">
        <f>VLOOKUP(B347,product_tbl[],3,FALSE)</f>
        <v>Fashion</v>
      </c>
      <c r="I347">
        <v>295.36199999999997</v>
      </c>
      <c r="J347">
        <f>VLOOKUP(B347,product_tbl[],5,FALSE)</f>
        <v>492.27</v>
      </c>
      <c r="K347">
        <f>VLOOKUP(B347,review_tbl[],3,FALSE)</f>
        <v>1</v>
      </c>
      <c r="L347" s="11">
        <v>579.84094319503777</v>
      </c>
      <c r="M347" s="11">
        <f>AVERAGEIF(Table1[product_id],Master_tbl!B347:B1348,Table1[competitor_price])</f>
        <v>603.70600000000002</v>
      </c>
      <c r="N347" s="11">
        <f>IFERROR(Table5[[#This Row],[final_sale_price]]*Table5[[#This Row],[quantity_sold ]],0)</f>
        <v>1831.2443999999998</v>
      </c>
      <c r="O347" s="11">
        <f>(Table5[[#This Row],[final_sale_price]]-Table5[[#This Row],[cost_price]])*Table5[[#This Row],[quantity_sold ]]</f>
        <v>649.79639999999995</v>
      </c>
      <c r="P347" s="11">
        <f>(Table5[final_sale_price]-Table5[[#This Row],[avg_comp_price]])</f>
        <v>-145.89490000000006</v>
      </c>
      <c r="Q347" s="15">
        <f>(Table5[[#This Row],[final_sale_price]]-Table5[[#This Row],[avg_comp_price]])/Table5[[#This Row],[avg_comp_price]]</f>
        <v>-0.24166547955461776</v>
      </c>
      <c r="R347" s="11">
        <f>Table5[[#This Row],[Profit]]/Table5[[#This Row],[Revenue]]</f>
        <v>0.35483870967741937</v>
      </c>
    </row>
    <row r="348" spans="1:18" x14ac:dyDescent="0.2">
      <c r="A348" s="4">
        <v>347</v>
      </c>
      <c r="B348" s="4">
        <v>74</v>
      </c>
      <c r="C348" s="6">
        <v>45651</v>
      </c>
      <c r="D348" s="4">
        <v>43</v>
      </c>
      <c r="E348" s="4">
        <v>2</v>
      </c>
      <c r="F348" s="12">
        <f t="shared" si="5"/>
        <v>1867.1058</v>
      </c>
      <c r="G348" t="str">
        <f>VLOOKUP(B348,product_tbl[],2,FALSE)</f>
        <v>Sneakers 74</v>
      </c>
      <c r="H348" t="str">
        <f>VLOOKUP(B348,product_tbl[],3,FALSE)</f>
        <v>Fashion</v>
      </c>
      <c r="I348">
        <v>1143.126</v>
      </c>
      <c r="J348">
        <f>VLOOKUP(B348,product_tbl[],5,FALSE)</f>
        <v>1905.21</v>
      </c>
      <c r="K348">
        <f>VLOOKUP(B348,review_tbl[],3,FALSE)</f>
        <v>5</v>
      </c>
      <c r="L348" s="11">
        <v>1941.0265880100014</v>
      </c>
      <c r="M348" s="11">
        <f>AVERAGEIF(Table1[product_id],Master_tbl!B348:B1349,Table1[competitor_price])</f>
        <v>2585.9039999999995</v>
      </c>
      <c r="N348" s="11">
        <f>IFERROR(Table5[[#This Row],[final_sale_price]]*Table5[[#This Row],[quantity_sold ]],0)</f>
        <v>80285.549400000004</v>
      </c>
      <c r="O348" s="11">
        <f>(Table5[[#This Row],[final_sale_price]]-Table5[[#This Row],[cost_price]])*Table5[[#This Row],[quantity_sold ]]</f>
        <v>31131.131400000002</v>
      </c>
      <c r="P348" s="11">
        <f>(Table5[final_sale_price]-Table5[[#This Row],[avg_comp_price]])</f>
        <v>-718.7981999999995</v>
      </c>
      <c r="Q348" s="15">
        <f>(Table5[[#This Row],[final_sale_price]]-Table5[[#This Row],[avg_comp_price]])/Table5[[#This Row],[avg_comp_price]]</f>
        <v>-0.27796785959571568</v>
      </c>
      <c r="R348" s="11">
        <f>Table5[[#This Row],[Profit]]/Table5[[#This Row],[Revenue]]</f>
        <v>0.38775510204081631</v>
      </c>
    </row>
    <row r="349" spans="1:18" x14ac:dyDescent="0.2">
      <c r="A349" s="5">
        <v>348</v>
      </c>
      <c r="B349" s="5">
        <v>98</v>
      </c>
      <c r="C349" s="7">
        <v>45853</v>
      </c>
      <c r="D349" s="5">
        <v>13</v>
      </c>
      <c r="E349" s="4">
        <v>4</v>
      </c>
      <c r="F349" s="12">
        <f t="shared" si="5"/>
        <v>7495.3728000000001</v>
      </c>
      <c r="G349" t="str">
        <f>VLOOKUP(B349,product_tbl[],2,FALSE)</f>
        <v>Puzzle Set 98</v>
      </c>
      <c r="H349" t="str">
        <f>VLOOKUP(B349,product_tbl[],3,FALSE)</f>
        <v>Toys</v>
      </c>
      <c r="I349">
        <v>4684.6080000000002</v>
      </c>
      <c r="J349">
        <f>VLOOKUP(B349,product_tbl[],5,FALSE)</f>
        <v>7807.68</v>
      </c>
      <c r="K349">
        <f>VLOOKUP(B349,review_tbl[],3,FALSE)</f>
        <v>3</v>
      </c>
      <c r="L349" s="11">
        <v>8195.3201144189807</v>
      </c>
      <c r="M349" s="11">
        <f>AVERAGEIF(Table1[product_id],Master_tbl!B349:B1350,Table1[competitor_price])</f>
        <v>6533.69</v>
      </c>
      <c r="N349" s="11">
        <f>IFERROR(Table5[[#This Row],[final_sale_price]]*Table5[[#This Row],[quantity_sold ]],0)</f>
        <v>97439.846399999995</v>
      </c>
      <c r="O349" s="11">
        <f>(Table5[[#This Row],[final_sale_price]]-Table5[[#This Row],[cost_price]])*Table5[[#This Row],[quantity_sold ]]</f>
        <v>36539.9424</v>
      </c>
      <c r="P349" s="11">
        <f>(Table5[final_sale_price]-Table5[[#This Row],[avg_comp_price]])</f>
        <v>961.6828000000005</v>
      </c>
      <c r="Q349" s="15">
        <f>(Table5[[#This Row],[final_sale_price]]-Table5[[#This Row],[avg_comp_price]])/Table5[[#This Row],[avg_comp_price]]</f>
        <v>0.14718831165849627</v>
      </c>
      <c r="R349" s="11">
        <f>Table5[[#This Row],[Profit]]/Table5[[#This Row],[Revenue]]</f>
        <v>0.375</v>
      </c>
    </row>
    <row r="350" spans="1:18" x14ac:dyDescent="0.2">
      <c r="A350" s="4">
        <v>349</v>
      </c>
      <c r="B350" s="4">
        <v>17</v>
      </c>
      <c r="C350" s="6">
        <v>44985</v>
      </c>
      <c r="D350" s="4">
        <v>25</v>
      </c>
      <c r="E350" s="4">
        <v>6</v>
      </c>
      <c r="F350" s="12">
        <f t="shared" si="5"/>
        <v>2800.4198000000001</v>
      </c>
      <c r="G350" t="str">
        <f>VLOOKUP(B350,product_tbl[],2,FALSE)</f>
        <v>Yoga Mat 17</v>
      </c>
      <c r="H350" t="str">
        <f>VLOOKUP(B350,product_tbl[],3,FALSE)</f>
        <v>Sports</v>
      </c>
      <c r="I350">
        <v>1787.502</v>
      </c>
      <c r="J350">
        <f>VLOOKUP(B350,product_tbl[],5,FALSE)</f>
        <v>2979.17</v>
      </c>
      <c r="K350">
        <f>VLOOKUP(B350,review_tbl[],3,FALSE)</f>
        <v>2</v>
      </c>
      <c r="L350" s="11">
        <v>3793.8870895671562</v>
      </c>
      <c r="M350" s="11">
        <f>AVERAGEIF(Table1[product_id],Master_tbl!B350:B1351,Table1[competitor_price])</f>
        <v>1105.6675</v>
      </c>
      <c r="N350" s="11">
        <f>IFERROR(Table5[[#This Row],[final_sale_price]]*Table5[[#This Row],[quantity_sold ]],0)</f>
        <v>70010.49500000001</v>
      </c>
      <c r="O350" s="11">
        <f>(Table5[[#This Row],[final_sale_price]]-Table5[[#This Row],[cost_price]])*Table5[[#This Row],[quantity_sold ]]</f>
        <v>25322.945000000003</v>
      </c>
      <c r="P350" s="11">
        <f>(Table5[final_sale_price]-Table5[[#This Row],[avg_comp_price]])</f>
        <v>1694.7523000000001</v>
      </c>
      <c r="Q350" s="15">
        <f>(Table5[[#This Row],[final_sale_price]]-Table5[[#This Row],[avg_comp_price]])/Table5[[#This Row],[avg_comp_price]]</f>
        <v>1.5327865746257352</v>
      </c>
      <c r="R350" s="11">
        <f>Table5[[#This Row],[Profit]]/Table5[[#This Row],[Revenue]]</f>
        <v>0.36170212765957449</v>
      </c>
    </row>
    <row r="351" spans="1:18" x14ac:dyDescent="0.2">
      <c r="A351" s="5">
        <v>350</v>
      </c>
      <c r="B351" s="5">
        <v>85</v>
      </c>
      <c r="C351" s="7">
        <v>45942</v>
      </c>
      <c r="D351" s="5">
        <v>28</v>
      </c>
      <c r="E351" s="4">
        <v>3</v>
      </c>
      <c r="F351" s="12">
        <f t="shared" si="5"/>
        <v>3640.4391000000001</v>
      </c>
      <c r="G351" t="str">
        <f>VLOOKUP(B351,product_tbl[],2,FALSE)</f>
        <v>Handbag 85</v>
      </c>
      <c r="H351" t="str">
        <f>VLOOKUP(B351,product_tbl[],3,FALSE)</f>
        <v>Fashion</v>
      </c>
      <c r="I351">
        <v>2251.8180000000002</v>
      </c>
      <c r="J351">
        <f>VLOOKUP(B351,product_tbl[],5,FALSE)</f>
        <v>3753.03</v>
      </c>
      <c r="K351">
        <f>VLOOKUP(B351,review_tbl[],3,FALSE)</f>
        <v>1</v>
      </c>
      <c r="L351" s="11">
        <v>4819.2352733139678</v>
      </c>
      <c r="M351" s="11">
        <f>AVERAGEIF(Table1[product_id],Master_tbl!B351:B1352,Table1[competitor_price])</f>
        <v>3340.25</v>
      </c>
      <c r="N351" s="11">
        <f>IFERROR(Table5[[#This Row],[final_sale_price]]*Table5[[#This Row],[quantity_sold ]],0)</f>
        <v>101932.2948</v>
      </c>
      <c r="O351" s="11">
        <f>(Table5[[#This Row],[final_sale_price]]-Table5[[#This Row],[cost_price]])*Table5[[#This Row],[quantity_sold ]]</f>
        <v>38881.390799999994</v>
      </c>
      <c r="P351" s="11">
        <f>(Table5[final_sale_price]-Table5[[#This Row],[avg_comp_price]])</f>
        <v>300.18910000000005</v>
      </c>
      <c r="Q351" s="15">
        <f>(Table5[[#This Row],[final_sale_price]]-Table5[[#This Row],[avg_comp_price]])/Table5[[#This Row],[avg_comp_price]]</f>
        <v>8.987024923284187E-2</v>
      </c>
      <c r="R351" s="11">
        <f>Table5[[#This Row],[Profit]]/Table5[[#This Row],[Revenue]]</f>
        <v>0.38144329896907209</v>
      </c>
    </row>
    <row r="352" spans="1:18" x14ac:dyDescent="0.2">
      <c r="A352" s="4">
        <v>351</v>
      </c>
      <c r="B352" s="4">
        <v>53</v>
      </c>
      <c r="C352" s="6">
        <v>45086</v>
      </c>
      <c r="D352" s="4">
        <v>8</v>
      </c>
      <c r="E352" s="4">
        <v>8</v>
      </c>
      <c r="F352" s="12">
        <f t="shared" si="5"/>
        <v>3187.2572</v>
      </c>
      <c r="G352" t="str">
        <f>VLOOKUP(B352,product_tbl[],2,FALSE)</f>
        <v>Cookbook 53</v>
      </c>
      <c r="H352" t="str">
        <f>VLOOKUP(B352,product_tbl[],3,FALSE)</f>
        <v>Books</v>
      </c>
      <c r="I352">
        <v>2078.6459999999997</v>
      </c>
      <c r="J352">
        <f>VLOOKUP(B352,product_tbl[],5,FALSE)</f>
        <v>3464.41</v>
      </c>
      <c r="K352">
        <f>VLOOKUP(B352,review_tbl[],3,FALSE)</f>
        <v>4</v>
      </c>
      <c r="L352" s="11">
        <v>4181.3864867804177</v>
      </c>
      <c r="M352" s="11">
        <f>AVERAGEIF(Table1[product_id],Master_tbl!B352:B1353,Table1[competitor_price])</f>
        <v>954.33000000000015</v>
      </c>
      <c r="N352" s="11">
        <f>IFERROR(Table5[[#This Row],[final_sale_price]]*Table5[[#This Row],[quantity_sold ]],0)</f>
        <v>25498.0576</v>
      </c>
      <c r="O352" s="11">
        <f>(Table5[[#This Row],[final_sale_price]]-Table5[[#This Row],[cost_price]])*Table5[[#This Row],[quantity_sold ]]</f>
        <v>8868.8896000000022</v>
      </c>
      <c r="P352" s="11">
        <f>(Table5[final_sale_price]-Table5[[#This Row],[avg_comp_price]])</f>
        <v>2232.9272000000001</v>
      </c>
      <c r="Q352" s="15">
        <f>(Table5[[#This Row],[final_sale_price]]-Table5[[#This Row],[avg_comp_price]])/Table5[[#This Row],[avg_comp_price]]</f>
        <v>2.3397851896094641</v>
      </c>
      <c r="R352" s="11">
        <f>Table5[[#This Row],[Profit]]/Table5[[#This Row],[Revenue]]</f>
        <v>0.34782608695652184</v>
      </c>
    </row>
    <row r="353" spans="1:18" x14ac:dyDescent="0.2">
      <c r="A353" s="5">
        <v>352</v>
      </c>
      <c r="B353" s="5">
        <v>93</v>
      </c>
      <c r="C353" s="7">
        <v>45979</v>
      </c>
      <c r="D353" s="5">
        <v>11</v>
      </c>
      <c r="E353" s="4">
        <v>5</v>
      </c>
      <c r="F353" s="12">
        <f t="shared" si="5"/>
        <v>7279.441499999999</v>
      </c>
      <c r="G353" t="str">
        <f>VLOOKUP(B353,product_tbl[],2,FALSE)</f>
        <v>Cookbook 93</v>
      </c>
      <c r="H353" t="str">
        <f>VLOOKUP(B353,product_tbl[],3,FALSE)</f>
        <v>Books</v>
      </c>
      <c r="I353">
        <v>4597.5419999999995</v>
      </c>
      <c r="J353">
        <f>VLOOKUP(B353,product_tbl[],5,FALSE)</f>
        <v>7662.57</v>
      </c>
      <c r="K353">
        <f>VLOOKUP(B353,review_tbl[],3,FALSE)</f>
        <v>3</v>
      </c>
      <c r="L353" s="11">
        <v>8315.411524805746</v>
      </c>
      <c r="M353" s="11">
        <f>AVERAGEIF(Table1[product_id],Master_tbl!B353:B1354,Table1[competitor_price])</f>
        <v>991.00333333333344</v>
      </c>
      <c r="N353" s="11">
        <f>IFERROR(Table5[[#This Row],[final_sale_price]]*Table5[[#This Row],[quantity_sold ]],0)</f>
        <v>80073.856499999994</v>
      </c>
      <c r="O353" s="11">
        <f>(Table5[[#This Row],[final_sale_price]]-Table5[[#This Row],[cost_price]])*Table5[[#This Row],[quantity_sold ]]</f>
        <v>29500.894499999995</v>
      </c>
      <c r="P353" s="11">
        <f>(Table5[final_sale_price]-Table5[[#This Row],[avg_comp_price]])</f>
        <v>6288.4381666666659</v>
      </c>
      <c r="Q353" s="15">
        <f>(Table5[[#This Row],[final_sale_price]]-Table5[[#This Row],[avg_comp_price]])/Table5[[#This Row],[avg_comp_price]]</f>
        <v>6.345526755712223</v>
      </c>
      <c r="R353" s="11">
        <f>Table5[[#This Row],[Profit]]/Table5[[#This Row],[Revenue]]</f>
        <v>0.36842105263157893</v>
      </c>
    </row>
    <row r="354" spans="1:18" x14ac:dyDescent="0.2">
      <c r="A354" s="4">
        <v>353</v>
      </c>
      <c r="B354" s="4">
        <v>110</v>
      </c>
      <c r="C354" s="6">
        <v>45263</v>
      </c>
      <c r="D354" s="4">
        <v>15</v>
      </c>
      <c r="E354" s="4">
        <v>10</v>
      </c>
      <c r="F354" s="12">
        <f t="shared" si="5"/>
        <v>1398.789</v>
      </c>
      <c r="G354" t="str">
        <f>VLOOKUP(B354,product_tbl[],2,FALSE)</f>
        <v>Cookbook 110</v>
      </c>
      <c r="H354" t="str">
        <f>VLOOKUP(B354,product_tbl[],3,FALSE)</f>
        <v>Books</v>
      </c>
      <c r="I354">
        <v>932.52599999999995</v>
      </c>
      <c r="J354">
        <f>VLOOKUP(B354,product_tbl[],5,FALSE)</f>
        <v>1554.21</v>
      </c>
      <c r="K354">
        <f>VLOOKUP(B354,review_tbl[],3,FALSE)</f>
        <v>3</v>
      </c>
      <c r="L354" s="11">
        <v>1655.50935854012</v>
      </c>
      <c r="M354" s="11">
        <f>AVERAGEIF(Table1[product_id],Master_tbl!B354:B1355,Table1[competitor_price])</f>
        <v>764.66499999999996</v>
      </c>
      <c r="N354" s="11">
        <f>IFERROR(Table5[[#This Row],[final_sale_price]]*Table5[[#This Row],[quantity_sold ]],0)</f>
        <v>20981.834999999999</v>
      </c>
      <c r="O354" s="11">
        <f>(Table5[[#This Row],[final_sale_price]]-Table5[[#This Row],[cost_price]])*Table5[[#This Row],[quantity_sold ]]</f>
        <v>6993.9450000000006</v>
      </c>
      <c r="P354" s="11">
        <f>(Table5[final_sale_price]-Table5[[#This Row],[avg_comp_price]])</f>
        <v>634.12400000000002</v>
      </c>
      <c r="Q354" s="15">
        <f>(Table5[[#This Row],[final_sale_price]]-Table5[[#This Row],[avg_comp_price]])/Table5[[#This Row],[avg_comp_price]]</f>
        <v>0.82928341169008657</v>
      </c>
      <c r="R354" s="11">
        <f>Table5[[#This Row],[Profit]]/Table5[[#This Row],[Revenue]]</f>
        <v>0.33333333333333337</v>
      </c>
    </row>
    <row r="355" spans="1:18" x14ac:dyDescent="0.2">
      <c r="A355" s="5">
        <v>354</v>
      </c>
      <c r="B355" s="5">
        <v>34</v>
      </c>
      <c r="C355" s="7">
        <v>45018</v>
      </c>
      <c r="D355" s="5">
        <v>46</v>
      </c>
      <c r="E355" s="4">
        <v>4</v>
      </c>
      <c r="F355" s="12">
        <f t="shared" si="5"/>
        <v>1251.2544</v>
      </c>
      <c r="G355" t="str">
        <f>VLOOKUP(B355,product_tbl[],2,FALSE)</f>
        <v>Doll 34</v>
      </c>
      <c r="H355" t="str">
        <f>VLOOKUP(B355,product_tbl[],3,FALSE)</f>
        <v>Toys</v>
      </c>
      <c r="I355">
        <v>782.03399999999999</v>
      </c>
      <c r="J355">
        <f>VLOOKUP(B355,product_tbl[],5,FALSE)</f>
        <v>1303.3900000000001</v>
      </c>
      <c r="K355">
        <f>VLOOKUP(B355,review_tbl[],3,FALSE)</f>
        <v>2</v>
      </c>
      <c r="L355" s="11">
        <v>1538.3115974362981</v>
      </c>
      <c r="M355" s="11">
        <f>AVERAGEIF(Table1[product_id],Master_tbl!B355:B1356,Table1[competitor_price])</f>
        <v>4145.4440000000004</v>
      </c>
      <c r="N355" s="11">
        <f>IFERROR(Table5[[#This Row],[final_sale_price]]*Table5[[#This Row],[quantity_sold ]],0)</f>
        <v>57557.702400000002</v>
      </c>
      <c r="O355" s="11">
        <f>(Table5[[#This Row],[final_sale_price]]-Table5[[#This Row],[cost_price]])*Table5[[#This Row],[quantity_sold ]]</f>
        <v>21584.138400000003</v>
      </c>
      <c r="P355" s="11">
        <f>(Table5[final_sale_price]-Table5[[#This Row],[avg_comp_price]])</f>
        <v>-2894.1896000000006</v>
      </c>
      <c r="Q355" s="15">
        <f>(Table5[[#This Row],[final_sale_price]]-Table5[[#This Row],[avg_comp_price]])/Table5[[#This Row],[avg_comp_price]]</f>
        <v>-0.698161547954815</v>
      </c>
      <c r="R355" s="11">
        <f>Table5[[#This Row],[Profit]]/Table5[[#This Row],[Revenue]]</f>
        <v>0.37500000000000006</v>
      </c>
    </row>
    <row r="356" spans="1:18" x14ac:dyDescent="0.2">
      <c r="A356" s="4">
        <v>355</v>
      </c>
      <c r="B356" s="4">
        <v>35</v>
      </c>
      <c r="C356" s="6">
        <v>45379</v>
      </c>
      <c r="D356" s="4">
        <v>27</v>
      </c>
      <c r="E356" s="4">
        <v>10</v>
      </c>
      <c r="F356" s="12">
        <f t="shared" si="5"/>
        <v>121.67100000000001</v>
      </c>
      <c r="G356" t="str">
        <f>VLOOKUP(B356,product_tbl[],2,FALSE)</f>
        <v>Sneakers 35</v>
      </c>
      <c r="H356" t="str">
        <f>VLOOKUP(B356,product_tbl[],3,FALSE)</f>
        <v>Fashion</v>
      </c>
      <c r="I356">
        <v>81.11399999999999</v>
      </c>
      <c r="J356">
        <f>VLOOKUP(B356,product_tbl[],5,FALSE)</f>
        <v>135.19</v>
      </c>
      <c r="K356">
        <f>VLOOKUP(B356,review_tbl[],3,FALSE)</f>
        <v>3</v>
      </c>
      <c r="L356" s="11">
        <v>166.18361237346954</v>
      </c>
      <c r="M356" s="11">
        <f>AVERAGEIF(Table1[product_id],Master_tbl!B356:B1357,Table1[competitor_price])</f>
        <v>2089.5899999999997</v>
      </c>
      <c r="N356" s="11">
        <f>IFERROR(Table5[[#This Row],[final_sale_price]]*Table5[[#This Row],[quantity_sold ]],0)</f>
        <v>3285.1170000000002</v>
      </c>
      <c r="O356" s="11">
        <f>(Table5[[#This Row],[final_sale_price]]-Table5[[#This Row],[cost_price]])*Table5[[#This Row],[quantity_sold ]]</f>
        <v>1095.0390000000004</v>
      </c>
      <c r="P356" s="11">
        <f>(Table5[final_sale_price]-Table5[[#This Row],[avg_comp_price]])</f>
        <v>-1967.9189999999996</v>
      </c>
      <c r="Q356" s="15">
        <f>(Table5[[#This Row],[final_sale_price]]-Table5[[#This Row],[avg_comp_price]])/Table5[[#This Row],[avg_comp_price]]</f>
        <v>-0.94177278796318897</v>
      </c>
      <c r="R356" s="11">
        <f>Table5[[#This Row],[Profit]]/Table5[[#This Row],[Revenue]]</f>
        <v>0.33333333333333343</v>
      </c>
    </row>
    <row r="357" spans="1:18" x14ac:dyDescent="0.2">
      <c r="A357" s="5">
        <v>356</v>
      </c>
      <c r="B357" s="5">
        <v>33</v>
      </c>
      <c r="C357" s="7">
        <v>45073</v>
      </c>
      <c r="D357" s="5">
        <v>24</v>
      </c>
      <c r="E357" s="4">
        <v>5</v>
      </c>
      <c r="F357" s="12">
        <f t="shared" si="5"/>
        <v>4800.3404999999993</v>
      </c>
      <c r="G357" t="str">
        <f>VLOOKUP(B357,product_tbl[],2,FALSE)</f>
        <v>Washing Machine 33</v>
      </c>
      <c r="H357" t="str">
        <f>VLOOKUP(B357,product_tbl[],3,FALSE)</f>
        <v>Home Appliances</v>
      </c>
      <c r="I357">
        <v>3031.7939999999999</v>
      </c>
      <c r="J357">
        <f>VLOOKUP(B357,product_tbl[],5,FALSE)</f>
        <v>5052.99</v>
      </c>
      <c r="K357">
        <f>VLOOKUP(B357,review_tbl[],3,FALSE)</f>
        <v>3</v>
      </c>
      <c r="L357" s="11">
        <v>6430.6183363723676</v>
      </c>
      <c r="M357" s="11">
        <f>AVERAGEIF(Table1[product_id],Master_tbl!B357:B1358,Table1[competitor_price])</f>
        <v>2776.7875000000004</v>
      </c>
      <c r="N357" s="11">
        <f>IFERROR(Table5[[#This Row],[final_sale_price]]*Table5[[#This Row],[quantity_sold ]],0)</f>
        <v>115208.17199999999</v>
      </c>
      <c r="O357" s="11">
        <f>(Table5[[#This Row],[final_sale_price]]-Table5[[#This Row],[cost_price]])*Table5[[#This Row],[quantity_sold ]]</f>
        <v>42445.115999999987</v>
      </c>
      <c r="P357" s="11">
        <f>(Table5[final_sale_price]-Table5[[#This Row],[avg_comp_price]])</f>
        <v>2023.552999999999</v>
      </c>
      <c r="Q357" s="15">
        <f>(Table5[[#This Row],[final_sale_price]]-Table5[[#This Row],[avg_comp_price]])/Table5[[#This Row],[avg_comp_price]]</f>
        <v>0.72873887540908289</v>
      </c>
      <c r="R357" s="11">
        <f>Table5[[#This Row],[Profit]]/Table5[[#This Row],[Revenue]]</f>
        <v>0.36842105263157887</v>
      </c>
    </row>
    <row r="358" spans="1:18" x14ac:dyDescent="0.2">
      <c r="A358" s="4">
        <v>357</v>
      </c>
      <c r="B358" s="4">
        <v>3</v>
      </c>
      <c r="C358" s="6">
        <v>45152</v>
      </c>
      <c r="D358" s="4">
        <v>42</v>
      </c>
      <c r="E358" s="4">
        <v>5</v>
      </c>
      <c r="F358" s="12">
        <f t="shared" si="5"/>
        <v>4908.4409999999998</v>
      </c>
      <c r="G358" t="str">
        <f>VLOOKUP(B358,product_tbl[],2,FALSE)</f>
        <v>Biography 3</v>
      </c>
      <c r="H358" t="str">
        <f>VLOOKUP(B358,product_tbl[],3,FALSE)</f>
        <v>Books</v>
      </c>
      <c r="I358">
        <v>3100.0679999999998</v>
      </c>
      <c r="J358">
        <f>VLOOKUP(B358,product_tbl[],5,FALSE)</f>
        <v>5166.78</v>
      </c>
      <c r="K358">
        <f>VLOOKUP(B358,review_tbl[],3,FALSE)</f>
        <v>1</v>
      </c>
      <c r="L358" s="11">
        <v>5972.867137552058</v>
      </c>
      <c r="M358" s="11">
        <f>AVERAGEIF(Table1[product_id],Master_tbl!B358:B1359,Table1[competitor_price])</f>
        <v>7049.42</v>
      </c>
      <c r="N358" s="11">
        <f>IFERROR(Table5[[#This Row],[final_sale_price]]*Table5[[#This Row],[quantity_sold ]],0)</f>
        <v>206154.522</v>
      </c>
      <c r="O358" s="11">
        <f>(Table5[[#This Row],[final_sale_price]]-Table5[[#This Row],[cost_price]])*Table5[[#This Row],[quantity_sold ]]</f>
        <v>75951.665999999997</v>
      </c>
      <c r="P358" s="11">
        <f>(Table5[final_sale_price]-Table5[[#This Row],[avg_comp_price]])</f>
        <v>-2140.9790000000003</v>
      </c>
      <c r="Q358" s="15">
        <f>(Table5[[#This Row],[final_sale_price]]-Table5[[#This Row],[avg_comp_price]])/Table5[[#This Row],[avg_comp_price]]</f>
        <v>-0.30370995060586548</v>
      </c>
      <c r="R358" s="11">
        <f>Table5[[#This Row],[Profit]]/Table5[[#This Row],[Revenue]]</f>
        <v>0.36842105263157893</v>
      </c>
    </row>
    <row r="359" spans="1:18" x14ac:dyDescent="0.2">
      <c r="A359" s="5">
        <v>358</v>
      </c>
      <c r="B359" s="5">
        <v>85</v>
      </c>
      <c r="C359" s="7">
        <v>45192</v>
      </c>
      <c r="D359" s="5">
        <v>5</v>
      </c>
      <c r="E359" s="4">
        <v>7</v>
      </c>
      <c r="F359" s="12">
        <f t="shared" si="5"/>
        <v>3490.3179</v>
      </c>
      <c r="G359" t="str">
        <f>VLOOKUP(B359,product_tbl[],2,FALSE)</f>
        <v>Handbag 85</v>
      </c>
      <c r="H359" t="str">
        <f>VLOOKUP(B359,product_tbl[],3,FALSE)</f>
        <v>Fashion</v>
      </c>
      <c r="I359">
        <v>2251.8180000000002</v>
      </c>
      <c r="J359">
        <f>VLOOKUP(B359,product_tbl[],5,FALSE)</f>
        <v>3753.03</v>
      </c>
      <c r="K359">
        <f>VLOOKUP(B359,review_tbl[],3,FALSE)</f>
        <v>1</v>
      </c>
      <c r="L359" s="11">
        <v>3919.3001926762199</v>
      </c>
      <c r="M359" s="11">
        <f>AVERAGEIF(Table1[product_id],Master_tbl!B359:B1360,Table1[competitor_price])</f>
        <v>3340.25</v>
      </c>
      <c r="N359" s="11">
        <f>IFERROR(Table5[[#This Row],[final_sale_price]]*Table5[[#This Row],[quantity_sold ]],0)</f>
        <v>17451.589500000002</v>
      </c>
      <c r="O359" s="11">
        <f>(Table5[[#This Row],[final_sale_price]]-Table5[[#This Row],[cost_price]])*Table5[[#This Row],[quantity_sold ]]</f>
        <v>6192.499499999999</v>
      </c>
      <c r="P359" s="11">
        <f>(Table5[final_sale_price]-Table5[[#This Row],[avg_comp_price]])</f>
        <v>150.06790000000001</v>
      </c>
      <c r="Q359" s="15">
        <f>(Table5[[#This Row],[final_sale_price]]-Table5[[#This Row],[avg_comp_price]])/Table5[[#This Row],[avg_comp_price]]</f>
        <v>4.4927146171693737E-2</v>
      </c>
      <c r="R359" s="11">
        <f>Table5[[#This Row],[Profit]]/Table5[[#This Row],[Revenue]]</f>
        <v>0.35483870967741926</v>
      </c>
    </row>
    <row r="360" spans="1:18" x14ac:dyDescent="0.2">
      <c r="A360" s="4">
        <v>359</v>
      </c>
      <c r="B360" s="4">
        <v>117</v>
      </c>
      <c r="C360" s="6">
        <v>45530</v>
      </c>
      <c r="D360" s="4">
        <v>25</v>
      </c>
      <c r="E360" s="4">
        <v>8</v>
      </c>
      <c r="F360" s="12">
        <f t="shared" si="5"/>
        <v>1957.0056</v>
      </c>
      <c r="G360" t="str">
        <f>VLOOKUP(B360,product_tbl[],2,FALSE)</f>
        <v>Refrigerator 117</v>
      </c>
      <c r="H360" t="str">
        <f>VLOOKUP(B360,product_tbl[],3,FALSE)</f>
        <v>Home Appliances</v>
      </c>
      <c r="I360">
        <v>1276.3079999999998</v>
      </c>
      <c r="J360">
        <f>VLOOKUP(B360,product_tbl[],5,FALSE)</f>
        <v>2127.1799999999998</v>
      </c>
      <c r="K360">
        <f>VLOOKUP(B360,review_tbl[],3,FALSE)</f>
        <v>1</v>
      </c>
      <c r="L360" s="11">
        <v>2511.5726738131352</v>
      </c>
      <c r="M360" s="11">
        <f>AVERAGEIF(Table1[product_id],Master_tbl!B360:B1361,Table1[competitor_price])</f>
        <v>892.9766666666668</v>
      </c>
      <c r="N360" s="11">
        <f>IFERROR(Table5[[#This Row],[final_sale_price]]*Table5[[#This Row],[quantity_sold ]],0)</f>
        <v>48925.14</v>
      </c>
      <c r="O360" s="11">
        <f>(Table5[[#This Row],[final_sale_price]]-Table5[[#This Row],[cost_price]])*Table5[[#This Row],[quantity_sold ]]</f>
        <v>17017.440000000006</v>
      </c>
      <c r="P360" s="11">
        <f>(Table5[final_sale_price]-Table5[[#This Row],[avg_comp_price]])</f>
        <v>1064.028933333333</v>
      </c>
      <c r="Q360" s="15">
        <f>(Table5[[#This Row],[final_sale_price]]-Table5[[#This Row],[avg_comp_price]])/Table5[[#This Row],[avg_comp_price]]</f>
        <v>1.1915528961189723</v>
      </c>
      <c r="R360" s="11">
        <f>Table5[[#This Row],[Profit]]/Table5[[#This Row],[Revenue]]</f>
        <v>0.34782608695652184</v>
      </c>
    </row>
    <row r="361" spans="1:18" x14ac:dyDescent="0.2">
      <c r="A361" s="5">
        <v>360</v>
      </c>
      <c r="B361" s="5">
        <v>42</v>
      </c>
      <c r="C361" s="7">
        <v>45465</v>
      </c>
      <c r="D361" s="5">
        <v>1</v>
      </c>
      <c r="E361" s="4">
        <v>4</v>
      </c>
      <c r="F361" s="12">
        <f t="shared" si="5"/>
        <v>410.49599999999998</v>
      </c>
      <c r="G361" t="str">
        <f>VLOOKUP(B361,product_tbl[],2,FALSE)</f>
        <v>Action Figure 42</v>
      </c>
      <c r="H361" t="str">
        <f>VLOOKUP(B361,product_tbl[],3,FALSE)</f>
        <v>Toys</v>
      </c>
      <c r="I361">
        <v>256.56</v>
      </c>
      <c r="J361">
        <f>VLOOKUP(B361,product_tbl[],5,FALSE)</f>
        <v>427.6</v>
      </c>
      <c r="K361">
        <f>VLOOKUP(B361,review_tbl[],3,FALSE)</f>
        <v>2</v>
      </c>
      <c r="L361" s="11">
        <v>449.67471765432214</v>
      </c>
      <c r="M361" s="11">
        <f>AVERAGEIF(Table1[product_id],Master_tbl!B361:B1362,Table1[competitor_price])</f>
        <v>513.45666666666671</v>
      </c>
      <c r="N361" s="11">
        <f>IFERROR(Table5[[#This Row],[final_sale_price]]*Table5[[#This Row],[quantity_sold ]],0)</f>
        <v>410.49599999999998</v>
      </c>
      <c r="O361" s="11">
        <f>(Table5[[#This Row],[final_sale_price]]-Table5[[#This Row],[cost_price]])*Table5[[#This Row],[quantity_sold ]]</f>
        <v>153.93599999999998</v>
      </c>
      <c r="P361" s="11">
        <f>(Table5[final_sale_price]-Table5[[#This Row],[avg_comp_price]])</f>
        <v>-102.96066666666673</v>
      </c>
      <c r="Q361" s="15">
        <f>(Table5[[#This Row],[final_sale_price]]-Table5[[#This Row],[avg_comp_price]])/Table5[[#This Row],[avg_comp_price]]</f>
        <v>-0.20052454929659766</v>
      </c>
      <c r="R361" s="11">
        <f>Table5[[#This Row],[Profit]]/Table5[[#This Row],[Revenue]]</f>
        <v>0.37499999999999994</v>
      </c>
    </row>
    <row r="362" spans="1:18" x14ac:dyDescent="0.2">
      <c r="A362" s="4">
        <v>361</v>
      </c>
      <c r="B362" s="4">
        <v>96</v>
      </c>
      <c r="C362" s="6">
        <v>45991</v>
      </c>
      <c r="D362" s="4">
        <v>49</v>
      </c>
      <c r="E362" s="4">
        <v>5</v>
      </c>
      <c r="F362" s="12">
        <f t="shared" si="5"/>
        <v>5115.2179999999989</v>
      </c>
      <c r="G362" t="str">
        <f>VLOOKUP(B362,product_tbl[],2,FALSE)</f>
        <v>Gym Gloves 96</v>
      </c>
      <c r="H362" t="str">
        <f>VLOOKUP(B362,product_tbl[],3,FALSE)</f>
        <v>Sports</v>
      </c>
      <c r="I362">
        <v>3230.6639999999998</v>
      </c>
      <c r="J362">
        <f>VLOOKUP(B362,product_tbl[],5,FALSE)</f>
        <v>5384.44</v>
      </c>
      <c r="K362">
        <f>VLOOKUP(B362,review_tbl[],3,FALSE)</f>
        <v>3</v>
      </c>
      <c r="L362" s="11">
        <v>5701.3045069030813</v>
      </c>
      <c r="M362" s="11">
        <f>AVERAGEIF(Table1[product_id],Master_tbl!B362:B1363,Table1[competitor_price])</f>
        <v>3578.9180000000001</v>
      </c>
      <c r="N362" s="11">
        <f>IFERROR(Table5[[#This Row],[final_sale_price]]*Table5[[#This Row],[quantity_sold ]],0)</f>
        <v>250645.68199999994</v>
      </c>
      <c r="O362" s="11">
        <f>(Table5[[#This Row],[final_sale_price]]-Table5[[#This Row],[cost_price]])*Table5[[#This Row],[quantity_sold ]]</f>
        <v>92343.145999999964</v>
      </c>
      <c r="P362" s="11">
        <f>(Table5[final_sale_price]-Table5[[#This Row],[avg_comp_price]])</f>
        <v>1536.2999999999988</v>
      </c>
      <c r="Q362" s="15">
        <f>(Table5[[#This Row],[final_sale_price]]-Table5[[#This Row],[avg_comp_price]])/Table5[[#This Row],[avg_comp_price]]</f>
        <v>0.42926381660602414</v>
      </c>
      <c r="R362" s="11">
        <f>Table5[[#This Row],[Profit]]/Table5[[#This Row],[Revenue]]</f>
        <v>0.36842105263157887</v>
      </c>
    </row>
    <row r="363" spans="1:18" x14ac:dyDescent="0.2">
      <c r="A363" s="5">
        <v>362</v>
      </c>
      <c r="B363" s="5">
        <v>11</v>
      </c>
      <c r="C363" s="7">
        <v>45970</v>
      </c>
      <c r="D363" s="5">
        <v>31</v>
      </c>
      <c r="E363" s="4">
        <v>2</v>
      </c>
      <c r="F363" s="12">
        <f t="shared" si="5"/>
        <v>3136.1959999999999</v>
      </c>
      <c r="G363" t="str">
        <f>VLOOKUP(B363,product_tbl[],2,FALSE)</f>
        <v>Remote Car 11</v>
      </c>
      <c r="H363" t="str">
        <f>VLOOKUP(B363,product_tbl[],3,FALSE)</f>
        <v>Toys</v>
      </c>
      <c r="I363">
        <v>1920.12</v>
      </c>
      <c r="J363">
        <f>VLOOKUP(B363,product_tbl[],5,FALSE)</f>
        <v>3200.2</v>
      </c>
      <c r="K363">
        <f>VLOOKUP(B363,review_tbl[],3,FALSE)</f>
        <v>1</v>
      </c>
      <c r="L363" s="11">
        <v>3978.6518158433187</v>
      </c>
      <c r="M363" s="11">
        <f>AVERAGEIF(Table1[product_id],Master_tbl!B363:B1364,Table1[competitor_price])</f>
        <v>7089.33</v>
      </c>
      <c r="N363" s="11">
        <f>IFERROR(Table5[[#This Row],[final_sale_price]]*Table5[[#This Row],[quantity_sold ]],0)</f>
        <v>97222.076000000001</v>
      </c>
      <c r="O363" s="11">
        <f>(Table5[[#This Row],[final_sale_price]]-Table5[[#This Row],[cost_price]])*Table5[[#This Row],[quantity_sold ]]</f>
        <v>37698.356</v>
      </c>
      <c r="P363" s="11">
        <f>(Table5[final_sale_price]-Table5[[#This Row],[avg_comp_price]])</f>
        <v>-3953.134</v>
      </c>
      <c r="Q363" s="15">
        <f>(Table5[[#This Row],[final_sale_price]]-Table5[[#This Row],[avg_comp_price]])/Table5[[#This Row],[avg_comp_price]]</f>
        <v>-0.55761743352333715</v>
      </c>
      <c r="R363" s="11">
        <f>Table5[[#This Row],[Profit]]/Table5[[#This Row],[Revenue]]</f>
        <v>0.38775510204081631</v>
      </c>
    </row>
    <row r="364" spans="1:18" x14ac:dyDescent="0.2">
      <c r="A364" s="4">
        <v>363</v>
      </c>
      <c r="B364" s="4">
        <v>1</v>
      </c>
      <c r="C364" s="6">
        <v>45432</v>
      </c>
      <c r="D364" s="4">
        <v>6</v>
      </c>
      <c r="E364" s="4">
        <v>4</v>
      </c>
      <c r="F364" s="12">
        <f t="shared" si="5"/>
        <v>1834.5119999999999</v>
      </c>
      <c r="G364" t="str">
        <f>VLOOKUP(B364,product_tbl[],2,FALSE)</f>
        <v>Wheat Flour 1</v>
      </c>
      <c r="H364" t="str">
        <f>VLOOKUP(B364,product_tbl[],3,FALSE)</f>
        <v>Grocery</v>
      </c>
      <c r="I364">
        <v>1146.57</v>
      </c>
      <c r="J364">
        <f>VLOOKUP(B364,product_tbl[],5,FALSE)</f>
        <v>1910.95</v>
      </c>
      <c r="K364">
        <f>VLOOKUP(B364,review_tbl[],3,FALSE)</f>
        <v>1</v>
      </c>
      <c r="L364" s="11">
        <v>2269.4953315923922</v>
      </c>
      <c r="M364" s="11">
        <f>AVERAGEIF(Table1[product_id],Master_tbl!B364:B1365,Table1[competitor_price])</f>
        <v>4785.0083333333332</v>
      </c>
      <c r="N364" s="11">
        <f>IFERROR(Table5[[#This Row],[final_sale_price]]*Table5[[#This Row],[quantity_sold ]],0)</f>
        <v>11007.072</v>
      </c>
      <c r="O364" s="11">
        <f>(Table5[[#This Row],[final_sale_price]]-Table5[[#This Row],[cost_price]])*Table5[[#This Row],[quantity_sold ]]</f>
        <v>4127.652</v>
      </c>
      <c r="P364" s="11">
        <f>(Table5[final_sale_price]-Table5[[#This Row],[avg_comp_price]])</f>
        <v>-2950.4963333333335</v>
      </c>
      <c r="Q364" s="15">
        <f>(Table5[[#This Row],[final_sale_price]]-Table5[[#This Row],[avg_comp_price]])/Table5[[#This Row],[avg_comp_price]]</f>
        <v>-0.61661257991539553</v>
      </c>
      <c r="R364" s="11">
        <f>Table5[[#This Row],[Profit]]/Table5[[#This Row],[Revenue]]</f>
        <v>0.375</v>
      </c>
    </row>
    <row r="365" spans="1:18" x14ac:dyDescent="0.2">
      <c r="A365" s="5">
        <v>364</v>
      </c>
      <c r="B365" s="5">
        <v>133</v>
      </c>
      <c r="C365" s="7">
        <v>45567</v>
      </c>
      <c r="D365" s="5">
        <v>6</v>
      </c>
      <c r="E365" s="4">
        <v>10</v>
      </c>
      <c r="F365" s="12">
        <f t="shared" si="5"/>
        <v>5944.41</v>
      </c>
      <c r="G365" t="str">
        <f>VLOOKUP(B365,product_tbl[],2,FALSE)</f>
        <v>Puzzle Set 133</v>
      </c>
      <c r="H365" t="str">
        <f>VLOOKUP(B365,product_tbl[],3,FALSE)</f>
        <v>Toys</v>
      </c>
      <c r="I365">
        <v>3962.9399999999996</v>
      </c>
      <c r="J365">
        <f>VLOOKUP(B365,product_tbl[],5,FALSE)</f>
        <v>6604.9</v>
      </c>
      <c r="K365">
        <f>VLOOKUP(B365,review_tbl[],3,FALSE)</f>
        <v>4</v>
      </c>
      <c r="L365" s="11">
        <v>7490.369950452372</v>
      </c>
      <c r="M365" s="11">
        <f>AVERAGEIF(Table1[product_id],Master_tbl!B365:B1366,Table1[competitor_price])</f>
        <v>4666.1933333333336</v>
      </c>
      <c r="N365" s="11">
        <f>IFERROR(Table5[[#This Row],[final_sale_price]]*Table5[[#This Row],[quantity_sold ]],0)</f>
        <v>35666.46</v>
      </c>
      <c r="O365" s="11">
        <f>(Table5[[#This Row],[final_sale_price]]-Table5[[#This Row],[cost_price]])*Table5[[#This Row],[quantity_sold ]]</f>
        <v>11888.820000000002</v>
      </c>
      <c r="P365" s="11">
        <f>(Table5[final_sale_price]-Table5[[#This Row],[avg_comp_price]])</f>
        <v>1278.2166666666662</v>
      </c>
      <c r="Q365" s="15">
        <f>(Table5[[#This Row],[final_sale_price]]-Table5[[#This Row],[avg_comp_price]])/Table5[[#This Row],[avg_comp_price]]</f>
        <v>0.27393135589466922</v>
      </c>
      <c r="R365" s="11">
        <f>Table5[[#This Row],[Profit]]/Table5[[#This Row],[Revenue]]</f>
        <v>0.33333333333333337</v>
      </c>
    </row>
    <row r="366" spans="1:18" x14ac:dyDescent="0.2">
      <c r="A366" s="4">
        <v>365</v>
      </c>
      <c r="B366" s="4">
        <v>6</v>
      </c>
      <c r="C366" s="6">
        <v>45154</v>
      </c>
      <c r="D366" s="4">
        <v>22</v>
      </c>
      <c r="E366" s="4">
        <v>6</v>
      </c>
      <c r="F366" s="12">
        <f t="shared" si="5"/>
        <v>3877.6692000000003</v>
      </c>
      <c r="G366" t="str">
        <f>VLOOKUP(B366,product_tbl[],2,FALSE)</f>
        <v>Microwave 6</v>
      </c>
      <c r="H366" t="str">
        <f>VLOOKUP(B366,product_tbl[],3,FALSE)</f>
        <v>Home Appliances</v>
      </c>
      <c r="I366">
        <v>2475.1080000000002</v>
      </c>
      <c r="J366">
        <f>VLOOKUP(B366,product_tbl[],5,FALSE)</f>
        <v>4125.18</v>
      </c>
      <c r="K366">
        <f>VLOOKUP(B366,review_tbl[],3,FALSE)</f>
        <v>5</v>
      </c>
      <c r="L366" s="11">
        <v>4380.9896079936325</v>
      </c>
      <c r="M366" s="11">
        <f>AVERAGEIF(Table1[product_id],Master_tbl!B366:B1367,Table1[competitor_price])</f>
        <v>6862.0275000000001</v>
      </c>
      <c r="N366" s="11">
        <f>IFERROR(Table5[[#This Row],[final_sale_price]]*Table5[[#This Row],[quantity_sold ]],0)</f>
        <v>85308.722399999999</v>
      </c>
      <c r="O366" s="11">
        <f>(Table5[[#This Row],[final_sale_price]]-Table5[[#This Row],[cost_price]])*Table5[[#This Row],[quantity_sold ]]</f>
        <v>30856.346400000002</v>
      </c>
      <c r="P366" s="11">
        <f>(Table5[final_sale_price]-Table5[[#This Row],[avg_comp_price]])</f>
        <v>-2984.3582999999999</v>
      </c>
      <c r="Q366" s="15">
        <f>(Table5[[#This Row],[final_sale_price]]-Table5[[#This Row],[avg_comp_price]])/Table5[[#This Row],[avg_comp_price]]</f>
        <v>-0.43490911396085191</v>
      </c>
      <c r="R366" s="11">
        <f>Table5[[#This Row],[Profit]]/Table5[[#This Row],[Revenue]]</f>
        <v>0.36170212765957449</v>
      </c>
    </row>
    <row r="367" spans="1:18" x14ac:dyDescent="0.2">
      <c r="A367" s="5">
        <v>366</v>
      </c>
      <c r="B367" s="5">
        <v>49</v>
      </c>
      <c r="C367" s="7">
        <v>45434</v>
      </c>
      <c r="D367" s="5">
        <v>49</v>
      </c>
      <c r="E367" s="4">
        <v>2</v>
      </c>
      <c r="F367" s="12">
        <f t="shared" si="5"/>
        <v>3299.0131999999999</v>
      </c>
      <c r="G367" t="str">
        <f>VLOOKUP(B367,product_tbl[],2,FALSE)</f>
        <v>Foundation 49</v>
      </c>
      <c r="H367" t="str">
        <f>VLOOKUP(B367,product_tbl[],3,FALSE)</f>
        <v>Beauty</v>
      </c>
      <c r="I367">
        <v>2019.8040000000001</v>
      </c>
      <c r="J367">
        <f>VLOOKUP(B367,product_tbl[],5,FALSE)</f>
        <v>3366.34</v>
      </c>
      <c r="K367">
        <f>VLOOKUP(B367,review_tbl[],3,FALSE)</f>
        <v>4</v>
      </c>
      <c r="L367" s="11">
        <v>3395.1307138386087</v>
      </c>
      <c r="M367" s="11">
        <f>AVERAGEIF(Table1[product_id],Master_tbl!B367:B1368,Table1[competitor_price])</f>
        <v>1635.5425</v>
      </c>
      <c r="N367" s="11">
        <f>IFERROR(Table5[[#This Row],[final_sale_price]]*Table5[[#This Row],[quantity_sold ]],0)</f>
        <v>161651.64679999999</v>
      </c>
      <c r="O367" s="11">
        <f>(Table5[[#This Row],[final_sale_price]]-Table5[[#This Row],[cost_price]])*Table5[[#This Row],[quantity_sold ]]</f>
        <v>62681.250799999987</v>
      </c>
      <c r="P367" s="11">
        <f>(Table5[final_sale_price]-Table5[[#This Row],[avg_comp_price]])</f>
        <v>1663.4706999999999</v>
      </c>
      <c r="Q367" s="15">
        <f>(Table5[[#This Row],[final_sale_price]]-Table5[[#This Row],[avg_comp_price]])/Table5[[#This Row],[avg_comp_price]]</f>
        <v>1.0170758020656754</v>
      </c>
      <c r="R367" s="11">
        <f>Table5[[#This Row],[Profit]]/Table5[[#This Row],[Revenue]]</f>
        <v>0.38775510204081626</v>
      </c>
    </row>
    <row r="368" spans="1:18" x14ac:dyDescent="0.2">
      <c r="A368" s="4">
        <v>367</v>
      </c>
      <c r="B368" s="4">
        <v>8</v>
      </c>
      <c r="C368" s="6">
        <v>45411</v>
      </c>
      <c r="D368" s="4">
        <v>13</v>
      </c>
      <c r="E368" s="4">
        <v>2</v>
      </c>
      <c r="F368" s="12">
        <f t="shared" si="5"/>
        <v>5531.0611999999992</v>
      </c>
      <c r="G368" t="str">
        <f>VLOOKUP(B368,product_tbl[],2,FALSE)</f>
        <v>Puzzle Set 8</v>
      </c>
      <c r="H368" t="str">
        <f>VLOOKUP(B368,product_tbl[],3,FALSE)</f>
        <v>Toys</v>
      </c>
      <c r="I368">
        <v>3386.3639999999996</v>
      </c>
      <c r="J368">
        <f>VLOOKUP(B368,product_tbl[],5,FALSE)</f>
        <v>5643.94</v>
      </c>
      <c r="K368">
        <f>VLOOKUP(B368,review_tbl[],3,FALSE)</f>
        <v>2</v>
      </c>
      <c r="L368" s="11">
        <v>7068.9304026971458</v>
      </c>
      <c r="M368" s="11">
        <f>AVERAGEIF(Table1[product_id],Master_tbl!B368:B1369,Table1[competitor_price])</f>
        <v>2853.6650000000004</v>
      </c>
      <c r="N368" s="11">
        <f>IFERROR(Table5[[#This Row],[final_sale_price]]*Table5[[#This Row],[quantity_sold ]],0)</f>
        <v>71903.795599999983</v>
      </c>
      <c r="O368" s="11">
        <f>(Table5[[#This Row],[final_sale_price]]-Table5[[#This Row],[cost_price]])*Table5[[#This Row],[quantity_sold ]]</f>
        <v>27881.063599999994</v>
      </c>
      <c r="P368" s="11">
        <f>(Table5[final_sale_price]-Table5[[#This Row],[avg_comp_price]])</f>
        <v>2677.3961999999988</v>
      </c>
      <c r="Q368" s="15">
        <f>(Table5[[#This Row],[final_sale_price]]-Table5[[#This Row],[avg_comp_price]])/Table5[[#This Row],[avg_comp_price]]</f>
        <v>0.9382307313577446</v>
      </c>
      <c r="R368" s="11">
        <f>Table5[[#This Row],[Profit]]/Table5[[#This Row],[Revenue]]</f>
        <v>0.38775510204081631</v>
      </c>
    </row>
    <row r="369" spans="1:18" x14ac:dyDescent="0.2">
      <c r="A369" s="5">
        <v>368</v>
      </c>
      <c r="B369" s="5">
        <v>144</v>
      </c>
      <c r="C369" s="7">
        <v>45316</v>
      </c>
      <c r="D369" s="5">
        <v>24</v>
      </c>
      <c r="E369" s="4">
        <v>10</v>
      </c>
      <c r="F369" s="12">
        <f t="shared" si="5"/>
        <v>1420.3980000000001</v>
      </c>
      <c r="G369" t="str">
        <f>VLOOKUP(B369,product_tbl[],2,FALSE)</f>
        <v>Air Conditioner 144</v>
      </c>
      <c r="H369" t="str">
        <f>VLOOKUP(B369,product_tbl[],3,FALSE)</f>
        <v>Home Appliances</v>
      </c>
      <c r="I369">
        <v>946.93200000000002</v>
      </c>
      <c r="J369">
        <f>VLOOKUP(B369,product_tbl[],5,FALSE)</f>
        <v>1578.22</v>
      </c>
      <c r="K369">
        <f>VLOOKUP(B369,review_tbl[],3,FALSE)</f>
        <v>2</v>
      </c>
      <c r="L369" s="11">
        <v>1912.2883855219245</v>
      </c>
      <c r="M369" s="11">
        <f>AVERAGEIF(Table1[product_id],Master_tbl!B369:B1370,Table1[competitor_price])</f>
        <v>6414.0239999999994</v>
      </c>
      <c r="N369" s="11">
        <f>IFERROR(Table5[[#This Row],[final_sale_price]]*Table5[[#This Row],[quantity_sold ]],0)</f>
        <v>34089.552000000003</v>
      </c>
      <c r="O369" s="11">
        <f>(Table5[[#This Row],[final_sale_price]]-Table5[[#This Row],[cost_price]])*Table5[[#This Row],[quantity_sold ]]</f>
        <v>11363.184000000003</v>
      </c>
      <c r="P369" s="11">
        <f>(Table5[final_sale_price]-Table5[[#This Row],[avg_comp_price]])</f>
        <v>-4993.6259999999993</v>
      </c>
      <c r="Q369" s="15">
        <f>(Table5[[#This Row],[final_sale_price]]-Table5[[#This Row],[avg_comp_price]])/Table5[[#This Row],[avg_comp_price]]</f>
        <v>-0.77854806904370788</v>
      </c>
      <c r="R369" s="11">
        <f>Table5[[#This Row],[Profit]]/Table5[[#This Row],[Revenue]]</f>
        <v>0.33333333333333337</v>
      </c>
    </row>
    <row r="370" spans="1:18" x14ac:dyDescent="0.2">
      <c r="A370" s="4">
        <v>369</v>
      </c>
      <c r="B370" s="4">
        <v>133</v>
      </c>
      <c r="C370" s="6">
        <v>45720</v>
      </c>
      <c r="D370" s="4">
        <v>30</v>
      </c>
      <c r="E370" s="4">
        <v>8</v>
      </c>
      <c r="F370" s="12">
        <f t="shared" si="5"/>
        <v>6076.5079999999998</v>
      </c>
      <c r="G370" t="str">
        <f>VLOOKUP(B370,product_tbl[],2,FALSE)</f>
        <v>Puzzle Set 133</v>
      </c>
      <c r="H370" t="str">
        <f>VLOOKUP(B370,product_tbl[],3,FALSE)</f>
        <v>Toys</v>
      </c>
      <c r="I370">
        <v>3962.9399999999996</v>
      </c>
      <c r="J370">
        <f>VLOOKUP(B370,product_tbl[],5,FALSE)</f>
        <v>6604.9</v>
      </c>
      <c r="K370">
        <f>VLOOKUP(B370,review_tbl[],3,FALSE)</f>
        <v>4</v>
      </c>
      <c r="L370" s="11">
        <v>7417.7808812720659</v>
      </c>
      <c r="M370" s="11">
        <f>AVERAGEIF(Table1[product_id],Master_tbl!B370:B1371,Table1[competitor_price])</f>
        <v>4666.1933333333336</v>
      </c>
      <c r="N370" s="11">
        <f>IFERROR(Table5[[#This Row],[final_sale_price]]*Table5[[#This Row],[quantity_sold ]],0)</f>
        <v>182295.24</v>
      </c>
      <c r="O370" s="11">
        <f>(Table5[[#This Row],[final_sale_price]]-Table5[[#This Row],[cost_price]])*Table5[[#This Row],[quantity_sold ]]</f>
        <v>63407.040000000008</v>
      </c>
      <c r="P370" s="11">
        <f>(Table5[final_sale_price]-Table5[[#This Row],[avg_comp_price]])</f>
        <v>1410.3146666666662</v>
      </c>
      <c r="Q370" s="15">
        <f>(Table5[[#This Row],[final_sale_price]]-Table5[[#This Row],[avg_comp_price]])/Table5[[#This Row],[avg_comp_price]]</f>
        <v>0.30224094158121739</v>
      </c>
      <c r="R370" s="11">
        <f>Table5[[#This Row],[Profit]]/Table5[[#This Row],[Revenue]]</f>
        <v>0.34782608695652178</v>
      </c>
    </row>
    <row r="371" spans="1:18" x14ac:dyDescent="0.2">
      <c r="A371" s="5">
        <v>370</v>
      </c>
      <c r="B371" s="5">
        <v>104</v>
      </c>
      <c r="C371" s="7">
        <v>45311</v>
      </c>
      <c r="D371" s="5">
        <v>5</v>
      </c>
      <c r="E371" s="4">
        <v>8</v>
      </c>
      <c r="F371" s="12">
        <f t="shared" si="5"/>
        <v>2974.8660000000004</v>
      </c>
      <c r="G371" t="str">
        <f>VLOOKUP(B371,product_tbl[],2,FALSE)</f>
        <v>Children Story Book 104</v>
      </c>
      <c r="H371" t="str">
        <f>VLOOKUP(B371,product_tbl[],3,FALSE)</f>
        <v>Books</v>
      </c>
      <c r="I371">
        <v>1940.13</v>
      </c>
      <c r="J371">
        <f>VLOOKUP(B371,product_tbl[],5,FALSE)</f>
        <v>3233.55</v>
      </c>
      <c r="K371">
        <f>VLOOKUP(B371,review_tbl[],3,FALSE)</f>
        <v>1</v>
      </c>
      <c r="L371" s="11">
        <v>3425.6290793271987</v>
      </c>
      <c r="M371" s="11">
        <f>AVERAGEIF(Table1[product_id],Master_tbl!B371:B1372,Table1[competitor_price])</f>
        <v>5121.3466666666664</v>
      </c>
      <c r="N371" s="11">
        <f>IFERROR(Table5[[#This Row],[final_sale_price]]*Table5[[#This Row],[quantity_sold ]],0)</f>
        <v>14874.330000000002</v>
      </c>
      <c r="O371" s="11">
        <f>(Table5[[#This Row],[final_sale_price]]-Table5[[#This Row],[cost_price]])*Table5[[#This Row],[quantity_sold ]]</f>
        <v>5173.6800000000021</v>
      </c>
      <c r="P371" s="11">
        <f>(Table5[final_sale_price]-Table5[[#This Row],[avg_comp_price]])</f>
        <v>-2146.4806666666659</v>
      </c>
      <c r="Q371" s="15">
        <f>(Table5[[#This Row],[final_sale_price]]-Table5[[#This Row],[avg_comp_price]])/Table5[[#This Row],[avg_comp_price]]</f>
        <v>-0.41912426679441073</v>
      </c>
      <c r="R371" s="11">
        <f>Table5[[#This Row],[Profit]]/Table5[[#This Row],[Revenue]]</f>
        <v>0.34782608695652184</v>
      </c>
    </row>
    <row r="372" spans="1:18" x14ac:dyDescent="0.2">
      <c r="A372" s="4">
        <v>371</v>
      </c>
      <c r="B372" s="4">
        <v>108</v>
      </c>
      <c r="C372" s="6">
        <v>45110</v>
      </c>
      <c r="D372" s="4">
        <v>38</v>
      </c>
      <c r="E372" s="4">
        <v>7</v>
      </c>
      <c r="F372" s="12">
        <f t="shared" si="5"/>
        <v>781.70219999999995</v>
      </c>
      <c r="G372" t="str">
        <f>VLOOKUP(B372,product_tbl[],2,FALSE)</f>
        <v>Lipstick 108</v>
      </c>
      <c r="H372" t="str">
        <f>VLOOKUP(B372,product_tbl[],3,FALSE)</f>
        <v>Beauty</v>
      </c>
      <c r="I372">
        <v>504.32399999999996</v>
      </c>
      <c r="J372">
        <f>VLOOKUP(B372,product_tbl[],5,FALSE)</f>
        <v>840.54</v>
      </c>
      <c r="K372">
        <f>VLOOKUP(B372,review_tbl[],3,FALSE)</f>
        <v>3</v>
      </c>
      <c r="L372" s="11">
        <v>912.83247978662246</v>
      </c>
      <c r="M372" s="11">
        <f>AVERAGEIF(Table1[product_id],Master_tbl!B372:B1373,Table1[competitor_price])</f>
        <v>5163.7120000000004</v>
      </c>
      <c r="N372" s="11">
        <f>IFERROR(Table5[[#This Row],[final_sale_price]]*Table5[[#This Row],[quantity_sold ]],0)</f>
        <v>29704.683599999997</v>
      </c>
      <c r="O372" s="11">
        <f>(Table5[[#This Row],[final_sale_price]]-Table5[[#This Row],[cost_price]])*Table5[[#This Row],[quantity_sold ]]</f>
        <v>10540.3716</v>
      </c>
      <c r="P372" s="11">
        <f>(Table5[final_sale_price]-Table5[[#This Row],[avg_comp_price]])</f>
        <v>-4382.0098000000007</v>
      </c>
      <c r="Q372" s="15">
        <f>(Table5[[#This Row],[final_sale_price]]-Table5[[#This Row],[avg_comp_price]])/Table5[[#This Row],[avg_comp_price]]</f>
        <v>-0.84861622801581504</v>
      </c>
      <c r="R372" s="11">
        <f>Table5[[#This Row],[Profit]]/Table5[[#This Row],[Revenue]]</f>
        <v>0.35483870967741943</v>
      </c>
    </row>
    <row r="373" spans="1:18" x14ac:dyDescent="0.2">
      <c r="A373" s="5">
        <v>372</v>
      </c>
      <c r="B373" s="5">
        <v>133</v>
      </c>
      <c r="C373" s="7">
        <v>45445</v>
      </c>
      <c r="D373" s="5">
        <v>14</v>
      </c>
      <c r="E373" s="4">
        <v>10</v>
      </c>
      <c r="F373" s="12">
        <f t="shared" si="5"/>
        <v>5944.41</v>
      </c>
      <c r="G373" t="str">
        <f>VLOOKUP(B373,product_tbl[],2,FALSE)</f>
        <v>Puzzle Set 133</v>
      </c>
      <c r="H373" t="str">
        <f>VLOOKUP(B373,product_tbl[],3,FALSE)</f>
        <v>Toys</v>
      </c>
      <c r="I373">
        <v>3962.9399999999996</v>
      </c>
      <c r="J373">
        <f>VLOOKUP(B373,product_tbl[],5,FALSE)</f>
        <v>6604.9</v>
      </c>
      <c r="K373">
        <f>VLOOKUP(B373,review_tbl[],3,FALSE)</f>
        <v>4</v>
      </c>
      <c r="L373" s="11">
        <v>6809.7276159075764</v>
      </c>
      <c r="M373" s="11">
        <f>AVERAGEIF(Table1[product_id],Master_tbl!B373:B1374,Table1[competitor_price])</f>
        <v>4666.1933333333336</v>
      </c>
      <c r="N373" s="11">
        <f>IFERROR(Table5[[#This Row],[final_sale_price]]*Table5[[#This Row],[quantity_sold ]],0)</f>
        <v>83221.739999999991</v>
      </c>
      <c r="O373" s="11">
        <f>(Table5[[#This Row],[final_sale_price]]-Table5[[#This Row],[cost_price]])*Table5[[#This Row],[quantity_sold ]]</f>
        <v>27740.58</v>
      </c>
      <c r="P373" s="11">
        <f>(Table5[final_sale_price]-Table5[[#This Row],[avg_comp_price]])</f>
        <v>1278.2166666666662</v>
      </c>
      <c r="Q373" s="15">
        <f>(Table5[[#This Row],[final_sale_price]]-Table5[[#This Row],[avg_comp_price]])/Table5[[#This Row],[avg_comp_price]]</f>
        <v>0.27393135589466922</v>
      </c>
      <c r="R373" s="11">
        <f>Table5[[#This Row],[Profit]]/Table5[[#This Row],[Revenue]]</f>
        <v>0.33333333333333337</v>
      </c>
    </row>
    <row r="374" spans="1:18" x14ac:dyDescent="0.2">
      <c r="A374" s="4">
        <v>373</v>
      </c>
      <c r="B374" s="4">
        <v>77</v>
      </c>
      <c r="C374" s="6">
        <v>45150</v>
      </c>
      <c r="D374" s="4">
        <v>23</v>
      </c>
      <c r="E374" s="4">
        <v>10</v>
      </c>
      <c r="F374" s="12">
        <f t="shared" si="5"/>
        <v>1805.3820000000001</v>
      </c>
      <c r="G374" t="str">
        <f>VLOOKUP(B374,product_tbl[],2,FALSE)</f>
        <v>Coffee Beans 77</v>
      </c>
      <c r="H374" t="str">
        <f>VLOOKUP(B374,product_tbl[],3,FALSE)</f>
        <v>Grocery</v>
      </c>
      <c r="I374">
        <v>1203.588</v>
      </c>
      <c r="J374">
        <f>VLOOKUP(B374,product_tbl[],5,FALSE)</f>
        <v>2005.98</v>
      </c>
      <c r="K374">
        <f>VLOOKUP(B374,review_tbl[],3,FALSE)</f>
        <v>1</v>
      </c>
      <c r="L374" s="11">
        <v>2565.150328646338</v>
      </c>
      <c r="M374" s="11">
        <f>AVERAGEIF(Table1[product_id],Master_tbl!B374:B1375,Table1[competitor_price])</f>
        <v>4139.2699999999995</v>
      </c>
      <c r="N374" s="11">
        <f>IFERROR(Table5[[#This Row],[final_sale_price]]*Table5[[#This Row],[quantity_sold ]],0)</f>
        <v>41523.786</v>
      </c>
      <c r="O374" s="11">
        <f>(Table5[[#This Row],[final_sale_price]]-Table5[[#This Row],[cost_price]])*Table5[[#This Row],[quantity_sold ]]</f>
        <v>13841.262000000002</v>
      </c>
      <c r="P374" s="11">
        <f>(Table5[final_sale_price]-Table5[[#This Row],[avg_comp_price]])</f>
        <v>-2333.8879999999995</v>
      </c>
      <c r="Q374" s="15">
        <f>(Table5[[#This Row],[final_sale_price]]-Table5[[#This Row],[avg_comp_price]])/Table5[[#This Row],[avg_comp_price]]</f>
        <v>-0.56384048395006847</v>
      </c>
      <c r="R374" s="11">
        <f>Table5[[#This Row],[Profit]]/Table5[[#This Row],[Revenue]]</f>
        <v>0.33333333333333337</v>
      </c>
    </row>
    <row r="375" spans="1:18" x14ac:dyDescent="0.2">
      <c r="A375" s="5">
        <v>374</v>
      </c>
      <c r="B375" s="5">
        <v>12</v>
      </c>
      <c r="C375" s="7">
        <v>45577</v>
      </c>
      <c r="D375" s="5">
        <v>26</v>
      </c>
      <c r="E375" s="4">
        <v>4</v>
      </c>
      <c r="F375" s="12">
        <f t="shared" si="5"/>
        <v>1550.6399999999999</v>
      </c>
      <c r="G375" t="str">
        <f>VLOOKUP(B375,product_tbl[],2,FALSE)</f>
        <v>Running Shoes 12</v>
      </c>
      <c r="H375" t="str">
        <f>VLOOKUP(B375,product_tbl[],3,FALSE)</f>
        <v>Sports</v>
      </c>
      <c r="I375">
        <v>969.15</v>
      </c>
      <c r="J375">
        <f>VLOOKUP(B375,product_tbl[],5,FALSE)</f>
        <v>1615.25</v>
      </c>
      <c r="K375">
        <f>VLOOKUP(B375,review_tbl[],3,FALSE)</f>
        <v>3</v>
      </c>
      <c r="L375" s="11">
        <v>1918.5444271012379</v>
      </c>
      <c r="M375" s="11">
        <f>AVERAGEIF(Table1[product_id],Master_tbl!B375:B1376,Table1[competitor_price])</f>
        <v>4365.21</v>
      </c>
      <c r="N375" s="11">
        <f>IFERROR(Table5[[#This Row],[final_sale_price]]*Table5[[#This Row],[quantity_sold ]],0)</f>
        <v>40316.639999999999</v>
      </c>
      <c r="O375" s="11">
        <f>(Table5[[#This Row],[final_sale_price]]-Table5[[#This Row],[cost_price]])*Table5[[#This Row],[quantity_sold ]]</f>
        <v>15118.739999999998</v>
      </c>
      <c r="P375" s="11">
        <f>(Table5[final_sale_price]-Table5[[#This Row],[avg_comp_price]])</f>
        <v>-2814.57</v>
      </c>
      <c r="Q375" s="15">
        <f>(Table5[[#This Row],[final_sale_price]]-Table5[[#This Row],[avg_comp_price]])/Table5[[#This Row],[avg_comp_price]]</f>
        <v>-0.64477310369947838</v>
      </c>
      <c r="R375" s="11">
        <f>Table5[[#This Row],[Profit]]/Table5[[#This Row],[Revenue]]</f>
        <v>0.37499999999999994</v>
      </c>
    </row>
    <row r="376" spans="1:18" x14ac:dyDescent="0.2">
      <c r="A376" s="4">
        <v>375</v>
      </c>
      <c r="B376" s="4">
        <v>107</v>
      </c>
      <c r="C376" s="6">
        <v>45501</v>
      </c>
      <c r="D376" s="4">
        <v>4</v>
      </c>
      <c r="E376" s="4">
        <v>3</v>
      </c>
      <c r="F376" s="12">
        <f t="shared" si="5"/>
        <v>1520.8630000000001</v>
      </c>
      <c r="G376" t="str">
        <f>VLOOKUP(B376,product_tbl[],2,FALSE)</f>
        <v>Face Wash 107</v>
      </c>
      <c r="H376" t="str">
        <f>VLOOKUP(B376,product_tbl[],3,FALSE)</f>
        <v>Beauty</v>
      </c>
      <c r="I376">
        <v>940.74</v>
      </c>
      <c r="J376">
        <f>VLOOKUP(B376,product_tbl[],5,FALSE)</f>
        <v>1567.9</v>
      </c>
      <c r="K376">
        <f>VLOOKUP(B376,review_tbl[],3,FALSE)</f>
        <v>2</v>
      </c>
      <c r="L376" s="11">
        <v>2002.6041040428408</v>
      </c>
      <c r="M376" s="11">
        <f>AVERAGEIF(Table1[product_id],Master_tbl!B376:B1377,Table1[competitor_price])</f>
        <v>979.96</v>
      </c>
      <c r="N376" s="11">
        <f>IFERROR(Table5[[#This Row],[final_sale_price]]*Table5[[#This Row],[quantity_sold ]],0)</f>
        <v>6083.4520000000002</v>
      </c>
      <c r="O376" s="11">
        <f>(Table5[[#This Row],[final_sale_price]]-Table5[[#This Row],[cost_price]])*Table5[[#This Row],[quantity_sold ]]</f>
        <v>2320.4920000000002</v>
      </c>
      <c r="P376" s="11">
        <f>(Table5[final_sale_price]-Table5[[#This Row],[avg_comp_price]])</f>
        <v>540.90300000000002</v>
      </c>
      <c r="Q376" s="15">
        <f>(Table5[[#This Row],[final_sale_price]]-Table5[[#This Row],[avg_comp_price]])/Table5[[#This Row],[avg_comp_price]]</f>
        <v>0.55196436589248543</v>
      </c>
      <c r="R376" s="11">
        <f>Table5[[#This Row],[Profit]]/Table5[[#This Row],[Revenue]]</f>
        <v>0.3814432989690722</v>
      </c>
    </row>
    <row r="377" spans="1:18" x14ac:dyDescent="0.2">
      <c r="A377" s="5">
        <v>376</v>
      </c>
      <c r="B377" s="5">
        <v>52</v>
      </c>
      <c r="C377" s="7">
        <v>44981</v>
      </c>
      <c r="D377" s="5">
        <v>26</v>
      </c>
      <c r="E377" s="4">
        <v>4</v>
      </c>
      <c r="F377" s="12">
        <f t="shared" si="5"/>
        <v>4280.8127999999997</v>
      </c>
      <c r="G377" t="str">
        <f>VLOOKUP(B377,product_tbl[],2,FALSE)</f>
        <v>Cookbook 52</v>
      </c>
      <c r="H377" t="str">
        <f>VLOOKUP(B377,product_tbl[],3,FALSE)</f>
        <v>Books</v>
      </c>
      <c r="I377">
        <v>2675.5080000000003</v>
      </c>
      <c r="J377">
        <f>VLOOKUP(B377,product_tbl[],5,FALSE)</f>
        <v>4459.18</v>
      </c>
      <c r="K377">
        <f>VLOOKUP(B377,review_tbl[],3,FALSE)</f>
        <v>3</v>
      </c>
      <c r="L377" s="11">
        <v>5127.0372843539099</v>
      </c>
      <c r="M377" s="11">
        <f>AVERAGEIF(Table1[product_id],Master_tbl!B377:B1378,Table1[competitor_price])</f>
        <v>6258.09</v>
      </c>
      <c r="N377" s="11">
        <f>IFERROR(Table5[[#This Row],[final_sale_price]]*Table5[[#This Row],[quantity_sold ]],0)</f>
        <v>111301.13279999999</v>
      </c>
      <c r="O377" s="11">
        <f>(Table5[[#This Row],[final_sale_price]]-Table5[[#This Row],[cost_price]])*Table5[[#This Row],[quantity_sold ]]</f>
        <v>41737.924799999986</v>
      </c>
      <c r="P377" s="11">
        <f>(Table5[final_sale_price]-Table5[[#This Row],[avg_comp_price]])</f>
        <v>-1977.2772000000004</v>
      </c>
      <c r="Q377" s="15">
        <f>(Table5[[#This Row],[final_sale_price]]-Table5[[#This Row],[avg_comp_price]])/Table5[[#This Row],[avg_comp_price]]</f>
        <v>-0.31595537935696044</v>
      </c>
      <c r="R377" s="11">
        <f>Table5[[#This Row],[Profit]]/Table5[[#This Row],[Revenue]]</f>
        <v>0.37499999999999989</v>
      </c>
    </row>
    <row r="378" spans="1:18" x14ac:dyDescent="0.2">
      <c r="A378" s="4">
        <v>377</v>
      </c>
      <c r="B378" s="4">
        <v>125</v>
      </c>
      <c r="C378" s="6">
        <v>45454</v>
      </c>
      <c r="D378" s="4">
        <v>31</v>
      </c>
      <c r="E378" s="4">
        <v>9</v>
      </c>
      <c r="F378" s="12">
        <f t="shared" si="5"/>
        <v>3959.4737</v>
      </c>
      <c r="G378" t="str">
        <f>VLOOKUP(B378,product_tbl[],2,FALSE)</f>
        <v>Air Conditioner 125</v>
      </c>
      <c r="H378" t="str">
        <f>VLOOKUP(B378,product_tbl[],3,FALSE)</f>
        <v>Home Appliances</v>
      </c>
      <c r="I378">
        <v>2610.6419999999998</v>
      </c>
      <c r="J378">
        <f>VLOOKUP(B378,product_tbl[],5,FALSE)</f>
        <v>4351.07</v>
      </c>
      <c r="K378">
        <f>VLOOKUP(B378,review_tbl[],3,FALSE)</f>
        <v>5</v>
      </c>
      <c r="L378" s="11">
        <v>5400.9601375461598</v>
      </c>
      <c r="M378" s="11">
        <f>AVERAGEIF(Table1[product_id],Master_tbl!B378:B1379,Table1[competitor_price])</f>
        <v>5094.8040000000001</v>
      </c>
      <c r="N378" s="11">
        <f>IFERROR(Table5[[#This Row],[final_sale_price]]*Table5[[#This Row],[quantity_sold ]],0)</f>
        <v>122743.6847</v>
      </c>
      <c r="O378" s="11">
        <f>(Table5[[#This Row],[final_sale_price]]-Table5[[#This Row],[cost_price]])*Table5[[#This Row],[quantity_sold ]]</f>
        <v>41813.782700000003</v>
      </c>
      <c r="P378" s="11">
        <f>(Table5[final_sale_price]-Table5[[#This Row],[avg_comp_price]])</f>
        <v>-1135.3303000000001</v>
      </c>
      <c r="Q378" s="15">
        <f>(Table5[[#This Row],[final_sale_price]]-Table5[[#This Row],[avg_comp_price]])/Table5[[#This Row],[avg_comp_price]]</f>
        <v>-0.22284081978423509</v>
      </c>
      <c r="R378" s="11">
        <f>Table5[[#This Row],[Profit]]/Table5[[#This Row],[Revenue]]</f>
        <v>0.34065934065934067</v>
      </c>
    </row>
    <row r="379" spans="1:18" x14ac:dyDescent="0.2">
      <c r="A379" s="5">
        <v>378</v>
      </c>
      <c r="B379" s="5">
        <v>136</v>
      </c>
      <c r="C379" s="7">
        <v>45326</v>
      </c>
      <c r="D379" s="5">
        <v>5</v>
      </c>
      <c r="E379" s="4">
        <v>2</v>
      </c>
      <c r="F379" s="12">
        <f t="shared" si="5"/>
        <v>5053.2425999999996</v>
      </c>
      <c r="G379" t="str">
        <f>VLOOKUP(B379,product_tbl[],2,FALSE)</f>
        <v>Handbag 136</v>
      </c>
      <c r="H379" t="str">
        <f>VLOOKUP(B379,product_tbl[],3,FALSE)</f>
        <v>Fashion</v>
      </c>
      <c r="I379">
        <v>3093.8219999999997</v>
      </c>
      <c r="J379">
        <f>VLOOKUP(B379,product_tbl[],5,FALSE)</f>
        <v>5156.37</v>
      </c>
      <c r="K379">
        <f>VLOOKUP(B379,review_tbl[],3,FALSE)</f>
        <v>3</v>
      </c>
      <c r="L379" s="11">
        <v>6526.2510584339016</v>
      </c>
      <c r="M379" s="11">
        <f>AVERAGEIF(Table1[product_id],Master_tbl!B379:B1380,Table1[competitor_price])</f>
        <v>5805.195999999999</v>
      </c>
      <c r="N379" s="11">
        <f>IFERROR(Table5[[#This Row],[final_sale_price]]*Table5[[#This Row],[quantity_sold ]],0)</f>
        <v>25266.212999999996</v>
      </c>
      <c r="O379" s="11">
        <f>(Table5[[#This Row],[final_sale_price]]-Table5[[#This Row],[cost_price]])*Table5[[#This Row],[quantity_sold ]]</f>
        <v>9797.1029999999992</v>
      </c>
      <c r="P379" s="11">
        <f>(Table5[final_sale_price]-Table5[[#This Row],[avg_comp_price]])</f>
        <v>-751.95339999999942</v>
      </c>
      <c r="Q379" s="15">
        <f>(Table5[[#This Row],[final_sale_price]]-Table5[[#This Row],[avg_comp_price]])/Table5[[#This Row],[avg_comp_price]]</f>
        <v>-0.12953109593543433</v>
      </c>
      <c r="R379" s="11">
        <f>Table5[[#This Row],[Profit]]/Table5[[#This Row],[Revenue]]</f>
        <v>0.38775510204081637</v>
      </c>
    </row>
    <row r="380" spans="1:18" x14ac:dyDescent="0.2">
      <c r="A380" s="4">
        <v>379</v>
      </c>
      <c r="B380" s="4">
        <v>77</v>
      </c>
      <c r="C380" s="6">
        <v>45077</v>
      </c>
      <c r="D380" s="4">
        <v>9</v>
      </c>
      <c r="E380" s="4">
        <v>10</v>
      </c>
      <c r="F380" s="12">
        <f t="shared" si="5"/>
        <v>1805.3820000000001</v>
      </c>
      <c r="G380" t="str">
        <f>VLOOKUP(B380,product_tbl[],2,FALSE)</f>
        <v>Coffee Beans 77</v>
      </c>
      <c r="H380" t="str">
        <f>VLOOKUP(B380,product_tbl[],3,FALSE)</f>
        <v>Grocery</v>
      </c>
      <c r="I380">
        <v>1203.588</v>
      </c>
      <c r="J380">
        <f>VLOOKUP(B380,product_tbl[],5,FALSE)</f>
        <v>2005.98</v>
      </c>
      <c r="K380">
        <f>VLOOKUP(B380,review_tbl[],3,FALSE)</f>
        <v>1</v>
      </c>
      <c r="L380" s="11">
        <v>2302.2683137020294</v>
      </c>
      <c r="M380" s="11">
        <f>AVERAGEIF(Table1[product_id],Master_tbl!B380:B1381,Table1[competitor_price])</f>
        <v>4139.2699999999995</v>
      </c>
      <c r="N380" s="11">
        <f>IFERROR(Table5[[#This Row],[final_sale_price]]*Table5[[#This Row],[quantity_sold ]],0)</f>
        <v>16248.438</v>
      </c>
      <c r="O380" s="11">
        <f>(Table5[[#This Row],[final_sale_price]]-Table5[[#This Row],[cost_price]])*Table5[[#This Row],[quantity_sold ]]</f>
        <v>5416.1460000000006</v>
      </c>
      <c r="P380" s="11">
        <f>(Table5[final_sale_price]-Table5[[#This Row],[avg_comp_price]])</f>
        <v>-2333.8879999999995</v>
      </c>
      <c r="Q380" s="15">
        <f>(Table5[[#This Row],[final_sale_price]]-Table5[[#This Row],[avg_comp_price]])/Table5[[#This Row],[avg_comp_price]]</f>
        <v>-0.56384048395006847</v>
      </c>
      <c r="R380" s="11">
        <f>Table5[[#This Row],[Profit]]/Table5[[#This Row],[Revenue]]</f>
        <v>0.33333333333333337</v>
      </c>
    </row>
    <row r="381" spans="1:18" x14ac:dyDescent="0.2">
      <c r="A381" s="5">
        <v>380</v>
      </c>
      <c r="B381" s="5">
        <v>19</v>
      </c>
      <c r="C381" s="7">
        <v>45213</v>
      </c>
      <c r="D381" s="5">
        <v>39</v>
      </c>
      <c r="E381" s="4">
        <v>4</v>
      </c>
      <c r="F381" s="12">
        <f t="shared" si="5"/>
        <v>3274.3968</v>
      </c>
      <c r="G381" t="str">
        <f>VLOOKUP(B381,product_tbl[],2,FALSE)</f>
        <v>Air Conditioner 19</v>
      </c>
      <c r="H381" t="str">
        <f>VLOOKUP(B381,product_tbl[],3,FALSE)</f>
        <v>Home Appliances</v>
      </c>
      <c r="I381">
        <v>2046.4979999999998</v>
      </c>
      <c r="J381">
        <f>VLOOKUP(B381,product_tbl[],5,FALSE)</f>
        <v>3410.83</v>
      </c>
      <c r="K381">
        <f>VLOOKUP(B381,review_tbl[],3,FALSE)</f>
        <v>2</v>
      </c>
      <c r="L381" s="11">
        <v>4048.8288681331974</v>
      </c>
      <c r="M381" s="11">
        <f>AVERAGEIF(Table1[product_id],Master_tbl!B381:B1382,Table1[competitor_price])</f>
        <v>1213.8383333333334</v>
      </c>
      <c r="N381" s="11">
        <f>IFERROR(Table5[[#This Row],[final_sale_price]]*Table5[[#This Row],[quantity_sold ]],0)</f>
        <v>127701.4752</v>
      </c>
      <c r="O381" s="11">
        <f>(Table5[[#This Row],[final_sale_price]]-Table5[[#This Row],[cost_price]])*Table5[[#This Row],[quantity_sold ]]</f>
        <v>47888.053200000009</v>
      </c>
      <c r="P381" s="11">
        <f>(Table5[final_sale_price]-Table5[[#This Row],[avg_comp_price]])</f>
        <v>2060.5584666666664</v>
      </c>
      <c r="Q381" s="15">
        <f>(Table5[[#This Row],[final_sale_price]]-Table5[[#This Row],[avg_comp_price]])/Table5[[#This Row],[avg_comp_price]]</f>
        <v>1.6975559348238298</v>
      </c>
      <c r="R381" s="11">
        <f>Table5[[#This Row],[Profit]]/Table5[[#This Row],[Revenue]]</f>
        <v>0.37500000000000006</v>
      </c>
    </row>
    <row r="382" spans="1:18" x14ac:dyDescent="0.2">
      <c r="A382" s="4">
        <v>381</v>
      </c>
      <c r="B382" s="4">
        <v>47</v>
      </c>
      <c r="C382" s="6">
        <v>45325</v>
      </c>
      <c r="D382" s="4">
        <v>3</v>
      </c>
      <c r="E382" s="4">
        <v>4</v>
      </c>
      <c r="F382" s="12">
        <f t="shared" si="5"/>
        <v>3277.0367999999999</v>
      </c>
      <c r="G382" t="str">
        <f>VLOOKUP(B382,product_tbl[],2,FALSE)</f>
        <v>Cookbook 47</v>
      </c>
      <c r="H382" t="str">
        <f>VLOOKUP(B382,product_tbl[],3,FALSE)</f>
        <v>Books</v>
      </c>
      <c r="I382">
        <v>2048.1479999999997</v>
      </c>
      <c r="J382">
        <f>VLOOKUP(B382,product_tbl[],5,FALSE)</f>
        <v>3413.58</v>
      </c>
      <c r="K382">
        <f>VLOOKUP(B382,review_tbl[],3,FALSE)</f>
        <v>5</v>
      </c>
      <c r="L382" s="11">
        <v>3621.4529483394426</v>
      </c>
      <c r="M382" s="11">
        <f>AVERAGEIF(Table1[product_id],Master_tbl!B382:B1383,Table1[competitor_price])</f>
        <v>2051.0440000000003</v>
      </c>
      <c r="N382" s="11">
        <f>IFERROR(Table5[[#This Row],[final_sale_price]]*Table5[[#This Row],[quantity_sold ]],0)</f>
        <v>9831.1103999999996</v>
      </c>
      <c r="O382" s="11">
        <f>(Table5[[#This Row],[final_sale_price]]-Table5[[#This Row],[cost_price]])*Table5[[#This Row],[quantity_sold ]]</f>
        <v>3686.6664000000005</v>
      </c>
      <c r="P382" s="11">
        <f>(Table5[final_sale_price]-Table5[[#This Row],[avg_comp_price]])</f>
        <v>1225.9927999999995</v>
      </c>
      <c r="Q382" s="15">
        <f>(Table5[[#This Row],[final_sale_price]]-Table5[[#This Row],[avg_comp_price]])/Table5[[#This Row],[avg_comp_price]]</f>
        <v>0.5977408578265504</v>
      </c>
      <c r="R382" s="11">
        <f>Table5[[#This Row],[Profit]]/Table5[[#This Row],[Revenue]]</f>
        <v>0.37500000000000006</v>
      </c>
    </row>
    <row r="383" spans="1:18" x14ac:dyDescent="0.2">
      <c r="A383" s="5">
        <v>382</v>
      </c>
      <c r="B383" s="5">
        <v>68</v>
      </c>
      <c r="C383" s="7">
        <v>45733</v>
      </c>
      <c r="D383" s="5">
        <v>39</v>
      </c>
      <c r="E383" s="4">
        <v>10</v>
      </c>
      <c r="F383" s="12">
        <f t="shared" si="5"/>
        <v>5439.1409999999996</v>
      </c>
      <c r="G383" t="str">
        <f>VLOOKUP(B383,product_tbl[],2,FALSE)</f>
        <v>Lipstick 68</v>
      </c>
      <c r="H383" t="str">
        <f>VLOOKUP(B383,product_tbl[],3,FALSE)</f>
        <v>Beauty</v>
      </c>
      <c r="I383">
        <v>3626.0939999999996</v>
      </c>
      <c r="J383">
        <f>VLOOKUP(B383,product_tbl[],5,FALSE)</f>
        <v>6043.49</v>
      </c>
      <c r="K383">
        <f>VLOOKUP(B383,review_tbl[],3,FALSE)</f>
        <v>2</v>
      </c>
      <c r="L383" s="11">
        <v>6575.9906928018254</v>
      </c>
      <c r="M383" s="11">
        <f>AVERAGEIF(Table1[product_id],Master_tbl!B383:B1384,Table1[competitor_price])</f>
        <v>796.21333333333325</v>
      </c>
      <c r="N383" s="11">
        <f>IFERROR(Table5[[#This Row],[final_sale_price]]*Table5[[#This Row],[quantity_sold ]],0)</f>
        <v>212126.49899999998</v>
      </c>
      <c r="O383" s="11">
        <f>(Table5[[#This Row],[final_sale_price]]-Table5[[#This Row],[cost_price]])*Table5[[#This Row],[quantity_sold ]]</f>
        <v>70708.832999999999</v>
      </c>
      <c r="P383" s="11">
        <f>(Table5[final_sale_price]-Table5[[#This Row],[avg_comp_price]])</f>
        <v>4642.9276666666665</v>
      </c>
      <c r="Q383" s="15">
        <f>(Table5[[#This Row],[final_sale_price]]-Table5[[#This Row],[avg_comp_price]])/Table5[[#This Row],[avg_comp_price]]</f>
        <v>5.8312608848549807</v>
      </c>
      <c r="R383" s="11">
        <f>Table5[[#This Row],[Profit]]/Table5[[#This Row],[Revenue]]</f>
        <v>0.33333333333333337</v>
      </c>
    </row>
    <row r="384" spans="1:18" x14ac:dyDescent="0.2">
      <c r="A384" s="4">
        <v>383</v>
      </c>
      <c r="B384" s="4">
        <v>52</v>
      </c>
      <c r="C384" s="6">
        <v>45971</v>
      </c>
      <c r="D384" s="4">
        <v>27</v>
      </c>
      <c r="E384" s="4">
        <v>7</v>
      </c>
      <c r="F384" s="12">
        <f t="shared" si="5"/>
        <v>4147.0374000000002</v>
      </c>
      <c r="G384" t="str">
        <f>VLOOKUP(B384,product_tbl[],2,FALSE)</f>
        <v>Cookbook 52</v>
      </c>
      <c r="H384" t="str">
        <f>VLOOKUP(B384,product_tbl[],3,FALSE)</f>
        <v>Books</v>
      </c>
      <c r="I384">
        <v>2675.5080000000003</v>
      </c>
      <c r="J384">
        <f>VLOOKUP(B384,product_tbl[],5,FALSE)</f>
        <v>4459.18</v>
      </c>
      <c r="K384">
        <f>VLOOKUP(B384,review_tbl[],3,FALSE)</f>
        <v>3</v>
      </c>
      <c r="L384" s="11">
        <v>4609.7672460720269</v>
      </c>
      <c r="M384" s="11">
        <f>AVERAGEIF(Table1[product_id],Master_tbl!B384:B1385,Table1[competitor_price])</f>
        <v>6258.09</v>
      </c>
      <c r="N384" s="11">
        <f>IFERROR(Table5[[#This Row],[final_sale_price]]*Table5[[#This Row],[quantity_sold ]],0)</f>
        <v>111970.0098</v>
      </c>
      <c r="O384" s="11">
        <f>(Table5[[#This Row],[final_sale_price]]-Table5[[#This Row],[cost_price]])*Table5[[#This Row],[quantity_sold ]]</f>
        <v>39731.293799999999</v>
      </c>
      <c r="P384" s="11">
        <f>(Table5[final_sale_price]-Table5[[#This Row],[avg_comp_price]])</f>
        <v>-2111.0526</v>
      </c>
      <c r="Q384" s="15">
        <f>(Table5[[#This Row],[final_sale_price]]-Table5[[#This Row],[avg_comp_price]])/Table5[[#This Row],[avg_comp_price]]</f>
        <v>-0.33733177375205531</v>
      </c>
      <c r="R384" s="11">
        <f>Table5[[#This Row],[Profit]]/Table5[[#This Row],[Revenue]]</f>
        <v>0.35483870967741937</v>
      </c>
    </row>
    <row r="385" spans="1:18" x14ac:dyDescent="0.2">
      <c r="A385" s="5">
        <v>384</v>
      </c>
      <c r="B385" s="5">
        <v>8</v>
      </c>
      <c r="C385" s="7">
        <v>45134</v>
      </c>
      <c r="D385" s="5">
        <v>44</v>
      </c>
      <c r="E385" s="4">
        <v>2</v>
      </c>
      <c r="F385" s="12">
        <f t="shared" si="5"/>
        <v>5531.0611999999992</v>
      </c>
      <c r="G385" t="str">
        <f>VLOOKUP(B385,product_tbl[],2,FALSE)</f>
        <v>Puzzle Set 8</v>
      </c>
      <c r="H385" t="str">
        <f>VLOOKUP(B385,product_tbl[],3,FALSE)</f>
        <v>Toys</v>
      </c>
      <c r="I385">
        <v>3386.3639999999996</v>
      </c>
      <c r="J385">
        <f>VLOOKUP(B385,product_tbl[],5,FALSE)</f>
        <v>5643.94</v>
      </c>
      <c r="K385">
        <f>VLOOKUP(B385,review_tbl[],3,FALSE)</f>
        <v>2</v>
      </c>
      <c r="L385" s="11">
        <v>6172.4228866417725</v>
      </c>
      <c r="M385" s="11">
        <f>AVERAGEIF(Table1[product_id],Master_tbl!B385:B1386,Table1[competitor_price])</f>
        <v>2853.6650000000004</v>
      </c>
      <c r="N385" s="11">
        <f>IFERROR(Table5[[#This Row],[final_sale_price]]*Table5[[#This Row],[quantity_sold ]],0)</f>
        <v>243366.69279999996</v>
      </c>
      <c r="O385" s="11">
        <f>(Table5[[#This Row],[final_sale_price]]-Table5[[#This Row],[cost_price]])*Table5[[#This Row],[quantity_sold ]]</f>
        <v>94366.676799999987</v>
      </c>
      <c r="P385" s="11">
        <f>(Table5[final_sale_price]-Table5[[#This Row],[avg_comp_price]])</f>
        <v>2677.3961999999988</v>
      </c>
      <c r="Q385" s="15">
        <f>(Table5[[#This Row],[final_sale_price]]-Table5[[#This Row],[avg_comp_price]])/Table5[[#This Row],[avg_comp_price]]</f>
        <v>0.9382307313577446</v>
      </c>
      <c r="R385" s="11">
        <f>Table5[[#This Row],[Profit]]/Table5[[#This Row],[Revenue]]</f>
        <v>0.38775510204081631</v>
      </c>
    </row>
    <row r="386" spans="1:18" x14ac:dyDescent="0.2">
      <c r="A386" s="4">
        <v>385</v>
      </c>
      <c r="B386" s="4">
        <v>107</v>
      </c>
      <c r="C386" s="6">
        <v>44973</v>
      </c>
      <c r="D386" s="4">
        <v>4</v>
      </c>
      <c r="E386" s="4">
        <v>3</v>
      </c>
      <c r="F386" s="12">
        <f t="shared" ref="F386:F449" si="6">J386*(1-E386/100)</f>
        <v>1520.8630000000001</v>
      </c>
      <c r="G386" t="str">
        <f>VLOOKUP(B386,product_tbl[],2,FALSE)</f>
        <v>Face Wash 107</v>
      </c>
      <c r="H386" t="str">
        <f>VLOOKUP(B386,product_tbl[],3,FALSE)</f>
        <v>Beauty</v>
      </c>
      <c r="I386">
        <v>940.74</v>
      </c>
      <c r="J386">
        <f>VLOOKUP(B386,product_tbl[],5,FALSE)</f>
        <v>1567.9</v>
      </c>
      <c r="K386">
        <f>VLOOKUP(B386,review_tbl[],3,FALSE)</f>
        <v>2</v>
      </c>
      <c r="L386" s="11">
        <v>1765.688786297241</v>
      </c>
      <c r="M386" s="11">
        <f>AVERAGEIF(Table1[product_id],Master_tbl!B386:B1387,Table1[competitor_price])</f>
        <v>979.96</v>
      </c>
      <c r="N386" s="11">
        <f>IFERROR(Table5[[#This Row],[final_sale_price]]*Table5[[#This Row],[quantity_sold ]],0)</f>
        <v>6083.4520000000002</v>
      </c>
      <c r="O386" s="11">
        <f>(Table5[[#This Row],[final_sale_price]]-Table5[[#This Row],[cost_price]])*Table5[[#This Row],[quantity_sold ]]</f>
        <v>2320.4920000000002</v>
      </c>
      <c r="P386" s="11">
        <f>(Table5[final_sale_price]-Table5[[#This Row],[avg_comp_price]])</f>
        <v>540.90300000000002</v>
      </c>
      <c r="Q386" s="15">
        <f>(Table5[[#This Row],[final_sale_price]]-Table5[[#This Row],[avg_comp_price]])/Table5[[#This Row],[avg_comp_price]]</f>
        <v>0.55196436589248543</v>
      </c>
      <c r="R386" s="11">
        <f>Table5[[#This Row],[Profit]]/Table5[[#This Row],[Revenue]]</f>
        <v>0.3814432989690722</v>
      </c>
    </row>
    <row r="387" spans="1:18" x14ac:dyDescent="0.2">
      <c r="A387" s="5">
        <v>386</v>
      </c>
      <c r="B387" s="5">
        <v>50</v>
      </c>
      <c r="C387" s="7">
        <v>45523</v>
      </c>
      <c r="D387" s="5">
        <v>50</v>
      </c>
      <c r="E387" s="4">
        <v>2</v>
      </c>
      <c r="F387" s="12">
        <f t="shared" si="6"/>
        <v>1329.566</v>
      </c>
      <c r="G387" t="str">
        <f>VLOOKUP(B387,product_tbl[],2,FALSE)</f>
        <v>Doll 50</v>
      </c>
      <c r="H387" t="str">
        <f>VLOOKUP(B387,product_tbl[],3,FALSE)</f>
        <v>Toys</v>
      </c>
      <c r="I387">
        <v>814.02</v>
      </c>
      <c r="J387">
        <f>VLOOKUP(B387,product_tbl[],5,FALSE)</f>
        <v>1356.7</v>
      </c>
      <c r="K387">
        <f>VLOOKUP(B387,review_tbl[],3,FALSE)</f>
        <v>3</v>
      </c>
      <c r="L387" s="11">
        <v>1648.8015248893357</v>
      </c>
      <c r="M387" s="11">
        <f>AVERAGEIF(Table1[product_id],Master_tbl!B387:B1388,Table1[competitor_price])</f>
        <v>4909.6483333333335</v>
      </c>
      <c r="N387" s="11">
        <f>IFERROR(Table5[[#This Row],[final_sale_price]]*Table5[[#This Row],[quantity_sold ]],0)</f>
        <v>66478.3</v>
      </c>
      <c r="O387" s="11">
        <f>(Table5[[#This Row],[final_sale_price]]-Table5[[#This Row],[cost_price]])*Table5[[#This Row],[quantity_sold ]]</f>
        <v>25777.300000000003</v>
      </c>
      <c r="P387" s="11">
        <f>(Table5[final_sale_price]-Table5[[#This Row],[avg_comp_price]])</f>
        <v>-3580.0823333333337</v>
      </c>
      <c r="Q387" s="15">
        <f>(Table5[[#This Row],[final_sale_price]]-Table5[[#This Row],[avg_comp_price]])/Table5[[#This Row],[avg_comp_price]]</f>
        <v>-0.72919323142288883</v>
      </c>
      <c r="R387" s="11">
        <f>Table5[[#This Row],[Profit]]/Table5[[#This Row],[Revenue]]</f>
        <v>0.38775510204081637</v>
      </c>
    </row>
    <row r="388" spans="1:18" x14ac:dyDescent="0.2">
      <c r="A388" s="4">
        <v>387</v>
      </c>
      <c r="B388" s="4">
        <v>4</v>
      </c>
      <c r="C388" s="6">
        <v>45367</v>
      </c>
      <c r="D388" s="4">
        <v>18</v>
      </c>
      <c r="E388" s="4">
        <v>10</v>
      </c>
      <c r="F388" s="12">
        <f t="shared" si="6"/>
        <v>6376.8420000000006</v>
      </c>
      <c r="G388" t="str">
        <f>VLOOKUP(B388,product_tbl[],2,FALSE)</f>
        <v>Gym Gloves 4</v>
      </c>
      <c r="H388" t="str">
        <f>VLOOKUP(B388,product_tbl[],3,FALSE)</f>
        <v>Sports</v>
      </c>
      <c r="I388">
        <v>4251.2280000000001</v>
      </c>
      <c r="J388">
        <f>VLOOKUP(B388,product_tbl[],5,FALSE)</f>
        <v>7085.38</v>
      </c>
      <c r="K388">
        <f>VLOOKUP(B388,review_tbl[],3,FALSE)</f>
        <v>4</v>
      </c>
      <c r="L388" s="11">
        <v>7862.6927680078534</v>
      </c>
      <c r="M388" s="11">
        <f>AVERAGEIF(Table1[product_id],Master_tbl!B388:B1389,Table1[competitor_price])</f>
        <v>3570.2466666666674</v>
      </c>
      <c r="N388" s="11">
        <f>IFERROR(Table5[[#This Row],[final_sale_price]]*Table5[[#This Row],[quantity_sold ]],0)</f>
        <v>114783.15600000002</v>
      </c>
      <c r="O388" s="11">
        <f>(Table5[[#This Row],[final_sale_price]]-Table5[[#This Row],[cost_price]])*Table5[[#This Row],[quantity_sold ]]</f>
        <v>38261.052000000011</v>
      </c>
      <c r="P388" s="11">
        <f>(Table5[final_sale_price]-Table5[[#This Row],[avg_comp_price]])</f>
        <v>2806.5953333333332</v>
      </c>
      <c r="Q388" s="15">
        <f>(Table5[[#This Row],[final_sale_price]]-Table5[[#This Row],[avg_comp_price]])/Table5[[#This Row],[avg_comp_price]]</f>
        <v>0.78610684229100869</v>
      </c>
      <c r="R388" s="11">
        <f>Table5[[#This Row],[Profit]]/Table5[[#This Row],[Revenue]]</f>
        <v>0.33333333333333337</v>
      </c>
    </row>
    <row r="389" spans="1:18" x14ac:dyDescent="0.2">
      <c r="A389" s="5">
        <v>388</v>
      </c>
      <c r="B389" s="5">
        <v>14</v>
      </c>
      <c r="C389" s="7">
        <v>45116</v>
      </c>
      <c r="D389" s="5">
        <v>6</v>
      </c>
      <c r="E389" s="4">
        <v>7</v>
      </c>
      <c r="F389" s="12">
        <f t="shared" si="6"/>
        <v>5599.1765999999998</v>
      </c>
      <c r="G389" t="str">
        <f>VLOOKUP(B389,product_tbl[],2,FALSE)</f>
        <v>Coffee Beans 14</v>
      </c>
      <c r="H389" t="str">
        <f>VLOOKUP(B389,product_tbl[],3,FALSE)</f>
        <v>Grocery</v>
      </c>
      <c r="I389">
        <v>3612.3719999999998</v>
      </c>
      <c r="J389">
        <f>VLOOKUP(B389,product_tbl[],5,FALSE)</f>
        <v>6020.62</v>
      </c>
      <c r="K389">
        <f>VLOOKUP(B389,review_tbl[],3,FALSE)</f>
        <v>5</v>
      </c>
      <c r="L389" s="11">
        <v>6210.0387420422921</v>
      </c>
      <c r="M389" s="11">
        <f>AVERAGEIF(Table1[product_id],Master_tbl!B389:B1390,Table1[competitor_price])</f>
        <v>3652.5316666666672</v>
      </c>
      <c r="N389" s="11">
        <f>IFERROR(Table5[[#This Row],[final_sale_price]]*Table5[[#This Row],[quantity_sold ]],0)</f>
        <v>33595.059600000001</v>
      </c>
      <c r="O389" s="11">
        <f>(Table5[[#This Row],[final_sale_price]]-Table5[[#This Row],[cost_price]])*Table5[[#This Row],[quantity_sold ]]</f>
        <v>11920.827600000001</v>
      </c>
      <c r="P389" s="11">
        <f>(Table5[final_sale_price]-Table5[[#This Row],[avg_comp_price]])</f>
        <v>1946.6449333333326</v>
      </c>
      <c r="Q389" s="15">
        <f>(Table5[[#This Row],[final_sale_price]]-Table5[[#This Row],[avg_comp_price]])/Table5[[#This Row],[avg_comp_price]]</f>
        <v>0.5329577156301174</v>
      </c>
      <c r="R389" s="11">
        <f>Table5[[#This Row],[Profit]]/Table5[[#This Row],[Revenue]]</f>
        <v>0.35483870967741937</v>
      </c>
    </row>
    <row r="390" spans="1:18" x14ac:dyDescent="0.2">
      <c r="A390" s="4">
        <v>389</v>
      </c>
      <c r="B390" s="4">
        <v>119</v>
      </c>
      <c r="C390" s="6">
        <v>45815</v>
      </c>
      <c r="D390" s="4">
        <v>22</v>
      </c>
      <c r="E390" s="4">
        <v>6</v>
      </c>
      <c r="F390" s="12">
        <f t="shared" si="6"/>
        <v>1825.3953999999999</v>
      </c>
      <c r="G390" t="str">
        <f>VLOOKUP(B390,product_tbl[],2,FALSE)</f>
        <v>Wheat Flour 119</v>
      </c>
      <c r="H390" t="str">
        <f>VLOOKUP(B390,product_tbl[],3,FALSE)</f>
        <v>Grocery</v>
      </c>
      <c r="I390">
        <v>1165.146</v>
      </c>
      <c r="J390">
        <f>VLOOKUP(B390,product_tbl[],5,FALSE)</f>
        <v>1941.91</v>
      </c>
      <c r="K390">
        <f>VLOOKUP(B390,review_tbl[],3,FALSE)</f>
        <v>4</v>
      </c>
      <c r="L390" s="11">
        <v>1967.8061532493257</v>
      </c>
      <c r="M390" s="11">
        <f>AVERAGEIF(Table1[product_id],Master_tbl!B390:B1391,Table1[competitor_price])</f>
        <v>4902.3539999999994</v>
      </c>
      <c r="N390" s="11">
        <f>IFERROR(Table5[[#This Row],[final_sale_price]]*Table5[[#This Row],[quantity_sold ]],0)</f>
        <v>40158.698799999998</v>
      </c>
      <c r="O390" s="11">
        <f>(Table5[[#This Row],[final_sale_price]]-Table5[[#This Row],[cost_price]])*Table5[[#This Row],[quantity_sold ]]</f>
        <v>14525.486799999999</v>
      </c>
      <c r="P390" s="11">
        <f>(Table5[final_sale_price]-Table5[[#This Row],[avg_comp_price]])</f>
        <v>-3076.9585999999995</v>
      </c>
      <c r="Q390" s="15">
        <f>(Table5[[#This Row],[final_sale_price]]-Table5[[#This Row],[avg_comp_price]])/Table5[[#This Row],[avg_comp_price]]</f>
        <v>-0.62764920689121995</v>
      </c>
      <c r="R390" s="11">
        <f>Table5[[#This Row],[Profit]]/Table5[[#This Row],[Revenue]]</f>
        <v>0.36170212765957444</v>
      </c>
    </row>
    <row r="391" spans="1:18" x14ac:dyDescent="0.2">
      <c r="A391" s="5">
        <v>390</v>
      </c>
      <c r="B391" s="5">
        <v>52</v>
      </c>
      <c r="C391" s="7">
        <v>45306</v>
      </c>
      <c r="D391" s="5">
        <v>25</v>
      </c>
      <c r="E391" s="4">
        <v>10</v>
      </c>
      <c r="F391" s="12">
        <f t="shared" si="6"/>
        <v>4013.2620000000002</v>
      </c>
      <c r="G391" t="str">
        <f>VLOOKUP(B391,product_tbl[],2,FALSE)</f>
        <v>Cookbook 52</v>
      </c>
      <c r="H391" t="str">
        <f>VLOOKUP(B391,product_tbl[],3,FALSE)</f>
        <v>Books</v>
      </c>
      <c r="I391">
        <v>2675.5080000000003</v>
      </c>
      <c r="J391">
        <f>VLOOKUP(B391,product_tbl[],5,FALSE)</f>
        <v>4459.18</v>
      </c>
      <c r="K391">
        <f>VLOOKUP(B391,review_tbl[],3,FALSE)</f>
        <v>3</v>
      </c>
      <c r="L391" s="11">
        <v>5206.2072873268007</v>
      </c>
      <c r="M391" s="11">
        <f>AVERAGEIF(Table1[product_id],Master_tbl!B391:B1392,Table1[competitor_price])</f>
        <v>6258.09</v>
      </c>
      <c r="N391" s="11">
        <f>IFERROR(Table5[[#This Row],[final_sale_price]]*Table5[[#This Row],[quantity_sold ]],0)</f>
        <v>100331.55</v>
      </c>
      <c r="O391" s="11">
        <f>(Table5[[#This Row],[final_sale_price]]-Table5[[#This Row],[cost_price]])*Table5[[#This Row],[quantity_sold ]]</f>
        <v>33443.85</v>
      </c>
      <c r="P391" s="11">
        <f>(Table5[final_sale_price]-Table5[[#This Row],[avg_comp_price]])</f>
        <v>-2244.828</v>
      </c>
      <c r="Q391" s="15">
        <f>(Table5[[#This Row],[final_sale_price]]-Table5[[#This Row],[avg_comp_price]])/Table5[[#This Row],[avg_comp_price]]</f>
        <v>-0.35870816814715034</v>
      </c>
      <c r="R391" s="11">
        <f>Table5[[#This Row],[Profit]]/Table5[[#This Row],[Revenue]]</f>
        <v>0.33333333333333331</v>
      </c>
    </row>
    <row r="392" spans="1:18" x14ac:dyDescent="0.2">
      <c r="A392" s="4">
        <v>391</v>
      </c>
      <c r="B392" s="4">
        <v>41</v>
      </c>
      <c r="C392" s="6">
        <v>45944</v>
      </c>
      <c r="D392" s="4">
        <v>8</v>
      </c>
      <c r="E392" s="4">
        <v>5</v>
      </c>
      <c r="F392" s="12">
        <f t="shared" si="6"/>
        <v>2927.3964999999998</v>
      </c>
      <c r="G392" t="str">
        <f>VLOOKUP(B392,product_tbl[],2,FALSE)</f>
        <v>Olive Oil 41</v>
      </c>
      <c r="H392" t="str">
        <f>VLOOKUP(B392,product_tbl[],3,FALSE)</f>
        <v>Grocery</v>
      </c>
      <c r="I392">
        <v>1848.8819999999998</v>
      </c>
      <c r="J392">
        <f>VLOOKUP(B392,product_tbl[],5,FALSE)</f>
        <v>3081.47</v>
      </c>
      <c r="K392">
        <f>VLOOKUP(B392,review_tbl[],3,FALSE)</f>
        <v>1</v>
      </c>
      <c r="L392" s="11">
        <v>3802.0667205141426</v>
      </c>
      <c r="M392" s="11">
        <f>AVERAGEIF(Table1[product_id],Master_tbl!B392:B1393,Table1[competitor_price])</f>
        <v>1589.1249999999998</v>
      </c>
      <c r="N392" s="11">
        <f>IFERROR(Table5[[#This Row],[final_sale_price]]*Table5[[#This Row],[quantity_sold ]],0)</f>
        <v>23419.171999999999</v>
      </c>
      <c r="O392" s="11">
        <f>(Table5[[#This Row],[final_sale_price]]-Table5[[#This Row],[cost_price]])*Table5[[#This Row],[quantity_sold ]]</f>
        <v>8628.116</v>
      </c>
      <c r="P392" s="11">
        <f>(Table5[final_sale_price]-Table5[[#This Row],[avg_comp_price]])</f>
        <v>1338.2715000000001</v>
      </c>
      <c r="Q392" s="15">
        <f>(Table5[[#This Row],[final_sale_price]]-Table5[[#This Row],[avg_comp_price]])/Table5[[#This Row],[avg_comp_price]]</f>
        <v>0.84214363250216329</v>
      </c>
      <c r="R392" s="11">
        <f>Table5[[#This Row],[Profit]]/Table5[[#This Row],[Revenue]]</f>
        <v>0.36842105263157898</v>
      </c>
    </row>
    <row r="393" spans="1:18" x14ac:dyDescent="0.2">
      <c r="A393" s="5">
        <v>392</v>
      </c>
      <c r="B393" s="5">
        <v>9</v>
      </c>
      <c r="C393" s="7">
        <v>45053</v>
      </c>
      <c r="D393" s="5">
        <v>2</v>
      </c>
      <c r="E393" s="4">
        <v>5</v>
      </c>
      <c r="F393" s="12">
        <f t="shared" si="6"/>
        <v>2720.6574999999998</v>
      </c>
      <c r="G393" t="str">
        <f>VLOOKUP(B393,product_tbl[],2,FALSE)</f>
        <v>Air Conditioner 9</v>
      </c>
      <c r="H393" t="str">
        <f>VLOOKUP(B393,product_tbl[],3,FALSE)</f>
        <v>Home Appliances</v>
      </c>
      <c r="I393">
        <v>1718.31</v>
      </c>
      <c r="J393">
        <f>VLOOKUP(B393,product_tbl[],5,FALSE)</f>
        <v>2863.85</v>
      </c>
      <c r="K393">
        <f>VLOOKUP(B393,review_tbl[],3,FALSE)</f>
        <v>5</v>
      </c>
      <c r="L393" s="11">
        <v>3581.8849019142021</v>
      </c>
      <c r="M393" s="11">
        <f>AVERAGEIF(Table1[product_id],Master_tbl!B393:B1394,Table1[competitor_price])</f>
        <v>6325.1699999999992</v>
      </c>
      <c r="N393" s="11">
        <f>IFERROR(Table5[[#This Row],[final_sale_price]]*Table5[[#This Row],[quantity_sold ]],0)</f>
        <v>5441.3149999999996</v>
      </c>
      <c r="O393" s="11">
        <f>(Table5[[#This Row],[final_sale_price]]-Table5[[#This Row],[cost_price]])*Table5[[#This Row],[quantity_sold ]]</f>
        <v>2004.6949999999997</v>
      </c>
      <c r="P393" s="11">
        <f>(Table5[final_sale_price]-Table5[[#This Row],[avg_comp_price]])</f>
        <v>-3604.5124999999994</v>
      </c>
      <c r="Q393" s="15">
        <f>(Table5[[#This Row],[final_sale_price]]-Table5[[#This Row],[avg_comp_price]])/Table5[[#This Row],[avg_comp_price]]</f>
        <v>-0.56986808259698951</v>
      </c>
      <c r="R393" s="11">
        <f>Table5[[#This Row],[Profit]]/Table5[[#This Row],[Revenue]]</f>
        <v>0.36842105263157893</v>
      </c>
    </row>
    <row r="394" spans="1:18" x14ac:dyDescent="0.2">
      <c r="A394" s="4">
        <v>393</v>
      </c>
      <c r="B394" s="4">
        <v>84</v>
      </c>
      <c r="C394" s="6">
        <v>46006</v>
      </c>
      <c r="D394" s="4">
        <v>33</v>
      </c>
      <c r="E394" s="4">
        <v>7</v>
      </c>
      <c r="F394" s="12">
        <f t="shared" si="6"/>
        <v>7216.9487999999992</v>
      </c>
      <c r="G394" t="str">
        <f>VLOOKUP(B394,product_tbl[],2,FALSE)</f>
        <v>Moisturizer 84</v>
      </c>
      <c r="H394" t="str">
        <f>VLOOKUP(B394,product_tbl[],3,FALSE)</f>
        <v>Beauty</v>
      </c>
      <c r="I394">
        <v>4656.0959999999995</v>
      </c>
      <c r="J394">
        <f>VLOOKUP(B394,product_tbl[],5,FALSE)</f>
        <v>7760.16</v>
      </c>
      <c r="K394">
        <f>VLOOKUP(B394,review_tbl[],3,FALSE)</f>
        <v>1</v>
      </c>
      <c r="L394" s="11">
        <v>9838.3769341807874</v>
      </c>
      <c r="M394" s="11">
        <f>AVERAGEIF(Table1[product_id],Master_tbl!B394:B1395,Table1[competitor_price])</f>
        <v>2588.9250000000002</v>
      </c>
      <c r="N394" s="11">
        <f>IFERROR(Table5[[#This Row],[final_sale_price]]*Table5[[#This Row],[quantity_sold ]],0)</f>
        <v>238159.31039999999</v>
      </c>
      <c r="O394" s="11">
        <f>(Table5[[#This Row],[final_sale_price]]-Table5[[#This Row],[cost_price]])*Table5[[#This Row],[quantity_sold ]]</f>
        <v>84508.142399999982</v>
      </c>
      <c r="P394" s="11">
        <f>(Table5[final_sale_price]-Table5[[#This Row],[avg_comp_price]])</f>
        <v>4628.023799999999</v>
      </c>
      <c r="Q394" s="15">
        <f>(Table5[[#This Row],[final_sale_price]]-Table5[[#This Row],[avg_comp_price]])/Table5[[#This Row],[avg_comp_price]]</f>
        <v>1.7876237434456381</v>
      </c>
      <c r="R394" s="11">
        <f>Table5[[#This Row],[Profit]]/Table5[[#This Row],[Revenue]]</f>
        <v>0.35483870967741932</v>
      </c>
    </row>
    <row r="395" spans="1:18" x14ac:dyDescent="0.2">
      <c r="A395" s="5">
        <v>394</v>
      </c>
      <c r="B395" s="5">
        <v>110</v>
      </c>
      <c r="C395" s="7">
        <v>44959</v>
      </c>
      <c r="D395" s="5">
        <v>35</v>
      </c>
      <c r="E395" s="4">
        <v>9</v>
      </c>
      <c r="F395" s="12">
        <f t="shared" si="6"/>
        <v>1414.3311000000001</v>
      </c>
      <c r="G395" t="str">
        <f>VLOOKUP(B395,product_tbl[],2,FALSE)</f>
        <v>Cookbook 110</v>
      </c>
      <c r="H395" t="str">
        <f>VLOOKUP(B395,product_tbl[],3,FALSE)</f>
        <v>Books</v>
      </c>
      <c r="I395">
        <v>932.52599999999995</v>
      </c>
      <c r="J395">
        <f>VLOOKUP(B395,product_tbl[],5,FALSE)</f>
        <v>1554.21</v>
      </c>
      <c r="K395">
        <f>VLOOKUP(B395,review_tbl[],3,FALSE)</f>
        <v>3</v>
      </c>
      <c r="L395" s="11">
        <v>1922.7230029653103</v>
      </c>
      <c r="M395" s="11">
        <f>AVERAGEIF(Table1[product_id],Master_tbl!B395:B1396,Table1[competitor_price])</f>
        <v>764.66499999999996</v>
      </c>
      <c r="N395" s="11">
        <f>IFERROR(Table5[[#This Row],[final_sale_price]]*Table5[[#This Row],[quantity_sold ]],0)</f>
        <v>49501.588500000005</v>
      </c>
      <c r="O395" s="11">
        <f>(Table5[[#This Row],[final_sale_price]]-Table5[[#This Row],[cost_price]])*Table5[[#This Row],[quantity_sold ]]</f>
        <v>16863.178500000005</v>
      </c>
      <c r="P395" s="11">
        <f>(Table5[final_sale_price]-Table5[[#This Row],[avg_comp_price]])</f>
        <v>649.66610000000014</v>
      </c>
      <c r="Q395" s="15">
        <f>(Table5[[#This Row],[final_sale_price]]-Table5[[#This Row],[avg_comp_price]])/Table5[[#This Row],[avg_comp_price]]</f>
        <v>0.84960878293108766</v>
      </c>
      <c r="R395" s="11">
        <f>Table5[[#This Row],[Profit]]/Table5[[#This Row],[Revenue]]</f>
        <v>0.34065934065934073</v>
      </c>
    </row>
    <row r="396" spans="1:18" x14ac:dyDescent="0.2">
      <c r="A396" s="4">
        <v>395</v>
      </c>
      <c r="B396" s="4">
        <v>21</v>
      </c>
      <c r="C396" s="6">
        <v>45995</v>
      </c>
      <c r="D396" s="4">
        <v>12</v>
      </c>
      <c r="E396" s="4">
        <v>10</v>
      </c>
      <c r="F396" s="12">
        <f t="shared" si="6"/>
        <v>2591.3700000000003</v>
      </c>
      <c r="G396" t="str">
        <f>VLOOKUP(B396,product_tbl[],2,FALSE)</f>
        <v>Water Purifier 21</v>
      </c>
      <c r="H396" t="str">
        <f>VLOOKUP(B396,product_tbl[],3,FALSE)</f>
        <v>Home Appliances</v>
      </c>
      <c r="I396">
        <v>1727.5800000000002</v>
      </c>
      <c r="J396">
        <f>VLOOKUP(B396,product_tbl[],5,FALSE)</f>
        <v>2879.3</v>
      </c>
      <c r="K396">
        <f>VLOOKUP(B396,review_tbl[],3,FALSE)</f>
        <v>3</v>
      </c>
      <c r="L396" s="11">
        <v>3439.0024222194716</v>
      </c>
      <c r="M396" s="11">
        <f>AVERAGEIF(Table1[product_id],Master_tbl!B396:B1397,Table1[competitor_price])</f>
        <v>4150.0079999999998</v>
      </c>
      <c r="N396" s="11">
        <f>IFERROR(Table5[[#This Row],[final_sale_price]]*Table5[[#This Row],[quantity_sold ]],0)</f>
        <v>31096.440000000002</v>
      </c>
      <c r="O396" s="11">
        <f>(Table5[[#This Row],[final_sale_price]]-Table5[[#This Row],[cost_price]])*Table5[[#This Row],[quantity_sold ]]</f>
        <v>10365.480000000003</v>
      </c>
      <c r="P396" s="11">
        <f>(Table5[final_sale_price]-Table5[[#This Row],[avg_comp_price]])</f>
        <v>-1558.6379999999995</v>
      </c>
      <c r="Q396" s="15">
        <f>(Table5[[#This Row],[final_sale_price]]-Table5[[#This Row],[avg_comp_price]])/Table5[[#This Row],[avg_comp_price]]</f>
        <v>-0.37557469768732965</v>
      </c>
      <c r="R396" s="11">
        <f>Table5[[#This Row],[Profit]]/Table5[[#This Row],[Revenue]]</f>
        <v>0.33333333333333343</v>
      </c>
    </row>
    <row r="397" spans="1:18" x14ac:dyDescent="0.2">
      <c r="A397" s="5">
        <v>396</v>
      </c>
      <c r="B397" s="5">
        <v>2</v>
      </c>
      <c r="C397" s="7">
        <v>45992</v>
      </c>
      <c r="D397" s="5">
        <v>39</v>
      </c>
      <c r="E397" s="4">
        <v>10</v>
      </c>
      <c r="F397" s="12">
        <f t="shared" si="6"/>
        <v>3982.3019999999997</v>
      </c>
      <c r="G397" t="str">
        <f>VLOOKUP(B397,product_tbl[],2,FALSE)</f>
        <v>Air Conditioner 2</v>
      </c>
      <c r="H397" t="str">
        <f>VLOOKUP(B397,product_tbl[],3,FALSE)</f>
        <v>Home Appliances</v>
      </c>
      <c r="I397">
        <v>2654.8679999999999</v>
      </c>
      <c r="J397">
        <f>VLOOKUP(B397,product_tbl[],5,FALSE)</f>
        <v>4424.78</v>
      </c>
      <c r="K397">
        <f>VLOOKUP(B397,review_tbl[],3,FALSE)</f>
        <v>4</v>
      </c>
      <c r="L397" s="11">
        <v>5112.7061495906</v>
      </c>
      <c r="M397" s="11">
        <f>AVERAGEIF(Table1[product_id],Master_tbl!B397:B1398,Table1[competitor_price])</f>
        <v>1807.3</v>
      </c>
      <c r="N397" s="11">
        <f>IFERROR(Table5[[#This Row],[final_sale_price]]*Table5[[#This Row],[quantity_sold ]],0)</f>
        <v>155309.77799999999</v>
      </c>
      <c r="O397" s="11">
        <f>(Table5[[#This Row],[final_sale_price]]-Table5[[#This Row],[cost_price]])*Table5[[#This Row],[quantity_sold ]]</f>
        <v>51769.925999999992</v>
      </c>
      <c r="P397" s="11">
        <f>(Table5[final_sale_price]-Table5[[#This Row],[avg_comp_price]])</f>
        <v>2175.0019999999995</v>
      </c>
      <c r="Q397" s="15">
        <f>(Table5[[#This Row],[final_sale_price]]-Table5[[#This Row],[avg_comp_price]])/Table5[[#This Row],[avg_comp_price]]</f>
        <v>1.2034537708183475</v>
      </c>
      <c r="R397" s="11">
        <f>Table5[[#This Row],[Profit]]/Table5[[#This Row],[Revenue]]</f>
        <v>0.33333333333333331</v>
      </c>
    </row>
    <row r="398" spans="1:18" x14ac:dyDescent="0.2">
      <c r="A398" s="4">
        <v>397</v>
      </c>
      <c r="B398" s="4">
        <v>30</v>
      </c>
      <c r="C398" s="6">
        <v>45599</v>
      </c>
      <c r="D398" s="4">
        <v>14</v>
      </c>
      <c r="E398" s="4">
        <v>8</v>
      </c>
      <c r="F398" s="12">
        <f t="shared" si="6"/>
        <v>1884.4728000000002</v>
      </c>
      <c r="G398" t="str">
        <f>VLOOKUP(B398,product_tbl[],2,FALSE)</f>
        <v>Doll 30</v>
      </c>
      <c r="H398" t="str">
        <f>VLOOKUP(B398,product_tbl[],3,FALSE)</f>
        <v>Toys</v>
      </c>
      <c r="I398">
        <v>1229.0040000000001</v>
      </c>
      <c r="J398">
        <f>VLOOKUP(B398,product_tbl[],5,FALSE)</f>
        <v>2048.34</v>
      </c>
      <c r="K398">
        <f>VLOOKUP(B398,review_tbl[],3,FALSE)</f>
        <v>1</v>
      </c>
      <c r="L398" s="11">
        <v>2403.1008388106484</v>
      </c>
      <c r="M398" s="11">
        <f>AVERAGEIF(Table1[product_id],Master_tbl!B398:B1399,Table1[competitor_price])</f>
        <v>4153.6075000000001</v>
      </c>
      <c r="N398" s="11">
        <f>IFERROR(Table5[[#This Row],[final_sale_price]]*Table5[[#This Row],[quantity_sold ]],0)</f>
        <v>26382.619200000005</v>
      </c>
      <c r="O398" s="11">
        <f>(Table5[[#This Row],[final_sale_price]]-Table5[[#This Row],[cost_price]])*Table5[[#This Row],[quantity_sold ]]</f>
        <v>9176.5632000000005</v>
      </c>
      <c r="P398" s="11">
        <f>(Table5[final_sale_price]-Table5[[#This Row],[avg_comp_price]])</f>
        <v>-2269.1346999999996</v>
      </c>
      <c r="Q398" s="15">
        <f>(Table5[[#This Row],[final_sale_price]]-Table5[[#This Row],[avg_comp_price]])/Table5[[#This Row],[avg_comp_price]]</f>
        <v>-0.54630455573859582</v>
      </c>
      <c r="R398" s="11">
        <f>Table5[[#This Row],[Profit]]/Table5[[#This Row],[Revenue]]</f>
        <v>0.34782608695652167</v>
      </c>
    </row>
    <row r="399" spans="1:18" x14ac:dyDescent="0.2">
      <c r="A399" s="5">
        <v>398</v>
      </c>
      <c r="B399" s="5">
        <v>23</v>
      </c>
      <c r="C399" s="7">
        <v>45455</v>
      </c>
      <c r="D399" s="5">
        <v>46</v>
      </c>
      <c r="E399" s="4">
        <v>8</v>
      </c>
      <c r="F399" s="12">
        <f t="shared" si="6"/>
        <v>3646.3280000000004</v>
      </c>
      <c r="G399" t="str">
        <f>VLOOKUP(B399,product_tbl[],2,FALSE)</f>
        <v>Bluetooth Speaker 23</v>
      </c>
      <c r="H399" t="str">
        <f>VLOOKUP(B399,product_tbl[],3,FALSE)</f>
        <v>Electronics</v>
      </c>
      <c r="I399">
        <v>2378.04</v>
      </c>
      <c r="J399">
        <f>VLOOKUP(B399,product_tbl[],5,FALSE)</f>
        <v>3963.4</v>
      </c>
      <c r="K399">
        <f>VLOOKUP(B399,review_tbl[],3,FALSE)</f>
        <v>5</v>
      </c>
      <c r="L399" s="11">
        <v>4923.9501112665585</v>
      </c>
      <c r="M399" s="11">
        <f>AVERAGEIF(Table1[product_id],Master_tbl!B399:B1400,Table1[competitor_price])</f>
        <v>5343.3279999999995</v>
      </c>
      <c r="N399" s="11">
        <f>IFERROR(Table5[[#This Row],[final_sale_price]]*Table5[[#This Row],[quantity_sold ]],0)</f>
        <v>167731.08800000002</v>
      </c>
      <c r="O399" s="11">
        <f>(Table5[[#This Row],[final_sale_price]]-Table5[[#This Row],[cost_price]])*Table5[[#This Row],[quantity_sold ]]</f>
        <v>58341.248000000021</v>
      </c>
      <c r="P399" s="11">
        <f>(Table5[final_sale_price]-Table5[[#This Row],[avg_comp_price]])</f>
        <v>-1696.9999999999991</v>
      </c>
      <c r="Q399" s="15">
        <f>(Table5[[#This Row],[final_sale_price]]-Table5[[#This Row],[avg_comp_price]])/Table5[[#This Row],[avg_comp_price]]</f>
        <v>-0.31759233196988829</v>
      </c>
      <c r="R399" s="11">
        <f>Table5[[#This Row],[Profit]]/Table5[[#This Row],[Revenue]]</f>
        <v>0.34782608695652184</v>
      </c>
    </row>
    <row r="400" spans="1:18" x14ac:dyDescent="0.2">
      <c r="A400" s="4">
        <v>399</v>
      </c>
      <c r="B400" s="4">
        <v>143</v>
      </c>
      <c r="C400" s="6">
        <v>45425</v>
      </c>
      <c r="D400" s="4">
        <v>5</v>
      </c>
      <c r="E400" s="4">
        <v>5</v>
      </c>
      <c r="F400" s="12">
        <f t="shared" si="6"/>
        <v>285.27550000000002</v>
      </c>
      <c r="G400" t="str">
        <f>VLOOKUP(B400,product_tbl[],2,FALSE)</f>
        <v>Remote Car 143</v>
      </c>
      <c r="H400" t="str">
        <f>VLOOKUP(B400,product_tbl[],3,FALSE)</f>
        <v>Toys</v>
      </c>
      <c r="I400">
        <v>180.17400000000001</v>
      </c>
      <c r="J400">
        <f>VLOOKUP(B400,product_tbl[],5,FALSE)</f>
        <v>300.29000000000002</v>
      </c>
      <c r="K400">
        <f>VLOOKUP(B400,review_tbl[],3,FALSE)</f>
        <v>5</v>
      </c>
      <c r="L400" s="11">
        <v>371.59993493300379</v>
      </c>
      <c r="M400" s="11">
        <f>AVERAGEIF(Table1[product_id],Master_tbl!B400:B1401,Table1[competitor_price])</f>
        <v>2883.9133333333339</v>
      </c>
      <c r="N400" s="11">
        <f>IFERROR(Table5[[#This Row],[final_sale_price]]*Table5[[#This Row],[quantity_sold ]],0)</f>
        <v>1426.3775000000001</v>
      </c>
      <c r="O400" s="11">
        <f>(Table5[[#This Row],[final_sale_price]]-Table5[[#This Row],[cost_price]])*Table5[[#This Row],[quantity_sold ]]</f>
        <v>525.50750000000005</v>
      </c>
      <c r="P400" s="11">
        <f>(Table5[final_sale_price]-Table5[[#This Row],[avg_comp_price]])</f>
        <v>-2598.6378333333337</v>
      </c>
      <c r="Q400" s="15">
        <f>(Table5[[#This Row],[final_sale_price]]-Table5[[#This Row],[avg_comp_price]])/Table5[[#This Row],[avg_comp_price]]</f>
        <v>-0.90108041850541043</v>
      </c>
      <c r="R400" s="11">
        <f>Table5[[#This Row],[Profit]]/Table5[[#This Row],[Revenue]]</f>
        <v>0.36842105263157898</v>
      </c>
    </row>
    <row r="401" spans="1:18" x14ac:dyDescent="0.2">
      <c r="A401" s="5">
        <v>400</v>
      </c>
      <c r="B401" s="5">
        <v>85</v>
      </c>
      <c r="C401" s="7">
        <v>45130</v>
      </c>
      <c r="D401" s="5">
        <v>5</v>
      </c>
      <c r="E401" s="4">
        <v>5</v>
      </c>
      <c r="F401" s="12">
        <f t="shared" si="6"/>
        <v>3565.3784999999998</v>
      </c>
      <c r="G401" t="str">
        <f>VLOOKUP(B401,product_tbl[],2,FALSE)</f>
        <v>Handbag 85</v>
      </c>
      <c r="H401" t="str">
        <f>VLOOKUP(B401,product_tbl[],3,FALSE)</f>
        <v>Fashion</v>
      </c>
      <c r="I401">
        <v>2251.8180000000002</v>
      </c>
      <c r="J401">
        <f>VLOOKUP(B401,product_tbl[],5,FALSE)</f>
        <v>3753.03</v>
      </c>
      <c r="K401">
        <f>VLOOKUP(B401,review_tbl[],3,FALSE)</f>
        <v>1</v>
      </c>
      <c r="L401" s="11">
        <v>4568.5359408544737</v>
      </c>
      <c r="M401" s="11">
        <f>AVERAGEIF(Table1[product_id],Master_tbl!B401:B1402,Table1[competitor_price])</f>
        <v>3340.25</v>
      </c>
      <c r="N401" s="11">
        <f>IFERROR(Table5[[#This Row],[final_sale_price]]*Table5[[#This Row],[quantity_sold ]],0)</f>
        <v>17826.892499999998</v>
      </c>
      <c r="O401" s="11">
        <f>(Table5[[#This Row],[final_sale_price]]-Table5[[#This Row],[cost_price]])*Table5[[#This Row],[quantity_sold ]]</f>
        <v>6567.802499999998</v>
      </c>
      <c r="P401" s="11">
        <f>(Table5[final_sale_price]-Table5[[#This Row],[avg_comp_price]])</f>
        <v>225.1284999999998</v>
      </c>
      <c r="Q401" s="15">
        <f>(Table5[[#This Row],[final_sale_price]]-Table5[[#This Row],[avg_comp_price]])/Table5[[#This Row],[avg_comp_price]]</f>
        <v>6.7398697702267737E-2</v>
      </c>
      <c r="R401" s="11">
        <f>Table5[[#This Row],[Profit]]/Table5[[#This Row],[Revenue]]</f>
        <v>0.36842105263157887</v>
      </c>
    </row>
    <row r="402" spans="1:18" x14ac:dyDescent="0.2">
      <c r="A402" s="4">
        <v>401</v>
      </c>
      <c r="B402" s="4">
        <v>150</v>
      </c>
      <c r="C402" s="6">
        <v>45029</v>
      </c>
      <c r="D402" s="4">
        <v>7</v>
      </c>
      <c r="E402" s="4">
        <v>2</v>
      </c>
      <c r="F402" s="12">
        <f t="shared" si="6"/>
        <v>2243.9255999999996</v>
      </c>
      <c r="G402" t="str">
        <f>VLOOKUP(B402,product_tbl[],2,FALSE)</f>
        <v>Puzzle Set 150</v>
      </c>
      <c r="H402" t="str">
        <f>VLOOKUP(B402,product_tbl[],3,FALSE)</f>
        <v>Toys</v>
      </c>
      <c r="I402">
        <v>1373.8319999999999</v>
      </c>
      <c r="J402">
        <f>VLOOKUP(B402,product_tbl[],5,FALSE)</f>
        <v>2289.7199999999998</v>
      </c>
      <c r="K402">
        <f>VLOOKUP(B402,review_tbl[],3,FALSE)</f>
        <v>3</v>
      </c>
      <c r="L402" s="11">
        <v>2680.2219303624552</v>
      </c>
      <c r="M402" s="11">
        <f>AVERAGEIF(Table1[product_id],Master_tbl!B402:B1403,Table1[competitor_price])</f>
        <v>1810.3166666666666</v>
      </c>
      <c r="N402" s="11">
        <f>IFERROR(Table5[[#This Row],[final_sale_price]]*Table5[[#This Row],[quantity_sold ]],0)</f>
        <v>15707.479199999998</v>
      </c>
      <c r="O402" s="11">
        <f>(Table5[[#This Row],[final_sale_price]]-Table5[[#This Row],[cost_price]])*Table5[[#This Row],[quantity_sold ]]</f>
        <v>6090.6551999999974</v>
      </c>
      <c r="P402" s="11">
        <f>(Table5[final_sale_price]-Table5[[#This Row],[avg_comp_price]])</f>
        <v>433.60893333333297</v>
      </c>
      <c r="Q402" s="15">
        <f>(Table5[[#This Row],[final_sale_price]]-Table5[[#This Row],[avg_comp_price]])/Table5[[#This Row],[avg_comp_price]]</f>
        <v>0.23952104143842218</v>
      </c>
      <c r="R402" s="11">
        <f>Table5[[#This Row],[Profit]]/Table5[[#This Row],[Revenue]]</f>
        <v>0.3877551020408162</v>
      </c>
    </row>
    <row r="403" spans="1:18" x14ac:dyDescent="0.2">
      <c r="A403" s="5">
        <v>402</v>
      </c>
      <c r="B403" s="5">
        <v>63</v>
      </c>
      <c r="C403" s="7">
        <v>45842</v>
      </c>
      <c r="D403" s="5">
        <v>50</v>
      </c>
      <c r="E403" s="4">
        <v>4</v>
      </c>
      <c r="F403" s="12">
        <f t="shared" si="6"/>
        <v>6721.6992</v>
      </c>
      <c r="G403" t="str">
        <f>VLOOKUP(B403,product_tbl[],2,FALSE)</f>
        <v>Sugar 63</v>
      </c>
      <c r="H403" t="str">
        <f>VLOOKUP(B403,product_tbl[],3,FALSE)</f>
        <v>Grocery</v>
      </c>
      <c r="I403">
        <v>4201.0619999999999</v>
      </c>
      <c r="J403">
        <f>VLOOKUP(B403,product_tbl[],5,FALSE)</f>
        <v>7001.77</v>
      </c>
      <c r="K403">
        <f>VLOOKUP(B403,review_tbl[],3,FALSE)</f>
        <v>4</v>
      </c>
      <c r="L403" s="11">
        <v>8671.793739419285</v>
      </c>
      <c r="M403" s="11">
        <f>AVERAGEIF(Table1[product_id],Master_tbl!B403:B1404,Table1[competitor_price])</f>
        <v>4859.22</v>
      </c>
      <c r="N403" s="11">
        <f>IFERROR(Table5[[#This Row],[final_sale_price]]*Table5[[#This Row],[quantity_sold ]],0)</f>
        <v>336084.96</v>
      </c>
      <c r="O403" s="11">
        <f>(Table5[[#This Row],[final_sale_price]]-Table5[[#This Row],[cost_price]])*Table5[[#This Row],[quantity_sold ]]</f>
        <v>126031.86</v>
      </c>
      <c r="P403" s="11">
        <f>(Table5[final_sale_price]-Table5[[#This Row],[avg_comp_price]])</f>
        <v>1862.4791999999998</v>
      </c>
      <c r="Q403" s="15">
        <f>(Table5[[#This Row],[final_sale_price]]-Table5[[#This Row],[avg_comp_price]])/Table5[[#This Row],[avg_comp_price]]</f>
        <v>0.38328768814748038</v>
      </c>
      <c r="R403" s="11">
        <f>Table5[[#This Row],[Profit]]/Table5[[#This Row],[Revenue]]</f>
        <v>0.375</v>
      </c>
    </row>
    <row r="404" spans="1:18" x14ac:dyDescent="0.2">
      <c r="A404" s="4">
        <v>403</v>
      </c>
      <c r="B404" s="4">
        <v>134</v>
      </c>
      <c r="C404" s="6">
        <v>45885</v>
      </c>
      <c r="D404" s="4">
        <v>5</v>
      </c>
      <c r="E404" s="4">
        <v>2</v>
      </c>
      <c r="F404" s="12">
        <f t="shared" si="6"/>
        <v>658.76580000000001</v>
      </c>
      <c r="G404" t="str">
        <f>VLOOKUP(B404,product_tbl[],2,FALSE)</f>
        <v>Headphones 134</v>
      </c>
      <c r="H404" t="str">
        <f>VLOOKUP(B404,product_tbl[],3,FALSE)</f>
        <v>Electronics</v>
      </c>
      <c r="I404">
        <v>403.32600000000002</v>
      </c>
      <c r="J404">
        <f>VLOOKUP(B404,product_tbl[],5,FALSE)</f>
        <v>672.21</v>
      </c>
      <c r="K404">
        <f>VLOOKUP(B404,review_tbl[],3,FALSE)</f>
        <v>1</v>
      </c>
      <c r="L404" s="11">
        <v>699.73382488563698</v>
      </c>
      <c r="M404" s="11">
        <f>AVERAGEIF(Table1[product_id],Master_tbl!B404:B1405,Table1[competitor_price])</f>
        <v>4666.126666666667</v>
      </c>
      <c r="N404" s="11">
        <f>IFERROR(Table5[[#This Row],[final_sale_price]]*Table5[[#This Row],[quantity_sold ]],0)</f>
        <v>3293.8290000000002</v>
      </c>
      <c r="O404" s="11">
        <f>(Table5[[#This Row],[final_sale_price]]-Table5[[#This Row],[cost_price]])*Table5[[#This Row],[quantity_sold ]]</f>
        <v>1277.1990000000001</v>
      </c>
      <c r="P404" s="11">
        <f>(Table5[final_sale_price]-Table5[[#This Row],[avg_comp_price]])</f>
        <v>-4007.3608666666669</v>
      </c>
      <c r="Q404" s="15">
        <f>(Table5[[#This Row],[final_sale_price]]-Table5[[#This Row],[avg_comp_price]])/Table5[[#This Row],[avg_comp_price]]</f>
        <v>-0.8588195634066228</v>
      </c>
      <c r="R404" s="11">
        <f>Table5[[#This Row],[Profit]]/Table5[[#This Row],[Revenue]]</f>
        <v>0.38775510204081631</v>
      </c>
    </row>
    <row r="405" spans="1:18" x14ac:dyDescent="0.2">
      <c r="A405" s="5">
        <v>404</v>
      </c>
      <c r="B405" s="5">
        <v>7</v>
      </c>
      <c r="C405" s="7">
        <v>45957</v>
      </c>
      <c r="D405" s="5">
        <v>20</v>
      </c>
      <c r="E405" s="4">
        <v>9</v>
      </c>
      <c r="F405" s="12">
        <f t="shared" si="6"/>
        <v>7611.9679999999998</v>
      </c>
      <c r="G405" t="str">
        <f>VLOOKUP(B405,product_tbl[],2,FALSE)</f>
        <v>Handbag 7</v>
      </c>
      <c r="H405" t="str">
        <f>VLOOKUP(B405,product_tbl[],3,FALSE)</f>
        <v>Fashion</v>
      </c>
      <c r="I405">
        <v>5018.8799999999992</v>
      </c>
      <c r="J405">
        <f>VLOOKUP(B405,product_tbl[],5,FALSE)</f>
        <v>8364.7999999999993</v>
      </c>
      <c r="K405">
        <f>VLOOKUP(B405,review_tbl[],3,FALSE)</f>
        <v>1</v>
      </c>
      <c r="L405" s="11">
        <v>9462.4460517897569</v>
      </c>
      <c r="M405" s="11">
        <f>AVERAGEIF(Table1[product_id],Master_tbl!B405:B1406,Table1[competitor_price])</f>
        <v>1679.8333333333333</v>
      </c>
      <c r="N405" s="11">
        <f>IFERROR(Table5[[#This Row],[final_sale_price]]*Table5[[#This Row],[quantity_sold ]],0)</f>
        <v>152239.35999999999</v>
      </c>
      <c r="O405" s="11">
        <f>(Table5[[#This Row],[final_sale_price]]-Table5[[#This Row],[cost_price]])*Table5[[#This Row],[quantity_sold ]]</f>
        <v>51861.760000000009</v>
      </c>
      <c r="P405" s="11">
        <f>(Table5[final_sale_price]-Table5[[#This Row],[avg_comp_price]])</f>
        <v>5932.1346666666668</v>
      </c>
      <c r="Q405" s="15">
        <f>(Table5[[#This Row],[final_sale_price]]-Table5[[#This Row],[avg_comp_price]])/Table5[[#This Row],[avg_comp_price]]</f>
        <v>3.5313828752852467</v>
      </c>
      <c r="R405" s="11">
        <f>Table5[[#This Row],[Profit]]/Table5[[#This Row],[Revenue]]</f>
        <v>0.34065934065934073</v>
      </c>
    </row>
    <row r="406" spans="1:18" x14ac:dyDescent="0.2">
      <c r="A406" s="4">
        <v>405</v>
      </c>
      <c r="B406" s="4">
        <v>88</v>
      </c>
      <c r="C406" s="6">
        <v>45381</v>
      </c>
      <c r="D406" s="4">
        <v>17</v>
      </c>
      <c r="E406" s="4">
        <v>6</v>
      </c>
      <c r="F406" s="12">
        <f t="shared" si="6"/>
        <v>5862.1502</v>
      </c>
      <c r="G406" t="str">
        <f>VLOOKUP(B406,product_tbl[],2,FALSE)</f>
        <v>Tablet 88</v>
      </c>
      <c r="H406" t="str">
        <f>VLOOKUP(B406,product_tbl[],3,FALSE)</f>
        <v>Electronics</v>
      </c>
      <c r="I406">
        <v>3741.7979999999998</v>
      </c>
      <c r="J406">
        <f>VLOOKUP(B406,product_tbl[],5,FALSE)</f>
        <v>6236.33</v>
      </c>
      <c r="K406">
        <f>VLOOKUP(B406,review_tbl[],3,FALSE)</f>
        <v>5</v>
      </c>
      <c r="L406" s="11">
        <v>7170.9625861953837</v>
      </c>
      <c r="M406" s="11">
        <f>AVERAGEIF(Table1[product_id],Master_tbl!B406:B1407,Table1[competitor_price])</f>
        <v>4981.5050000000001</v>
      </c>
      <c r="N406" s="11">
        <f>IFERROR(Table5[[#This Row],[final_sale_price]]*Table5[[#This Row],[quantity_sold ]],0)</f>
        <v>99656.553400000004</v>
      </c>
      <c r="O406" s="11">
        <f>(Table5[[#This Row],[final_sale_price]]-Table5[[#This Row],[cost_price]])*Table5[[#This Row],[quantity_sold ]]</f>
        <v>36045.987400000005</v>
      </c>
      <c r="P406" s="11">
        <f>(Table5[final_sale_price]-Table5[[#This Row],[avg_comp_price]])</f>
        <v>880.64519999999993</v>
      </c>
      <c r="Q406" s="15">
        <f>(Table5[[#This Row],[final_sale_price]]-Table5[[#This Row],[avg_comp_price]])/Table5[[#This Row],[avg_comp_price]]</f>
        <v>0.17678296016966757</v>
      </c>
      <c r="R406" s="11">
        <f>Table5[[#This Row],[Profit]]/Table5[[#This Row],[Revenue]]</f>
        <v>0.36170212765957449</v>
      </c>
    </row>
    <row r="407" spans="1:18" x14ac:dyDescent="0.2">
      <c r="A407" s="5">
        <v>406</v>
      </c>
      <c r="B407" s="5">
        <v>24</v>
      </c>
      <c r="C407" s="7">
        <v>45748</v>
      </c>
      <c r="D407" s="5">
        <v>6</v>
      </c>
      <c r="E407" s="4">
        <v>10</v>
      </c>
      <c r="F407" s="12">
        <f t="shared" si="6"/>
        <v>3596.8679999999999</v>
      </c>
      <c r="G407" t="str">
        <f>VLOOKUP(B407,product_tbl[],2,FALSE)</f>
        <v>Rice Pack 24</v>
      </c>
      <c r="H407" t="str">
        <f>VLOOKUP(B407,product_tbl[],3,FALSE)</f>
        <v>Grocery</v>
      </c>
      <c r="I407">
        <v>2397.9119999999998</v>
      </c>
      <c r="J407">
        <f>VLOOKUP(B407,product_tbl[],5,FALSE)</f>
        <v>3996.52</v>
      </c>
      <c r="K407">
        <f>VLOOKUP(B407,review_tbl[],3,FALSE)</f>
        <v>4</v>
      </c>
      <c r="L407" s="11">
        <v>4859.898163232293</v>
      </c>
      <c r="M407" s="11">
        <f>AVERAGEIF(Table1[product_id],Master_tbl!B407:B1408,Table1[competitor_price])</f>
        <v>3028.7733333333331</v>
      </c>
      <c r="N407" s="11">
        <f>IFERROR(Table5[[#This Row],[final_sale_price]]*Table5[[#This Row],[quantity_sold ]],0)</f>
        <v>21581.207999999999</v>
      </c>
      <c r="O407" s="11">
        <f>(Table5[[#This Row],[final_sale_price]]-Table5[[#This Row],[cost_price]])*Table5[[#This Row],[quantity_sold ]]</f>
        <v>7193.7360000000008</v>
      </c>
      <c r="P407" s="11">
        <f>(Table5[final_sale_price]-Table5[[#This Row],[avg_comp_price]])</f>
        <v>568.09466666666685</v>
      </c>
      <c r="Q407" s="15">
        <f>(Table5[[#This Row],[final_sale_price]]-Table5[[#This Row],[avg_comp_price]])/Table5[[#This Row],[avg_comp_price]]</f>
        <v>0.18756592327807084</v>
      </c>
      <c r="R407" s="11">
        <f>Table5[[#This Row],[Profit]]/Table5[[#This Row],[Revenue]]</f>
        <v>0.33333333333333337</v>
      </c>
    </row>
    <row r="408" spans="1:18" x14ac:dyDescent="0.2">
      <c r="A408" s="4">
        <v>407</v>
      </c>
      <c r="B408" s="4">
        <v>6</v>
      </c>
      <c r="C408" s="6">
        <v>45884</v>
      </c>
      <c r="D408" s="4">
        <v>33</v>
      </c>
      <c r="E408" s="4">
        <v>8</v>
      </c>
      <c r="F408" s="12">
        <f t="shared" si="6"/>
        <v>3795.1656000000003</v>
      </c>
      <c r="G408" t="str">
        <f>VLOOKUP(B408,product_tbl[],2,FALSE)</f>
        <v>Microwave 6</v>
      </c>
      <c r="H408" t="str">
        <f>VLOOKUP(B408,product_tbl[],3,FALSE)</f>
        <v>Home Appliances</v>
      </c>
      <c r="I408">
        <v>2475.1080000000002</v>
      </c>
      <c r="J408">
        <f>VLOOKUP(B408,product_tbl[],5,FALSE)</f>
        <v>4125.18</v>
      </c>
      <c r="K408">
        <f>VLOOKUP(B408,review_tbl[],3,FALSE)</f>
        <v>5</v>
      </c>
      <c r="L408" s="11">
        <v>5028.9951031379114</v>
      </c>
      <c r="M408" s="11">
        <f>AVERAGEIF(Table1[product_id],Master_tbl!B408:B1409,Table1[competitor_price])</f>
        <v>6862.0275000000001</v>
      </c>
      <c r="N408" s="11">
        <f>IFERROR(Table5[[#This Row],[final_sale_price]]*Table5[[#This Row],[quantity_sold ]],0)</f>
        <v>125240.46480000002</v>
      </c>
      <c r="O408" s="11">
        <f>(Table5[[#This Row],[final_sale_price]]-Table5[[#This Row],[cost_price]])*Table5[[#This Row],[quantity_sold ]]</f>
        <v>43561.900800000003</v>
      </c>
      <c r="P408" s="11">
        <f>(Table5[final_sale_price]-Table5[[#This Row],[avg_comp_price]])</f>
        <v>-3066.8618999999999</v>
      </c>
      <c r="Q408" s="15">
        <f>(Table5[[#This Row],[final_sale_price]]-Table5[[#This Row],[avg_comp_price]])/Table5[[#This Row],[avg_comp_price]]</f>
        <v>-0.44693232430211038</v>
      </c>
      <c r="R408" s="11">
        <f>Table5[[#This Row],[Profit]]/Table5[[#This Row],[Revenue]]</f>
        <v>0.34782608695652173</v>
      </c>
    </row>
    <row r="409" spans="1:18" x14ac:dyDescent="0.2">
      <c r="A409" s="5">
        <v>408</v>
      </c>
      <c r="B409" s="5">
        <v>11</v>
      </c>
      <c r="C409" s="7">
        <v>45640</v>
      </c>
      <c r="D409" s="5">
        <v>3</v>
      </c>
      <c r="E409" s="4">
        <v>4</v>
      </c>
      <c r="F409" s="12">
        <f t="shared" si="6"/>
        <v>3072.1919999999996</v>
      </c>
      <c r="G409" t="str">
        <f>VLOOKUP(B409,product_tbl[],2,FALSE)</f>
        <v>Remote Car 11</v>
      </c>
      <c r="H409" t="str">
        <f>VLOOKUP(B409,product_tbl[],3,FALSE)</f>
        <v>Toys</v>
      </c>
      <c r="I409">
        <v>1920.12</v>
      </c>
      <c r="J409">
        <f>VLOOKUP(B409,product_tbl[],5,FALSE)</f>
        <v>3200.2</v>
      </c>
      <c r="K409">
        <f>VLOOKUP(B409,review_tbl[],3,FALSE)</f>
        <v>1</v>
      </c>
      <c r="L409" s="11">
        <v>3955.8073186369566</v>
      </c>
      <c r="M409" s="11">
        <f>AVERAGEIF(Table1[product_id],Master_tbl!B409:B1410,Table1[competitor_price])</f>
        <v>7089.33</v>
      </c>
      <c r="N409" s="11">
        <f>IFERROR(Table5[[#This Row],[final_sale_price]]*Table5[[#This Row],[quantity_sold ]],0)</f>
        <v>9216.5759999999991</v>
      </c>
      <c r="O409" s="11">
        <f>(Table5[[#This Row],[final_sale_price]]-Table5[[#This Row],[cost_price]])*Table5[[#This Row],[quantity_sold ]]</f>
        <v>3456.215999999999</v>
      </c>
      <c r="P409" s="11">
        <f>(Table5[final_sale_price]-Table5[[#This Row],[avg_comp_price]])</f>
        <v>-4017.1380000000004</v>
      </c>
      <c r="Q409" s="15">
        <f>(Table5[[#This Row],[final_sale_price]]-Table5[[#This Row],[avg_comp_price]])/Table5[[#This Row],[avg_comp_price]]</f>
        <v>-0.56664564916571813</v>
      </c>
      <c r="R409" s="11">
        <f>Table5[[#This Row],[Profit]]/Table5[[#This Row],[Revenue]]</f>
        <v>0.37499999999999994</v>
      </c>
    </row>
    <row r="410" spans="1:18" x14ac:dyDescent="0.2">
      <c r="A410" s="4">
        <v>409</v>
      </c>
      <c r="B410" s="4">
        <v>96</v>
      </c>
      <c r="C410" s="6">
        <v>45581</v>
      </c>
      <c r="D410" s="4">
        <v>23</v>
      </c>
      <c r="E410" s="4">
        <v>9</v>
      </c>
      <c r="F410" s="12">
        <f t="shared" si="6"/>
        <v>4899.8404</v>
      </c>
      <c r="G410" t="str">
        <f>VLOOKUP(B410,product_tbl[],2,FALSE)</f>
        <v>Gym Gloves 96</v>
      </c>
      <c r="H410" t="str">
        <f>VLOOKUP(B410,product_tbl[],3,FALSE)</f>
        <v>Sports</v>
      </c>
      <c r="I410">
        <v>3230.6639999999998</v>
      </c>
      <c r="J410">
        <f>VLOOKUP(B410,product_tbl[],5,FALSE)</f>
        <v>5384.44</v>
      </c>
      <c r="K410">
        <f>VLOOKUP(B410,review_tbl[],3,FALSE)</f>
        <v>3</v>
      </c>
      <c r="L410" s="11">
        <v>5927.5563548591517</v>
      </c>
      <c r="M410" s="11">
        <f>AVERAGEIF(Table1[product_id],Master_tbl!B410:B1411,Table1[competitor_price])</f>
        <v>3578.9180000000001</v>
      </c>
      <c r="N410" s="11">
        <f>IFERROR(Table5[[#This Row],[final_sale_price]]*Table5[[#This Row],[quantity_sold ]],0)</f>
        <v>112696.32920000001</v>
      </c>
      <c r="O410" s="11">
        <f>(Table5[[#This Row],[final_sale_price]]-Table5[[#This Row],[cost_price]])*Table5[[#This Row],[quantity_sold ]]</f>
        <v>38391.05720000001</v>
      </c>
      <c r="P410" s="11">
        <f>(Table5[final_sale_price]-Table5[[#This Row],[avg_comp_price]])</f>
        <v>1320.9223999999999</v>
      </c>
      <c r="Q410" s="15">
        <f>(Table5[[#This Row],[final_sale_price]]-Table5[[#This Row],[avg_comp_price]])/Table5[[#This Row],[avg_comp_price]]</f>
        <v>0.36908428748577082</v>
      </c>
      <c r="R410" s="11">
        <f>Table5[[#This Row],[Profit]]/Table5[[#This Row],[Revenue]]</f>
        <v>0.34065934065934073</v>
      </c>
    </row>
    <row r="411" spans="1:18" x14ac:dyDescent="0.2">
      <c r="A411" s="5">
        <v>410</v>
      </c>
      <c r="B411" s="5">
        <v>115</v>
      </c>
      <c r="C411" s="7">
        <v>45247</v>
      </c>
      <c r="D411" s="5">
        <v>11</v>
      </c>
      <c r="E411" s="4">
        <v>4</v>
      </c>
      <c r="F411" s="12">
        <f t="shared" si="6"/>
        <v>4503.6287999999995</v>
      </c>
      <c r="G411" t="str">
        <f>VLOOKUP(B411,product_tbl[],2,FALSE)</f>
        <v>Children Story Book 115</v>
      </c>
      <c r="H411" t="str">
        <f>VLOOKUP(B411,product_tbl[],3,FALSE)</f>
        <v>Books</v>
      </c>
      <c r="I411">
        <v>2814.7679999999996</v>
      </c>
      <c r="J411">
        <f>VLOOKUP(B411,product_tbl[],5,FALSE)</f>
        <v>4691.28</v>
      </c>
      <c r="K411">
        <f>VLOOKUP(B411,review_tbl[],3,FALSE)</f>
        <v>2</v>
      </c>
      <c r="L411" s="11">
        <v>6047.3199764585188</v>
      </c>
      <c r="M411" s="11">
        <f>AVERAGEIF(Table1[product_id],Master_tbl!B411:B1412,Table1[competitor_price])</f>
        <v>4456.5325000000003</v>
      </c>
      <c r="N411" s="11">
        <f>IFERROR(Table5[[#This Row],[final_sale_price]]*Table5[[#This Row],[quantity_sold ]],0)</f>
        <v>49539.916799999992</v>
      </c>
      <c r="O411" s="11">
        <f>(Table5[[#This Row],[final_sale_price]]-Table5[[#This Row],[cost_price]])*Table5[[#This Row],[quantity_sold ]]</f>
        <v>18577.468799999999</v>
      </c>
      <c r="P411" s="11">
        <f>(Table5[final_sale_price]-Table5[[#This Row],[avg_comp_price]])</f>
        <v>47.096299999999246</v>
      </c>
      <c r="Q411" s="15">
        <f>(Table5[[#This Row],[final_sale_price]]-Table5[[#This Row],[avg_comp_price]])/Table5[[#This Row],[avg_comp_price]]</f>
        <v>1.0567924726230369E-2</v>
      </c>
      <c r="R411" s="11">
        <f>Table5[[#This Row],[Profit]]/Table5[[#This Row],[Revenue]]</f>
        <v>0.37500000000000006</v>
      </c>
    </row>
    <row r="412" spans="1:18" x14ac:dyDescent="0.2">
      <c r="A412" s="4">
        <v>411</v>
      </c>
      <c r="B412" s="4">
        <v>135</v>
      </c>
      <c r="C412" s="6">
        <v>45157</v>
      </c>
      <c r="D412" s="4">
        <v>19</v>
      </c>
      <c r="E412" s="4">
        <v>7</v>
      </c>
      <c r="F412" s="12">
        <f t="shared" si="6"/>
        <v>7235.1302999999998</v>
      </c>
      <c r="G412" t="str">
        <f>VLOOKUP(B412,product_tbl[],2,FALSE)</f>
        <v>Water Purifier 135</v>
      </c>
      <c r="H412" t="str">
        <f>VLOOKUP(B412,product_tbl[],3,FALSE)</f>
        <v>Home Appliances</v>
      </c>
      <c r="I412">
        <v>4667.826</v>
      </c>
      <c r="J412">
        <f>VLOOKUP(B412,product_tbl[],5,FALSE)</f>
        <v>7779.71</v>
      </c>
      <c r="K412">
        <f>VLOOKUP(B412,review_tbl[],3,FALSE)</f>
        <v>5</v>
      </c>
      <c r="L412" s="11">
        <v>8803.3663250500904</v>
      </c>
      <c r="M412" s="11">
        <f>AVERAGEIF(Table1[product_id],Master_tbl!B412:B1413,Table1[competitor_price])</f>
        <v>4172.7833333333338</v>
      </c>
      <c r="N412" s="11">
        <f>IFERROR(Table5[[#This Row],[final_sale_price]]*Table5[[#This Row],[quantity_sold ]],0)</f>
        <v>137467.47570000001</v>
      </c>
      <c r="O412" s="11">
        <f>(Table5[[#This Row],[final_sale_price]]-Table5[[#This Row],[cost_price]])*Table5[[#This Row],[quantity_sold ]]</f>
        <v>48778.781699999992</v>
      </c>
      <c r="P412" s="11">
        <f>(Table5[final_sale_price]-Table5[[#This Row],[avg_comp_price]])</f>
        <v>3062.346966666666</v>
      </c>
      <c r="Q412" s="15">
        <f>(Table5[[#This Row],[final_sale_price]]-Table5[[#This Row],[avg_comp_price]])/Table5[[#This Row],[avg_comp_price]]</f>
        <v>0.73388592745849068</v>
      </c>
      <c r="R412" s="11">
        <f>Table5[[#This Row],[Profit]]/Table5[[#This Row],[Revenue]]</f>
        <v>0.35483870967741926</v>
      </c>
    </row>
    <row r="413" spans="1:18" x14ac:dyDescent="0.2">
      <c r="A413" s="5">
        <v>412</v>
      </c>
      <c r="B413" s="5">
        <v>147</v>
      </c>
      <c r="C413" s="7">
        <v>45028</v>
      </c>
      <c r="D413" s="5">
        <v>15</v>
      </c>
      <c r="E413" s="4">
        <v>6</v>
      </c>
      <c r="F413" s="12">
        <f t="shared" si="6"/>
        <v>4309.2607999999991</v>
      </c>
      <c r="G413" t="str">
        <f>VLOOKUP(B413,product_tbl[],2,FALSE)</f>
        <v>Cricket Bat 147</v>
      </c>
      <c r="H413" t="str">
        <f>VLOOKUP(B413,product_tbl[],3,FALSE)</f>
        <v>Sports</v>
      </c>
      <c r="I413">
        <v>2750.5919999999996</v>
      </c>
      <c r="J413">
        <f>VLOOKUP(B413,product_tbl[],5,FALSE)</f>
        <v>4584.32</v>
      </c>
      <c r="K413">
        <f>VLOOKUP(B413,review_tbl[],3,FALSE)</f>
        <v>1</v>
      </c>
      <c r="L413" s="11">
        <v>5891.0845024949031</v>
      </c>
      <c r="M413" s="11">
        <f>AVERAGEIF(Table1[product_id],Master_tbl!B413:B1414,Table1[competitor_price])</f>
        <v>769.14</v>
      </c>
      <c r="N413" s="11">
        <f>IFERROR(Table5[[#This Row],[final_sale_price]]*Table5[[#This Row],[quantity_sold ]],0)</f>
        <v>64638.911999999989</v>
      </c>
      <c r="O413" s="11">
        <f>(Table5[[#This Row],[final_sale_price]]-Table5[[#This Row],[cost_price]])*Table5[[#This Row],[quantity_sold ]]</f>
        <v>23380.031999999992</v>
      </c>
      <c r="P413" s="11">
        <f>(Table5[final_sale_price]-Table5[[#This Row],[avg_comp_price]])</f>
        <v>3540.1207999999992</v>
      </c>
      <c r="Q413" s="15">
        <f>(Table5[[#This Row],[final_sale_price]]-Table5[[#This Row],[avg_comp_price]])/Table5[[#This Row],[avg_comp_price]]</f>
        <v>4.602700158618716</v>
      </c>
      <c r="R413" s="11">
        <f>Table5[[#This Row],[Profit]]/Table5[[#This Row],[Revenue]]</f>
        <v>0.36170212765957438</v>
      </c>
    </row>
    <row r="414" spans="1:18" x14ac:dyDescent="0.2">
      <c r="A414" s="4">
        <v>413</v>
      </c>
      <c r="B414" s="4">
        <v>118</v>
      </c>
      <c r="C414" s="6">
        <v>45827</v>
      </c>
      <c r="D414" s="4">
        <v>35</v>
      </c>
      <c r="E414" s="4">
        <v>10</v>
      </c>
      <c r="F414" s="12">
        <f t="shared" si="6"/>
        <v>2834.3250000000003</v>
      </c>
      <c r="G414" t="str">
        <f>VLOOKUP(B414,product_tbl[],2,FALSE)</f>
        <v>Doll 118</v>
      </c>
      <c r="H414" t="str">
        <f>VLOOKUP(B414,product_tbl[],3,FALSE)</f>
        <v>Toys</v>
      </c>
      <c r="I414">
        <v>1889.55</v>
      </c>
      <c r="J414">
        <f>VLOOKUP(B414,product_tbl[],5,FALSE)</f>
        <v>3149.25</v>
      </c>
      <c r="K414">
        <f>VLOOKUP(B414,review_tbl[],3,FALSE)</f>
        <v>5</v>
      </c>
      <c r="L414" s="11">
        <v>3252.9138205417726</v>
      </c>
      <c r="M414" s="11">
        <f>AVERAGEIF(Table1[product_id],Master_tbl!B414:B1415,Table1[competitor_price])</f>
        <v>224.52399999999997</v>
      </c>
      <c r="N414" s="11">
        <f>IFERROR(Table5[[#This Row],[final_sale_price]]*Table5[[#This Row],[quantity_sold ]],0)</f>
        <v>99201.375000000015</v>
      </c>
      <c r="O414" s="11">
        <f>(Table5[[#This Row],[final_sale_price]]-Table5[[#This Row],[cost_price]])*Table5[[#This Row],[quantity_sold ]]</f>
        <v>33067.125000000015</v>
      </c>
      <c r="P414" s="11">
        <f>(Table5[final_sale_price]-Table5[[#This Row],[avg_comp_price]])</f>
        <v>2609.8010000000004</v>
      </c>
      <c r="Q414" s="15">
        <f>(Table5[[#This Row],[final_sale_price]]-Table5[[#This Row],[avg_comp_price]])/Table5[[#This Row],[avg_comp_price]]</f>
        <v>11.623706151680892</v>
      </c>
      <c r="R414" s="11">
        <f>Table5[[#This Row],[Profit]]/Table5[[#This Row],[Revenue]]</f>
        <v>0.33333333333333343</v>
      </c>
    </row>
    <row r="415" spans="1:18" x14ac:dyDescent="0.2">
      <c r="A415" s="5">
        <v>414</v>
      </c>
      <c r="B415" s="5">
        <v>110</v>
      </c>
      <c r="C415" s="7">
        <v>45124</v>
      </c>
      <c r="D415" s="5">
        <v>33</v>
      </c>
      <c r="E415" s="4">
        <v>8</v>
      </c>
      <c r="F415" s="12">
        <f t="shared" si="6"/>
        <v>1429.8732</v>
      </c>
      <c r="G415" t="str">
        <f>VLOOKUP(B415,product_tbl[],2,FALSE)</f>
        <v>Cookbook 110</v>
      </c>
      <c r="H415" t="str">
        <f>VLOOKUP(B415,product_tbl[],3,FALSE)</f>
        <v>Books</v>
      </c>
      <c r="I415">
        <v>932.52599999999995</v>
      </c>
      <c r="J415">
        <f>VLOOKUP(B415,product_tbl[],5,FALSE)</f>
        <v>1554.21</v>
      </c>
      <c r="K415">
        <f>VLOOKUP(B415,review_tbl[],3,FALSE)</f>
        <v>3</v>
      </c>
      <c r="L415" s="11">
        <v>1909.5174185400322</v>
      </c>
      <c r="M415" s="11">
        <f>AVERAGEIF(Table1[product_id],Master_tbl!B415:B1416,Table1[competitor_price])</f>
        <v>764.66499999999996</v>
      </c>
      <c r="N415" s="11">
        <f>IFERROR(Table5[[#This Row],[final_sale_price]]*Table5[[#This Row],[quantity_sold ]],0)</f>
        <v>47185.815600000002</v>
      </c>
      <c r="O415" s="11">
        <f>(Table5[[#This Row],[final_sale_price]]-Table5[[#This Row],[cost_price]])*Table5[[#This Row],[quantity_sold ]]</f>
        <v>16412.457600000002</v>
      </c>
      <c r="P415" s="11">
        <f>(Table5[final_sale_price]-Table5[[#This Row],[avg_comp_price]])</f>
        <v>665.20820000000003</v>
      </c>
      <c r="Q415" s="15">
        <f>(Table5[[#This Row],[final_sale_price]]-Table5[[#This Row],[avg_comp_price]])/Table5[[#This Row],[avg_comp_price]]</f>
        <v>0.86993415417208853</v>
      </c>
      <c r="R415" s="11">
        <f>Table5[[#This Row],[Profit]]/Table5[[#This Row],[Revenue]]</f>
        <v>0.34782608695652178</v>
      </c>
    </row>
    <row r="416" spans="1:18" x14ac:dyDescent="0.2">
      <c r="A416" s="4">
        <v>415</v>
      </c>
      <c r="B416" s="4">
        <v>64</v>
      </c>
      <c r="C416" s="6">
        <v>45382</v>
      </c>
      <c r="D416" s="4">
        <v>36</v>
      </c>
      <c r="E416" s="4">
        <v>4</v>
      </c>
      <c r="F416" s="12">
        <f t="shared" si="6"/>
        <v>3072</v>
      </c>
      <c r="G416" t="str">
        <f>VLOOKUP(B416,product_tbl[],2,FALSE)</f>
        <v>Children Story Book 64</v>
      </c>
      <c r="H416" t="str">
        <f>VLOOKUP(B416,product_tbl[],3,FALSE)</f>
        <v>Books</v>
      </c>
      <c r="I416">
        <v>1920</v>
      </c>
      <c r="J416">
        <f>VLOOKUP(B416,product_tbl[],5,FALSE)</f>
        <v>3200</v>
      </c>
      <c r="K416">
        <f>VLOOKUP(B416,review_tbl[],3,FALSE)</f>
        <v>2</v>
      </c>
      <c r="L416" s="11">
        <v>4149.384645211001</v>
      </c>
      <c r="M416" s="11">
        <f>AVERAGEIF(Table1[product_id],Master_tbl!B416:B1417,Table1[competitor_price])</f>
        <v>3782.0099999999998</v>
      </c>
      <c r="N416" s="11">
        <f>IFERROR(Table5[[#This Row],[final_sale_price]]*Table5[[#This Row],[quantity_sold ]],0)</f>
        <v>110592</v>
      </c>
      <c r="O416" s="11">
        <f>(Table5[[#This Row],[final_sale_price]]-Table5[[#This Row],[cost_price]])*Table5[[#This Row],[quantity_sold ]]</f>
        <v>41472</v>
      </c>
      <c r="P416" s="11">
        <f>(Table5[final_sale_price]-Table5[[#This Row],[avg_comp_price]])</f>
        <v>-710.00999999999976</v>
      </c>
      <c r="Q416" s="15">
        <f>(Table5[[#This Row],[final_sale_price]]-Table5[[#This Row],[avg_comp_price]])/Table5[[#This Row],[avg_comp_price]]</f>
        <v>-0.18773350678607403</v>
      </c>
      <c r="R416" s="11">
        <f>Table5[[#This Row],[Profit]]/Table5[[#This Row],[Revenue]]</f>
        <v>0.375</v>
      </c>
    </row>
    <row r="417" spans="1:18" x14ac:dyDescent="0.2">
      <c r="A417" s="5">
        <v>416</v>
      </c>
      <c r="B417" s="5">
        <v>54</v>
      </c>
      <c r="C417" s="7">
        <v>45075</v>
      </c>
      <c r="D417" s="5">
        <v>4</v>
      </c>
      <c r="E417" s="4">
        <v>7</v>
      </c>
      <c r="F417" s="12">
        <f t="shared" si="6"/>
        <v>864.48149999999987</v>
      </c>
      <c r="G417" t="str">
        <f>VLOOKUP(B417,product_tbl[],2,FALSE)</f>
        <v>Cookbook 54</v>
      </c>
      <c r="H417" t="str">
        <f>VLOOKUP(B417,product_tbl[],3,FALSE)</f>
        <v>Books</v>
      </c>
      <c r="I417">
        <v>557.7299999999999</v>
      </c>
      <c r="J417">
        <f>VLOOKUP(B417,product_tbl[],5,FALSE)</f>
        <v>929.55</v>
      </c>
      <c r="K417">
        <f>VLOOKUP(B417,review_tbl[],3,FALSE)</f>
        <v>3</v>
      </c>
      <c r="L417" s="11">
        <v>1180.0307595741174</v>
      </c>
      <c r="M417" s="11">
        <f>AVERAGEIF(Table1[product_id],Master_tbl!B417:B1418,Table1[competitor_price])</f>
        <v>2958.2974999999997</v>
      </c>
      <c r="N417" s="11">
        <f>IFERROR(Table5[[#This Row],[final_sale_price]]*Table5[[#This Row],[quantity_sold ]],0)</f>
        <v>3457.9259999999995</v>
      </c>
      <c r="O417" s="11">
        <f>(Table5[[#This Row],[final_sale_price]]-Table5[[#This Row],[cost_price]])*Table5[[#This Row],[quantity_sold ]]</f>
        <v>1227.0059999999999</v>
      </c>
      <c r="P417" s="11">
        <f>(Table5[final_sale_price]-Table5[[#This Row],[avg_comp_price]])</f>
        <v>-2093.8159999999998</v>
      </c>
      <c r="Q417" s="15">
        <f>(Table5[[#This Row],[final_sale_price]]-Table5[[#This Row],[avg_comp_price]])/Table5[[#This Row],[avg_comp_price]]</f>
        <v>-0.70777736181029804</v>
      </c>
      <c r="R417" s="11">
        <f>Table5[[#This Row],[Profit]]/Table5[[#This Row],[Revenue]]</f>
        <v>0.35483870967741937</v>
      </c>
    </row>
    <row r="418" spans="1:18" x14ac:dyDescent="0.2">
      <c r="A418" s="4">
        <v>417</v>
      </c>
      <c r="B418" s="4">
        <v>149</v>
      </c>
      <c r="C418" s="6">
        <v>46002</v>
      </c>
      <c r="D418" s="4">
        <v>15</v>
      </c>
      <c r="E418" s="4">
        <v>9</v>
      </c>
      <c r="F418" s="12">
        <f t="shared" si="6"/>
        <v>5576.2798000000003</v>
      </c>
      <c r="G418" t="str">
        <f>VLOOKUP(B418,product_tbl[],2,FALSE)</f>
        <v>Smartphone 149</v>
      </c>
      <c r="H418" t="str">
        <f>VLOOKUP(B418,product_tbl[],3,FALSE)</f>
        <v>Electronics</v>
      </c>
      <c r="I418">
        <v>3676.6679999999997</v>
      </c>
      <c r="J418">
        <f>VLOOKUP(B418,product_tbl[],5,FALSE)</f>
        <v>6127.78</v>
      </c>
      <c r="K418">
        <f>VLOOKUP(B418,review_tbl[],3,FALSE)</f>
        <v>4</v>
      </c>
      <c r="L418" s="11">
        <v>6265.6872846356737</v>
      </c>
      <c r="M418" s="11">
        <f>AVERAGEIF(Table1[product_id],Master_tbl!B418:B1419,Table1[competitor_price])</f>
        <v>3159.4639999999999</v>
      </c>
      <c r="N418" s="11">
        <f>IFERROR(Table5[[#This Row],[final_sale_price]]*Table5[[#This Row],[quantity_sold ]],0)</f>
        <v>83644.197</v>
      </c>
      <c r="O418" s="11">
        <f>(Table5[[#This Row],[final_sale_price]]-Table5[[#This Row],[cost_price]])*Table5[[#This Row],[quantity_sold ]]</f>
        <v>28494.177000000011</v>
      </c>
      <c r="P418" s="11">
        <f>(Table5[final_sale_price]-Table5[[#This Row],[avg_comp_price]])</f>
        <v>2416.8158000000003</v>
      </c>
      <c r="Q418" s="15">
        <f>(Table5[[#This Row],[final_sale_price]]-Table5[[#This Row],[avg_comp_price]])/Table5[[#This Row],[avg_comp_price]]</f>
        <v>0.76494487672592582</v>
      </c>
      <c r="R418" s="11">
        <f>Table5[[#This Row],[Profit]]/Table5[[#This Row],[Revenue]]</f>
        <v>0.34065934065934078</v>
      </c>
    </row>
    <row r="419" spans="1:18" x14ac:dyDescent="0.2">
      <c r="A419" s="5">
        <v>418</v>
      </c>
      <c r="B419" s="5">
        <v>128</v>
      </c>
      <c r="C419" s="7">
        <v>45572</v>
      </c>
      <c r="D419" s="5">
        <v>1</v>
      </c>
      <c r="E419" s="4">
        <v>4</v>
      </c>
      <c r="F419" s="12">
        <f t="shared" si="6"/>
        <v>5052.0960000000005</v>
      </c>
      <c r="G419" t="str">
        <f>VLOOKUP(B419,product_tbl[],2,FALSE)</f>
        <v>Coffee Beans 128</v>
      </c>
      <c r="H419" t="str">
        <f>VLOOKUP(B419,product_tbl[],3,FALSE)</f>
        <v>Grocery</v>
      </c>
      <c r="I419">
        <v>3157.56</v>
      </c>
      <c r="J419">
        <f>VLOOKUP(B419,product_tbl[],5,FALSE)</f>
        <v>5262.6</v>
      </c>
      <c r="K419">
        <f>VLOOKUP(B419,review_tbl[],3,FALSE)</f>
        <v>4</v>
      </c>
      <c r="L419" s="11">
        <v>6799.0749391169156</v>
      </c>
      <c r="M419" s="11">
        <f>AVERAGEIF(Table1[product_id],Master_tbl!B419:B1420,Table1[competitor_price])</f>
        <v>1349.8883333333335</v>
      </c>
      <c r="N419" s="11">
        <f>IFERROR(Table5[[#This Row],[final_sale_price]]*Table5[[#This Row],[quantity_sold ]],0)</f>
        <v>5052.0960000000005</v>
      </c>
      <c r="O419" s="11">
        <f>(Table5[[#This Row],[final_sale_price]]-Table5[[#This Row],[cost_price]])*Table5[[#This Row],[quantity_sold ]]</f>
        <v>1894.5360000000005</v>
      </c>
      <c r="P419" s="11">
        <f>(Table5[final_sale_price]-Table5[[#This Row],[avg_comp_price]])</f>
        <v>3702.2076666666671</v>
      </c>
      <c r="Q419" s="15">
        <f>(Table5[[#This Row],[final_sale_price]]-Table5[[#This Row],[avg_comp_price]])/Table5[[#This Row],[avg_comp_price]]</f>
        <v>2.7426029066601805</v>
      </c>
      <c r="R419" s="11">
        <f>Table5[[#This Row],[Profit]]/Table5[[#This Row],[Revenue]]</f>
        <v>0.37500000000000006</v>
      </c>
    </row>
    <row r="420" spans="1:18" x14ac:dyDescent="0.2">
      <c r="A420" s="4">
        <v>419</v>
      </c>
      <c r="B420" s="4">
        <v>70</v>
      </c>
      <c r="C420" s="6">
        <v>45176</v>
      </c>
      <c r="D420" s="4">
        <v>48</v>
      </c>
      <c r="E420" s="4">
        <v>5</v>
      </c>
      <c r="F420" s="12">
        <f t="shared" si="6"/>
        <v>3828.2624999999998</v>
      </c>
      <c r="G420" t="str">
        <f>VLOOKUP(B420,product_tbl[],2,FALSE)</f>
        <v>Green Tea 70</v>
      </c>
      <c r="H420" t="str">
        <f>VLOOKUP(B420,product_tbl[],3,FALSE)</f>
        <v>Grocery</v>
      </c>
      <c r="I420">
        <v>2417.85</v>
      </c>
      <c r="J420">
        <f>VLOOKUP(B420,product_tbl[],5,FALSE)</f>
        <v>4029.75</v>
      </c>
      <c r="K420">
        <f>VLOOKUP(B420,review_tbl[],3,FALSE)</f>
        <v>1</v>
      </c>
      <c r="L420" s="11">
        <v>5177.4069517070348</v>
      </c>
      <c r="M420" s="11">
        <f>AVERAGEIF(Table1[product_id],Master_tbl!B420:B1421,Table1[competitor_price])</f>
        <v>2158.7083333333335</v>
      </c>
      <c r="N420" s="11">
        <f>IFERROR(Table5[[#This Row],[final_sale_price]]*Table5[[#This Row],[quantity_sold ]],0)</f>
        <v>183756.59999999998</v>
      </c>
      <c r="O420" s="11">
        <f>(Table5[[#This Row],[final_sale_price]]-Table5[[#This Row],[cost_price]])*Table5[[#This Row],[quantity_sold ]]</f>
        <v>67699.799999999988</v>
      </c>
      <c r="P420" s="11">
        <f>(Table5[final_sale_price]-Table5[[#This Row],[avg_comp_price]])</f>
        <v>1669.5541666666663</v>
      </c>
      <c r="Q420" s="15">
        <f>(Table5[[#This Row],[final_sale_price]]-Table5[[#This Row],[avg_comp_price]])/Table5[[#This Row],[avg_comp_price]]</f>
        <v>0.77340423478546183</v>
      </c>
      <c r="R420" s="11">
        <f>Table5[[#This Row],[Profit]]/Table5[[#This Row],[Revenue]]</f>
        <v>0.36842105263157893</v>
      </c>
    </row>
    <row r="421" spans="1:18" x14ac:dyDescent="0.2">
      <c r="A421" s="5">
        <v>420</v>
      </c>
      <c r="B421" s="5">
        <v>142</v>
      </c>
      <c r="C421" s="7">
        <v>45427</v>
      </c>
      <c r="D421" s="5">
        <v>1</v>
      </c>
      <c r="E421" s="4">
        <v>10</v>
      </c>
      <c r="F421" s="12">
        <f t="shared" si="6"/>
        <v>2684.1060000000002</v>
      </c>
      <c r="G421" t="str">
        <f>VLOOKUP(B421,product_tbl[],2,FALSE)</f>
        <v>Jeans 142</v>
      </c>
      <c r="H421" t="str">
        <f>VLOOKUP(B421,product_tbl[],3,FALSE)</f>
        <v>Fashion</v>
      </c>
      <c r="I421">
        <v>1789.404</v>
      </c>
      <c r="J421">
        <f>VLOOKUP(B421,product_tbl[],5,FALSE)</f>
        <v>2982.34</v>
      </c>
      <c r="K421">
        <f>VLOOKUP(B421,review_tbl[],3,FALSE)</f>
        <v>4</v>
      </c>
      <c r="L421" s="11">
        <v>3607.8452767758231</v>
      </c>
      <c r="M421" s="11">
        <f>AVERAGEIF(Table1[product_id],Master_tbl!B421:B1422,Table1[competitor_price])</f>
        <v>2210.1966666666667</v>
      </c>
      <c r="N421" s="11">
        <f>IFERROR(Table5[[#This Row],[final_sale_price]]*Table5[[#This Row],[quantity_sold ]],0)</f>
        <v>2684.1060000000002</v>
      </c>
      <c r="O421" s="11">
        <f>(Table5[[#This Row],[final_sale_price]]-Table5[[#This Row],[cost_price]])*Table5[[#This Row],[quantity_sold ]]</f>
        <v>894.70200000000023</v>
      </c>
      <c r="P421" s="11">
        <f>(Table5[final_sale_price]-Table5[[#This Row],[avg_comp_price]])</f>
        <v>473.90933333333351</v>
      </c>
      <c r="Q421" s="15">
        <f>(Table5[[#This Row],[final_sale_price]]-Table5[[#This Row],[avg_comp_price]])/Table5[[#This Row],[avg_comp_price]]</f>
        <v>0.21441953129359537</v>
      </c>
      <c r="R421" s="11">
        <f>Table5[[#This Row],[Profit]]/Table5[[#This Row],[Revenue]]</f>
        <v>0.33333333333333337</v>
      </c>
    </row>
    <row r="422" spans="1:18" x14ac:dyDescent="0.2">
      <c r="A422" s="4">
        <v>421</v>
      </c>
      <c r="B422" s="4">
        <v>57</v>
      </c>
      <c r="C422" s="6">
        <v>45361</v>
      </c>
      <c r="D422" s="4">
        <v>30</v>
      </c>
      <c r="E422" s="4">
        <v>7</v>
      </c>
      <c r="F422" s="12">
        <f t="shared" si="6"/>
        <v>6334.9274999999998</v>
      </c>
      <c r="G422" t="str">
        <f>VLOOKUP(B422,product_tbl[],2,FALSE)</f>
        <v>Face Wash 57</v>
      </c>
      <c r="H422" t="str">
        <f>VLOOKUP(B422,product_tbl[],3,FALSE)</f>
        <v>Beauty</v>
      </c>
      <c r="I422">
        <v>4087.0499999999997</v>
      </c>
      <c r="J422">
        <f>VLOOKUP(B422,product_tbl[],5,FALSE)</f>
        <v>6811.75</v>
      </c>
      <c r="K422">
        <f>VLOOKUP(B422,review_tbl[],3,FALSE)</f>
        <v>2</v>
      </c>
      <c r="L422" s="11">
        <v>7548.8195634868844</v>
      </c>
      <c r="M422" s="11">
        <f>AVERAGEIF(Table1[product_id],Master_tbl!B422:B1423,Table1[competitor_price])</f>
        <v>1836.9825000000001</v>
      </c>
      <c r="N422" s="11">
        <f>IFERROR(Table5[[#This Row],[final_sale_price]]*Table5[[#This Row],[quantity_sold ]],0)</f>
        <v>190047.82499999998</v>
      </c>
      <c r="O422" s="11">
        <f>(Table5[[#This Row],[final_sale_price]]-Table5[[#This Row],[cost_price]])*Table5[[#This Row],[quantity_sold ]]</f>
        <v>67436.324999999997</v>
      </c>
      <c r="P422" s="11">
        <f>(Table5[final_sale_price]-Table5[[#This Row],[avg_comp_price]])</f>
        <v>4497.9449999999997</v>
      </c>
      <c r="Q422" s="15">
        <f>(Table5[[#This Row],[final_sale_price]]-Table5[[#This Row],[avg_comp_price]])/Table5[[#This Row],[avg_comp_price]]</f>
        <v>2.4485508163523604</v>
      </c>
      <c r="R422" s="11">
        <f>Table5[[#This Row],[Profit]]/Table5[[#This Row],[Revenue]]</f>
        <v>0.35483870967741937</v>
      </c>
    </row>
    <row r="423" spans="1:18" x14ac:dyDescent="0.2">
      <c r="A423" s="5">
        <v>422</v>
      </c>
      <c r="B423" s="5">
        <v>101</v>
      </c>
      <c r="C423" s="7">
        <v>45949</v>
      </c>
      <c r="D423" s="5">
        <v>43</v>
      </c>
      <c r="E423" s="4">
        <v>2</v>
      </c>
      <c r="F423" s="12">
        <f t="shared" si="6"/>
        <v>4625.8841999999995</v>
      </c>
      <c r="G423" t="str">
        <f>VLOOKUP(B423,product_tbl[],2,FALSE)</f>
        <v>Jacket 101</v>
      </c>
      <c r="H423" t="str">
        <f>VLOOKUP(B423,product_tbl[],3,FALSE)</f>
        <v>Fashion</v>
      </c>
      <c r="I423">
        <v>2832.174</v>
      </c>
      <c r="J423">
        <f>VLOOKUP(B423,product_tbl[],5,FALSE)</f>
        <v>4720.29</v>
      </c>
      <c r="K423">
        <f>VLOOKUP(B423,review_tbl[],3,FALSE)</f>
        <v>2</v>
      </c>
      <c r="L423" s="11">
        <v>5308.1130586419486</v>
      </c>
      <c r="M423" s="11">
        <f>AVERAGEIF(Table1[product_id],Master_tbl!B423:B1424,Table1[competitor_price])</f>
        <v>6068.0179999999991</v>
      </c>
      <c r="N423" s="11">
        <f>IFERROR(Table5[[#This Row],[final_sale_price]]*Table5[[#This Row],[quantity_sold ]],0)</f>
        <v>198913.02059999999</v>
      </c>
      <c r="O423" s="11">
        <f>(Table5[[#This Row],[final_sale_price]]-Table5[[#This Row],[cost_price]])*Table5[[#This Row],[quantity_sold ]]</f>
        <v>77129.538599999985</v>
      </c>
      <c r="P423" s="11">
        <f>(Table5[final_sale_price]-Table5[[#This Row],[avg_comp_price]])</f>
        <v>-1442.1337999999996</v>
      </c>
      <c r="Q423" s="15">
        <f>(Table5[[#This Row],[final_sale_price]]-Table5[[#This Row],[avg_comp_price]])/Table5[[#This Row],[avg_comp_price]]</f>
        <v>-0.23766142420803626</v>
      </c>
      <c r="R423" s="11">
        <f>Table5[[#This Row],[Profit]]/Table5[[#This Row],[Revenue]]</f>
        <v>0.38775510204081626</v>
      </c>
    </row>
    <row r="424" spans="1:18" x14ac:dyDescent="0.2">
      <c r="A424" s="4">
        <v>423</v>
      </c>
      <c r="B424" s="4">
        <v>29</v>
      </c>
      <c r="C424" s="6">
        <v>45328</v>
      </c>
      <c r="D424" s="4">
        <v>41</v>
      </c>
      <c r="E424" s="4">
        <v>4</v>
      </c>
      <c r="F424" s="12">
        <f t="shared" si="6"/>
        <v>7174.08</v>
      </c>
      <c r="G424" t="str">
        <f>VLOOKUP(B424,product_tbl[],2,FALSE)</f>
        <v>Smartwatch 29</v>
      </c>
      <c r="H424" t="str">
        <f>VLOOKUP(B424,product_tbl[],3,FALSE)</f>
        <v>Electronics</v>
      </c>
      <c r="I424">
        <v>4483.8</v>
      </c>
      <c r="J424">
        <f>VLOOKUP(B424,product_tbl[],5,FALSE)</f>
        <v>7473</v>
      </c>
      <c r="K424">
        <f>VLOOKUP(B424,review_tbl[],3,FALSE)</f>
        <v>2</v>
      </c>
      <c r="L424" s="11">
        <v>9437.1294236117046</v>
      </c>
      <c r="M424" s="11">
        <f>AVERAGEIF(Table1[product_id],Master_tbl!B424:B1425,Table1[competitor_price])</f>
        <v>1925.7060000000001</v>
      </c>
      <c r="N424" s="11">
        <f>IFERROR(Table5[[#This Row],[final_sale_price]]*Table5[[#This Row],[quantity_sold ]],0)</f>
        <v>294137.27999999997</v>
      </c>
      <c r="O424" s="11">
        <f>(Table5[[#This Row],[final_sale_price]]-Table5[[#This Row],[cost_price]])*Table5[[#This Row],[quantity_sold ]]</f>
        <v>110301.48</v>
      </c>
      <c r="P424" s="11">
        <f>(Table5[final_sale_price]-Table5[[#This Row],[avg_comp_price]])</f>
        <v>5248.3739999999998</v>
      </c>
      <c r="Q424" s="15">
        <f>(Table5[[#This Row],[final_sale_price]]-Table5[[#This Row],[avg_comp_price]])/Table5[[#This Row],[avg_comp_price]]</f>
        <v>2.7254284921997436</v>
      </c>
      <c r="R424" s="11">
        <f>Table5[[#This Row],[Profit]]/Table5[[#This Row],[Revenue]]</f>
        <v>0.375</v>
      </c>
    </row>
    <row r="425" spans="1:18" x14ac:dyDescent="0.2">
      <c r="A425" s="5">
        <v>424</v>
      </c>
      <c r="B425" s="5">
        <v>16</v>
      </c>
      <c r="C425" s="7">
        <v>45505</v>
      </c>
      <c r="D425" s="5">
        <v>8</v>
      </c>
      <c r="E425" s="4">
        <v>6</v>
      </c>
      <c r="F425" s="12">
        <f t="shared" si="6"/>
        <v>6346.692</v>
      </c>
      <c r="G425" t="str">
        <f>VLOOKUP(B425,product_tbl[],2,FALSE)</f>
        <v>Cookbook 16</v>
      </c>
      <c r="H425" t="str">
        <f>VLOOKUP(B425,product_tbl[],3,FALSE)</f>
        <v>Books</v>
      </c>
      <c r="I425">
        <v>4051.08</v>
      </c>
      <c r="J425">
        <f>VLOOKUP(B425,product_tbl[],5,FALSE)</f>
        <v>6751.8</v>
      </c>
      <c r="K425">
        <f>VLOOKUP(B425,review_tbl[],3,FALSE)</f>
        <v>4</v>
      </c>
      <c r="L425" s="11">
        <v>8298.1487226127701</v>
      </c>
      <c r="M425" s="11">
        <f>AVERAGEIF(Table1[product_id],Master_tbl!B425:B1426,Table1[competitor_price])</f>
        <v>6827.7939999999999</v>
      </c>
      <c r="N425" s="11">
        <f>IFERROR(Table5[[#This Row],[final_sale_price]]*Table5[[#This Row],[quantity_sold ]],0)</f>
        <v>50773.536</v>
      </c>
      <c r="O425" s="11">
        <f>(Table5[[#This Row],[final_sale_price]]-Table5[[#This Row],[cost_price]])*Table5[[#This Row],[quantity_sold ]]</f>
        <v>18364.896000000001</v>
      </c>
      <c r="P425" s="11">
        <f>(Table5[final_sale_price]-Table5[[#This Row],[avg_comp_price]])</f>
        <v>-481.10199999999986</v>
      </c>
      <c r="Q425" s="15">
        <f>(Table5[[#This Row],[final_sale_price]]-Table5[[#This Row],[avg_comp_price]])/Table5[[#This Row],[avg_comp_price]]</f>
        <v>-7.0462289869905256E-2</v>
      </c>
      <c r="R425" s="11">
        <f>Table5[[#This Row],[Profit]]/Table5[[#This Row],[Revenue]]</f>
        <v>0.36170212765957449</v>
      </c>
    </row>
    <row r="426" spans="1:18" x14ac:dyDescent="0.2">
      <c r="A426" s="4">
        <v>425</v>
      </c>
      <c r="B426" s="4">
        <v>53</v>
      </c>
      <c r="C426" s="6">
        <v>45458</v>
      </c>
      <c r="D426" s="4">
        <v>42</v>
      </c>
      <c r="E426" s="4">
        <v>3</v>
      </c>
      <c r="F426" s="12">
        <f t="shared" si="6"/>
        <v>3360.4776999999999</v>
      </c>
      <c r="G426" t="str">
        <f>VLOOKUP(B426,product_tbl[],2,FALSE)</f>
        <v>Cookbook 53</v>
      </c>
      <c r="H426" t="str">
        <f>VLOOKUP(B426,product_tbl[],3,FALSE)</f>
        <v>Books</v>
      </c>
      <c r="I426">
        <v>2078.6459999999997</v>
      </c>
      <c r="J426">
        <f>VLOOKUP(B426,product_tbl[],5,FALSE)</f>
        <v>3464.41</v>
      </c>
      <c r="K426">
        <f>VLOOKUP(B426,review_tbl[],3,FALSE)</f>
        <v>4</v>
      </c>
      <c r="L426" s="11">
        <v>4323.7264795654492</v>
      </c>
      <c r="M426" s="11">
        <f>AVERAGEIF(Table1[product_id],Master_tbl!B426:B1427,Table1[competitor_price])</f>
        <v>954.33000000000015</v>
      </c>
      <c r="N426" s="11">
        <f>IFERROR(Table5[[#This Row],[final_sale_price]]*Table5[[#This Row],[quantity_sold ]],0)</f>
        <v>141140.06339999998</v>
      </c>
      <c r="O426" s="11">
        <f>(Table5[[#This Row],[final_sale_price]]-Table5[[#This Row],[cost_price]])*Table5[[#This Row],[quantity_sold ]]</f>
        <v>53836.931400000009</v>
      </c>
      <c r="P426" s="11">
        <f>(Table5[final_sale_price]-Table5[[#This Row],[avg_comp_price]])</f>
        <v>2406.1476999999995</v>
      </c>
      <c r="Q426" s="15">
        <f>(Table5[[#This Row],[final_sale_price]]-Table5[[#This Row],[avg_comp_price]])/Table5[[#This Row],[avg_comp_price]]</f>
        <v>2.5212952542621516</v>
      </c>
      <c r="R426" s="11">
        <f>Table5[[#This Row],[Profit]]/Table5[[#This Row],[Revenue]]</f>
        <v>0.38144329896907225</v>
      </c>
    </row>
    <row r="427" spans="1:18" x14ac:dyDescent="0.2">
      <c r="A427" s="5">
        <v>426</v>
      </c>
      <c r="B427" s="5">
        <v>36</v>
      </c>
      <c r="C427" s="7">
        <v>45147</v>
      </c>
      <c r="D427" s="5">
        <v>41</v>
      </c>
      <c r="E427" s="4">
        <v>4</v>
      </c>
      <c r="F427" s="12">
        <f t="shared" si="6"/>
        <v>141.50399999999999</v>
      </c>
      <c r="G427" t="str">
        <f>VLOOKUP(B427,product_tbl[],2,FALSE)</f>
        <v>Refrigerator 36</v>
      </c>
      <c r="H427" t="str">
        <f>VLOOKUP(B427,product_tbl[],3,FALSE)</f>
        <v>Home Appliances</v>
      </c>
      <c r="I427">
        <v>88.44</v>
      </c>
      <c r="J427">
        <f>VLOOKUP(B427,product_tbl[],5,FALSE)</f>
        <v>147.4</v>
      </c>
      <c r="K427">
        <f>VLOOKUP(B427,review_tbl[],3,FALSE)</f>
        <v>3</v>
      </c>
      <c r="L427" s="11">
        <v>160.88261635882807</v>
      </c>
      <c r="M427" s="11">
        <f>AVERAGEIF(Table1[product_id],Master_tbl!B427:B1428,Table1[competitor_price])</f>
        <v>2726.4116666666664</v>
      </c>
      <c r="N427" s="11">
        <f>IFERROR(Table5[[#This Row],[final_sale_price]]*Table5[[#This Row],[quantity_sold ]],0)</f>
        <v>5801.6639999999998</v>
      </c>
      <c r="O427" s="11">
        <f>(Table5[[#This Row],[final_sale_price]]-Table5[[#This Row],[cost_price]])*Table5[[#This Row],[quantity_sold ]]</f>
        <v>2175.6239999999998</v>
      </c>
      <c r="P427" s="11">
        <f>(Table5[final_sale_price]-Table5[[#This Row],[avg_comp_price]])</f>
        <v>-2584.9076666666665</v>
      </c>
      <c r="Q427" s="15">
        <f>(Table5[[#This Row],[final_sale_price]]-Table5[[#This Row],[avg_comp_price]])/Table5[[#This Row],[avg_comp_price]]</f>
        <v>-0.94809881364210713</v>
      </c>
      <c r="R427" s="11">
        <f>Table5[[#This Row],[Profit]]/Table5[[#This Row],[Revenue]]</f>
        <v>0.375</v>
      </c>
    </row>
    <row r="428" spans="1:18" x14ac:dyDescent="0.2">
      <c r="A428" s="4">
        <v>427</v>
      </c>
      <c r="B428" s="4">
        <v>147</v>
      </c>
      <c r="C428" s="6">
        <v>45938</v>
      </c>
      <c r="D428" s="4">
        <v>2</v>
      </c>
      <c r="E428" s="4">
        <v>10</v>
      </c>
      <c r="F428" s="12">
        <f t="shared" si="6"/>
        <v>4125.8879999999999</v>
      </c>
      <c r="G428" t="str">
        <f>VLOOKUP(B428,product_tbl[],2,FALSE)</f>
        <v>Cricket Bat 147</v>
      </c>
      <c r="H428" t="str">
        <f>VLOOKUP(B428,product_tbl[],3,FALSE)</f>
        <v>Sports</v>
      </c>
      <c r="I428">
        <v>2750.5919999999996</v>
      </c>
      <c r="J428">
        <f>VLOOKUP(B428,product_tbl[],5,FALSE)</f>
        <v>4584.32</v>
      </c>
      <c r="K428">
        <f>VLOOKUP(B428,review_tbl[],3,FALSE)</f>
        <v>1</v>
      </c>
      <c r="L428" s="11">
        <v>5664.4171490126519</v>
      </c>
      <c r="M428" s="11">
        <f>AVERAGEIF(Table1[product_id],Master_tbl!B428:B1429,Table1[competitor_price])</f>
        <v>769.14</v>
      </c>
      <c r="N428" s="11">
        <f>IFERROR(Table5[[#This Row],[final_sale_price]]*Table5[[#This Row],[quantity_sold ]],0)</f>
        <v>8251.7759999999998</v>
      </c>
      <c r="O428" s="11">
        <f>(Table5[[#This Row],[final_sale_price]]-Table5[[#This Row],[cost_price]])*Table5[[#This Row],[quantity_sold ]]</f>
        <v>2750.5920000000006</v>
      </c>
      <c r="P428" s="11">
        <f>(Table5[final_sale_price]-Table5[[#This Row],[avg_comp_price]])</f>
        <v>3356.748</v>
      </c>
      <c r="Q428" s="15">
        <f>(Table5[[#This Row],[final_sale_price]]-Table5[[#This Row],[avg_comp_price]])/Table5[[#This Row],[avg_comp_price]]</f>
        <v>4.3642873859115374</v>
      </c>
      <c r="R428" s="11">
        <f>Table5[[#This Row],[Profit]]/Table5[[#This Row],[Revenue]]</f>
        <v>0.33333333333333343</v>
      </c>
    </row>
    <row r="429" spans="1:18" x14ac:dyDescent="0.2">
      <c r="A429" s="5">
        <v>428</v>
      </c>
      <c r="B429" s="5">
        <v>53</v>
      </c>
      <c r="C429" s="7">
        <v>45514</v>
      </c>
      <c r="D429" s="5">
        <v>40</v>
      </c>
      <c r="E429" s="4">
        <v>4</v>
      </c>
      <c r="F429" s="12">
        <f t="shared" si="6"/>
        <v>3325.8335999999999</v>
      </c>
      <c r="G429" t="str">
        <f>VLOOKUP(B429,product_tbl[],2,FALSE)</f>
        <v>Cookbook 53</v>
      </c>
      <c r="H429" t="str">
        <f>VLOOKUP(B429,product_tbl[],3,FALSE)</f>
        <v>Books</v>
      </c>
      <c r="I429">
        <v>2078.6459999999997</v>
      </c>
      <c r="J429">
        <f>VLOOKUP(B429,product_tbl[],5,FALSE)</f>
        <v>3464.41</v>
      </c>
      <c r="K429">
        <f>VLOOKUP(B429,review_tbl[],3,FALSE)</f>
        <v>4</v>
      </c>
      <c r="L429" s="11">
        <v>4265.8606853294132</v>
      </c>
      <c r="M429" s="11">
        <f>AVERAGEIF(Table1[product_id],Master_tbl!B429:B1430,Table1[competitor_price])</f>
        <v>954.33000000000015</v>
      </c>
      <c r="N429" s="11">
        <f>IFERROR(Table5[[#This Row],[final_sale_price]]*Table5[[#This Row],[quantity_sold ]],0)</f>
        <v>133033.34399999998</v>
      </c>
      <c r="O429" s="11">
        <f>(Table5[[#This Row],[final_sale_price]]-Table5[[#This Row],[cost_price]])*Table5[[#This Row],[quantity_sold ]]</f>
        <v>49887.504000000008</v>
      </c>
      <c r="P429" s="11">
        <f>(Table5[final_sale_price]-Table5[[#This Row],[avg_comp_price]])</f>
        <v>2371.5036</v>
      </c>
      <c r="Q429" s="15">
        <f>(Table5[[#This Row],[final_sale_price]]-Table5[[#This Row],[avg_comp_price]])/Table5[[#This Row],[avg_comp_price]]</f>
        <v>2.4849932413316145</v>
      </c>
      <c r="R429" s="11">
        <f>Table5[[#This Row],[Profit]]/Table5[[#This Row],[Revenue]]</f>
        <v>0.37500000000000011</v>
      </c>
    </row>
    <row r="430" spans="1:18" x14ac:dyDescent="0.2">
      <c r="A430" s="4">
        <v>429</v>
      </c>
      <c r="B430" s="4">
        <v>77</v>
      </c>
      <c r="C430" s="6">
        <v>45105</v>
      </c>
      <c r="D430" s="4">
        <v>33</v>
      </c>
      <c r="E430" s="4">
        <v>6</v>
      </c>
      <c r="F430" s="12">
        <f t="shared" si="6"/>
        <v>1885.6211999999998</v>
      </c>
      <c r="G430" t="str">
        <f>VLOOKUP(B430,product_tbl[],2,FALSE)</f>
        <v>Coffee Beans 77</v>
      </c>
      <c r="H430" t="str">
        <f>VLOOKUP(B430,product_tbl[],3,FALSE)</f>
        <v>Grocery</v>
      </c>
      <c r="I430">
        <v>1203.588</v>
      </c>
      <c r="J430">
        <f>VLOOKUP(B430,product_tbl[],5,FALSE)</f>
        <v>2005.98</v>
      </c>
      <c r="K430">
        <f>VLOOKUP(B430,review_tbl[],3,FALSE)</f>
        <v>1</v>
      </c>
      <c r="L430" s="11">
        <v>2587.8309040032977</v>
      </c>
      <c r="M430" s="11">
        <f>AVERAGEIF(Table1[product_id],Master_tbl!B430:B1431,Table1[competitor_price])</f>
        <v>4139.2699999999995</v>
      </c>
      <c r="N430" s="11">
        <f>IFERROR(Table5[[#This Row],[final_sale_price]]*Table5[[#This Row],[quantity_sold ]],0)</f>
        <v>62225.499599999996</v>
      </c>
      <c r="O430" s="11">
        <f>(Table5[[#This Row],[final_sale_price]]-Table5[[#This Row],[cost_price]])*Table5[[#This Row],[quantity_sold ]]</f>
        <v>22507.095599999993</v>
      </c>
      <c r="P430" s="11">
        <f>(Table5[final_sale_price]-Table5[[#This Row],[avg_comp_price]])</f>
        <v>-2253.6487999999999</v>
      </c>
      <c r="Q430" s="15">
        <f>(Table5[[#This Row],[final_sale_price]]-Table5[[#This Row],[avg_comp_price]])/Table5[[#This Row],[avg_comp_price]]</f>
        <v>-0.54445561657007158</v>
      </c>
      <c r="R430" s="11">
        <f>Table5[[#This Row],[Profit]]/Table5[[#This Row],[Revenue]]</f>
        <v>0.36170212765957438</v>
      </c>
    </row>
    <row r="431" spans="1:18" x14ac:dyDescent="0.2">
      <c r="A431" s="5">
        <v>430</v>
      </c>
      <c r="B431" s="5">
        <v>14</v>
      </c>
      <c r="C431" s="7">
        <v>44940</v>
      </c>
      <c r="D431" s="5">
        <v>45</v>
      </c>
      <c r="E431" s="4">
        <v>7</v>
      </c>
      <c r="F431" s="12">
        <f t="shared" si="6"/>
        <v>5599.1765999999998</v>
      </c>
      <c r="G431" t="str">
        <f>VLOOKUP(B431,product_tbl[],2,FALSE)</f>
        <v>Coffee Beans 14</v>
      </c>
      <c r="H431" t="str">
        <f>VLOOKUP(B431,product_tbl[],3,FALSE)</f>
        <v>Grocery</v>
      </c>
      <c r="I431">
        <v>3612.3719999999998</v>
      </c>
      <c r="J431">
        <f>VLOOKUP(B431,product_tbl[],5,FALSE)</f>
        <v>6020.62</v>
      </c>
      <c r="K431">
        <f>VLOOKUP(B431,review_tbl[],3,FALSE)</f>
        <v>5</v>
      </c>
      <c r="L431" s="11">
        <v>6798.6755543940735</v>
      </c>
      <c r="M431" s="11">
        <f>AVERAGEIF(Table1[product_id],Master_tbl!B431:B1432,Table1[competitor_price])</f>
        <v>3652.5316666666672</v>
      </c>
      <c r="N431" s="11">
        <f>IFERROR(Table5[[#This Row],[final_sale_price]]*Table5[[#This Row],[quantity_sold ]],0)</f>
        <v>251962.94699999999</v>
      </c>
      <c r="O431" s="11">
        <f>(Table5[[#This Row],[final_sale_price]]-Table5[[#This Row],[cost_price]])*Table5[[#This Row],[quantity_sold ]]</f>
        <v>89406.206999999995</v>
      </c>
      <c r="P431" s="11">
        <f>(Table5[final_sale_price]-Table5[[#This Row],[avg_comp_price]])</f>
        <v>1946.6449333333326</v>
      </c>
      <c r="Q431" s="15">
        <f>(Table5[[#This Row],[final_sale_price]]-Table5[[#This Row],[avg_comp_price]])/Table5[[#This Row],[avg_comp_price]]</f>
        <v>0.5329577156301174</v>
      </c>
      <c r="R431" s="11">
        <f>Table5[[#This Row],[Profit]]/Table5[[#This Row],[Revenue]]</f>
        <v>0.35483870967741937</v>
      </c>
    </row>
    <row r="432" spans="1:18" x14ac:dyDescent="0.2">
      <c r="A432" s="4">
        <v>431</v>
      </c>
      <c r="B432" s="4">
        <v>15</v>
      </c>
      <c r="C432" s="6">
        <v>45457</v>
      </c>
      <c r="D432" s="4">
        <v>3</v>
      </c>
      <c r="E432" s="4">
        <v>8</v>
      </c>
      <c r="F432" s="12">
        <f t="shared" si="6"/>
        <v>4454.1615999999995</v>
      </c>
      <c r="G432" t="str">
        <f>VLOOKUP(B432,product_tbl[],2,FALSE)</f>
        <v>Tennis Racket 15</v>
      </c>
      <c r="H432" t="str">
        <f>VLOOKUP(B432,product_tbl[],3,FALSE)</f>
        <v>Sports</v>
      </c>
      <c r="I432">
        <v>2904.8879999999995</v>
      </c>
      <c r="J432">
        <f>VLOOKUP(B432,product_tbl[],5,FALSE)</f>
        <v>4841.4799999999996</v>
      </c>
      <c r="K432">
        <f>VLOOKUP(B432,review_tbl[],3,FALSE)</f>
        <v>4</v>
      </c>
      <c r="L432" s="11">
        <v>5193.3335027043022</v>
      </c>
      <c r="M432" s="11">
        <f>AVERAGEIF(Table1[product_id],Master_tbl!B432:B1433,Table1[competitor_price])</f>
        <v>5242.3433333333332</v>
      </c>
      <c r="N432" s="11">
        <f>IFERROR(Table5[[#This Row],[final_sale_price]]*Table5[[#This Row],[quantity_sold ]],0)</f>
        <v>13362.484799999998</v>
      </c>
      <c r="O432" s="11">
        <f>(Table5[[#This Row],[final_sale_price]]-Table5[[#This Row],[cost_price]])*Table5[[#This Row],[quantity_sold ]]</f>
        <v>4647.8207999999995</v>
      </c>
      <c r="P432" s="11">
        <f>(Table5[final_sale_price]-Table5[[#This Row],[avg_comp_price]])</f>
        <v>-788.1817333333338</v>
      </c>
      <c r="Q432" s="15">
        <f>(Table5[[#This Row],[final_sale_price]]-Table5[[#This Row],[avg_comp_price]])/Table5[[#This Row],[avg_comp_price]]</f>
        <v>-0.15034912504140968</v>
      </c>
      <c r="R432" s="11">
        <f>Table5[[#This Row],[Profit]]/Table5[[#This Row],[Revenue]]</f>
        <v>0.34782608695652173</v>
      </c>
    </row>
    <row r="433" spans="1:18" x14ac:dyDescent="0.2">
      <c r="A433" s="5">
        <v>432</v>
      </c>
      <c r="B433" s="5">
        <v>138</v>
      </c>
      <c r="C433" s="7">
        <v>45617</v>
      </c>
      <c r="D433" s="5">
        <v>42</v>
      </c>
      <c r="E433" s="4">
        <v>5</v>
      </c>
      <c r="F433" s="12">
        <f t="shared" si="6"/>
        <v>2936.9154999999996</v>
      </c>
      <c r="G433" t="str">
        <f>VLOOKUP(B433,product_tbl[],2,FALSE)</f>
        <v>Running Shoes 138</v>
      </c>
      <c r="H433" t="str">
        <f>VLOOKUP(B433,product_tbl[],3,FALSE)</f>
        <v>Sports</v>
      </c>
      <c r="I433">
        <v>1854.8939999999998</v>
      </c>
      <c r="J433">
        <f>VLOOKUP(B433,product_tbl[],5,FALSE)</f>
        <v>3091.49</v>
      </c>
      <c r="K433">
        <f>VLOOKUP(B433,review_tbl[],3,FALSE)</f>
        <v>5</v>
      </c>
      <c r="L433" s="11">
        <v>3285.1719797533933</v>
      </c>
      <c r="M433" s="11">
        <f>AVERAGEIF(Table1[product_id],Master_tbl!B433:B1434,Table1[competitor_price])</f>
        <v>4980.4933333333329</v>
      </c>
      <c r="N433" s="11">
        <f>IFERROR(Table5[[#This Row],[final_sale_price]]*Table5[[#This Row],[quantity_sold ]],0)</f>
        <v>123350.45099999999</v>
      </c>
      <c r="O433" s="11">
        <f>(Table5[[#This Row],[final_sale_price]]-Table5[[#This Row],[cost_price]])*Table5[[#This Row],[quantity_sold ]]</f>
        <v>45444.902999999991</v>
      </c>
      <c r="P433" s="11">
        <f>(Table5[final_sale_price]-Table5[[#This Row],[avg_comp_price]])</f>
        <v>-2043.5778333333333</v>
      </c>
      <c r="Q433" s="15">
        <f>(Table5[[#This Row],[final_sale_price]]-Table5[[#This Row],[avg_comp_price]])/Table5[[#This Row],[avg_comp_price]]</f>
        <v>-0.41031634751042068</v>
      </c>
      <c r="R433" s="11">
        <f>Table5[[#This Row],[Profit]]/Table5[[#This Row],[Revenue]]</f>
        <v>0.36842105263157893</v>
      </c>
    </row>
    <row r="434" spans="1:18" x14ac:dyDescent="0.2">
      <c r="A434" s="4">
        <v>433</v>
      </c>
      <c r="B434" s="4">
        <v>23</v>
      </c>
      <c r="C434" s="6">
        <v>45944</v>
      </c>
      <c r="D434" s="4">
        <v>44</v>
      </c>
      <c r="E434" s="4">
        <v>2</v>
      </c>
      <c r="F434" s="12">
        <f t="shared" si="6"/>
        <v>3884.1320000000001</v>
      </c>
      <c r="G434" t="str">
        <f>VLOOKUP(B434,product_tbl[],2,FALSE)</f>
        <v>Bluetooth Speaker 23</v>
      </c>
      <c r="H434" t="str">
        <f>VLOOKUP(B434,product_tbl[],3,FALSE)</f>
        <v>Electronics</v>
      </c>
      <c r="I434">
        <v>2378.04</v>
      </c>
      <c r="J434">
        <f>VLOOKUP(B434,product_tbl[],5,FALSE)</f>
        <v>3963.4</v>
      </c>
      <c r="K434">
        <f>VLOOKUP(B434,review_tbl[],3,FALSE)</f>
        <v>5</v>
      </c>
      <c r="L434" s="11">
        <v>4211.8502624860785</v>
      </c>
      <c r="M434" s="11">
        <f>AVERAGEIF(Table1[product_id],Master_tbl!B434:B1435,Table1[competitor_price])</f>
        <v>5343.3279999999995</v>
      </c>
      <c r="N434" s="11">
        <f>IFERROR(Table5[[#This Row],[final_sale_price]]*Table5[[#This Row],[quantity_sold ]],0)</f>
        <v>170901.80799999999</v>
      </c>
      <c r="O434" s="11">
        <f>(Table5[[#This Row],[final_sale_price]]-Table5[[#This Row],[cost_price]])*Table5[[#This Row],[quantity_sold ]]</f>
        <v>66268.04800000001</v>
      </c>
      <c r="P434" s="11">
        <f>(Table5[final_sale_price]-Table5[[#This Row],[avg_comp_price]])</f>
        <v>-1459.1959999999995</v>
      </c>
      <c r="Q434" s="15">
        <f>(Table5[[#This Row],[final_sale_price]]-Table5[[#This Row],[avg_comp_price]])/Table5[[#This Row],[avg_comp_price]]</f>
        <v>-0.27308748405488109</v>
      </c>
      <c r="R434" s="11">
        <f>Table5[[#This Row],[Profit]]/Table5[[#This Row],[Revenue]]</f>
        <v>0.38775510204081642</v>
      </c>
    </row>
    <row r="435" spans="1:18" x14ac:dyDescent="0.2">
      <c r="A435" s="5">
        <v>434</v>
      </c>
      <c r="B435" s="5">
        <v>88</v>
      </c>
      <c r="C435" s="7">
        <v>45400</v>
      </c>
      <c r="D435" s="5">
        <v>26</v>
      </c>
      <c r="E435" s="4">
        <v>9</v>
      </c>
      <c r="F435" s="12">
        <f t="shared" si="6"/>
        <v>5675.0603000000001</v>
      </c>
      <c r="G435" t="str">
        <f>VLOOKUP(B435,product_tbl[],2,FALSE)</f>
        <v>Tablet 88</v>
      </c>
      <c r="H435" t="str">
        <f>VLOOKUP(B435,product_tbl[],3,FALSE)</f>
        <v>Electronics</v>
      </c>
      <c r="I435">
        <v>3741.7979999999998</v>
      </c>
      <c r="J435">
        <f>VLOOKUP(B435,product_tbl[],5,FALSE)</f>
        <v>6236.33</v>
      </c>
      <c r="K435">
        <f>VLOOKUP(B435,review_tbl[],3,FALSE)</f>
        <v>5</v>
      </c>
      <c r="L435" s="11">
        <v>7520.019797551543</v>
      </c>
      <c r="M435" s="11">
        <f>AVERAGEIF(Table1[product_id],Master_tbl!B435:B1436,Table1[competitor_price])</f>
        <v>4981.5050000000001</v>
      </c>
      <c r="N435" s="11">
        <f>IFERROR(Table5[[#This Row],[final_sale_price]]*Table5[[#This Row],[quantity_sold ]],0)</f>
        <v>147551.56779999999</v>
      </c>
      <c r="O435" s="11">
        <f>(Table5[[#This Row],[final_sale_price]]-Table5[[#This Row],[cost_price]])*Table5[[#This Row],[quantity_sold ]]</f>
        <v>50264.819800000012</v>
      </c>
      <c r="P435" s="11">
        <f>(Table5[final_sale_price]-Table5[[#This Row],[avg_comp_price]])</f>
        <v>693.55529999999999</v>
      </c>
      <c r="Q435" s="15">
        <f>(Table5[[#This Row],[final_sale_price]]-Table5[[#This Row],[avg_comp_price]])/Table5[[#This Row],[avg_comp_price]]</f>
        <v>0.13922605718552927</v>
      </c>
      <c r="R435" s="11">
        <f>Table5[[#This Row],[Profit]]/Table5[[#This Row],[Revenue]]</f>
        <v>0.34065934065934078</v>
      </c>
    </row>
    <row r="436" spans="1:18" x14ac:dyDescent="0.2">
      <c r="A436" s="4">
        <v>435</v>
      </c>
      <c r="B436" s="4">
        <v>141</v>
      </c>
      <c r="C436" s="6">
        <v>45374</v>
      </c>
      <c r="D436" s="4">
        <v>18</v>
      </c>
      <c r="E436" s="4">
        <v>7</v>
      </c>
      <c r="F436" s="12">
        <f t="shared" si="6"/>
        <v>7314.6266999999989</v>
      </c>
      <c r="G436" t="str">
        <f>VLOOKUP(B436,product_tbl[],2,FALSE)</f>
        <v>Puzzle Set 141</v>
      </c>
      <c r="H436" t="str">
        <f>VLOOKUP(B436,product_tbl[],3,FALSE)</f>
        <v>Toys</v>
      </c>
      <c r="I436">
        <v>4719.1139999999996</v>
      </c>
      <c r="J436">
        <f>VLOOKUP(B436,product_tbl[],5,FALSE)</f>
        <v>7865.19</v>
      </c>
      <c r="K436">
        <f>VLOOKUP(B436,review_tbl[],3,FALSE)</f>
        <v>5</v>
      </c>
      <c r="L436" s="11">
        <v>9636.6847603592632</v>
      </c>
      <c r="M436" s="11">
        <f>AVERAGEIF(Table1[product_id],Master_tbl!B436:B1437,Table1[competitor_price])</f>
        <v>7586.8133333333344</v>
      </c>
      <c r="N436" s="11">
        <f>IFERROR(Table5[[#This Row],[final_sale_price]]*Table5[[#This Row],[quantity_sold ]],0)</f>
        <v>131663.28059999997</v>
      </c>
      <c r="O436" s="11">
        <f>(Table5[[#This Row],[final_sale_price]]-Table5[[#This Row],[cost_price]])*Table5[[#This Row],[quantity_sold ]]</f>
        <v>46719.228599999988</v>
      </c>
      <c r="P436" s="11">
        <f>(Table5[final_sale_price]-Table5[[#This Row],[avg_comp_price]])</f>
        <v>-272.18663333333552</v>
      </c>
      <c r="Q436" s="15">
        <f>(Table5[[#This Row],[final_sale_price]]-Table5[[#This Row],[avg_comp_price]])/Table5[[#This Row],[avg_comp_price]]</f>
        <v>-3.58762791931969E-2</v>
      </c>
      <c r="R436" s="11">
        <f>Table5[[#This Row],[Profit]]/Table5[[#This Row],[Revenue]]</f>
        <v>0.35483870967741932</v>
      </c>
    </row>
    <row r="437" spans="1:18" x14ac:dyDescent="0.2">
      <c r="A437" s="5">
        <v>436</v>
      </c>
      <c r="B437" s="5">
        <v>47</v>
      </c>
      <c r="C437" s="7">
        <v>45812</v>
      </c>
      <c r="D437" s="5">
        <v>1</v>
      </c>
      <c r="E437" s="4">
        <v>4</v>
      </c>
      <c r="F437" s="12">
        <f t="shared" si="6"/>
        <v>3277.0367999999999</v>
      </c>
      <c r="G437" t="str">
        <f>VLOOKUP(B437,product_tbl[],2,FALSE)</f>
        <v>Cookbook 47</v>
      </c>
      <c r="H437" t="str">
        <f>VLOOKUP(B437,product_tbl[],3,FALSE)</f>
        <v>Books</v>
      </c>
      <c r="I437">
        <v>2048.1479999999997</v>
      </c>
      <c r="J437">
        <f>VLOOKUP(B437,product_tbl[],5,FALSE)</f>
        <v>3413.58</v>
      </c>
      <c r="K437">
        <f>VLOOKUP(B437,review_tbl[],3,FALSE)</f>
        <v>5</v>
      </c>
      <c r="L437" s="11">
        <v>3991.2581375841833</v>
      </c>
      <c r="M437" s="11">
        <f>AVERAGEIF(Table1[product_id],Master_tbl!B437:B1438,Table1[competitor_price])</f>
        <v>2051.0440000000003</v>
      </c>
      <c r="N437" s="11">
        <f>IFERROR(Table5[[#This Row],[final_sale_price]]*Table5[[#This Row],[quantity_sold ]],0)</f>
        <v>3277.0367999999999</v>
      </c>
      <c r="O437" s="11">
        <f>(Table5[[#This Row],[final_sale_price]]-Table5[[#This Row],[cost_price]])*Table5[[#This Row],[quantity_sold ]]</f>
        <v>1228.8888000000002</v>
      </c>
      <c r="P437" s="11">
        <f>(Table5[final_sale_price]-Table5[[#This Row],[avg_comp_price]])</f>
        <v>1225.9927999999995</v>
      </c>
      <c r="Q437" s="15">
        <f>(Table5[[#This Row],[final_sale_price]]-Table5[[#This Row],[avg_comp_price]])/Table5[[#This Row],[avg_comp_price]]</f>
        <v>0.5977408578265504</v>
      </c>
      <c r="R437" s="11">
        <f>Table5[[#This Row],[Profit]]/Table5[[#This Row],[Revenue]]</f>
        <v>0.37500000000000006</v>
      </c>
    </row>
    <row r="438" spans="1:18" x14ac:dyDescent="0.2">
      <c r="A438" s="4">
        <v>437</v>
      </c>
      <c r="B438" s="4">
        <v>67</v>
      </c>
      <c r="C438" s="6">
        <v>45418</v>
      </c>
      <c r="D438" s="4">
        <v>47</v>
      </c>
      <c r="E438" s="4">
        <v>8</v>
      </c>
      <c r="F438" s="12">
        <f t="shared" si="6"/>
        <v>1058.6532</v>
      </c>
      <c r="G438" t="str">
        <f>VLOOKUP(B438,product_tbl[],2,FALSE)</f>
        <v>Perfume 67</v>
      </c>
      <c r="H438" t="str">
        <f>VLOOKUP(B438,product_tbl[],3,FALSE)</f>
        <v>Beauty</v>
      </c>
      <c r="I438">
        <v>690.42600000000004</v>
      </c>
      <c r="J438">
        <f>VLOOKUP(B438,product_tbl[],5,FALSE)</f>
        <v>1150.71</v>
      </c>
      <c r="K438">
        <f>VLOOKUP(B438,review_tbl[],3,FALSE)</f>
        <v>4</v>
      </c>
      <c r="L438" s="11">
        <v>1326.3074256122745</v>
      </c>
      <c r="M438" s="11">
        <f>AVERAGEIF(Table1[product_id],Master_tbl!B438:B1439,Table1[competitor_price])</f>
        <v>7069.7</v>
      </c>
      <c r="N438" s="11">
        <f>IFERROR(Table5[[#This Row],[final_sale_price]]*Table5[[#This Row],[quantity_sold ]],0)</f>
        <v>49756.700400000002</v>
      </c>
      <c r="O438" s="11">
        <f>(Table5[[#This Row],[final_sale_price]]-Table5[[#This Row],[cost_price]])*Table5[[#This Row],[quantity_sold ]]</f>
        <v>17306.678399999997</v>
      </c>
      <c r="P438" s="11">
        <f>(Table5[final_sale_price]-Table5[[#This Row],[avg_comp_price]])</f>
        <v>-6011.0468000000001</v>
      </c>
      <c r="Q438" s="15">
        <f>(Table5[[#This Row],[final_sale_price]]-Table5[[#This Row],[avg_comp_price]])/Table5[[#This Row],[avg_comp_price]]</f>
        <v>-0.85025486229967329</v>
      </c>
      <c r="R438" s="11">
        <f>Table5[[#This Row],[Profit]]/Table5[[#This Row],[Revenue]]</f>
        <v>0.34782608695652167</v>
      </c>
    </row>
    <row r="439" spans="1:18" x14ac:dyDescent="0.2">
      <c r="A439" s="5">
        <v>438</v>
      </c>
      <c r="B439" s="5">
        <v>4</v>
      </c>
      <c r="C439" s="7">
        <v>45267</v>
      </c>
      <c r="D439" s="5">
        <v>9</v>
      </c>
      <c r="E439" s="4">
        <v>10</v>
      </c>
      <c r="F439" s="12">
        <f t="shared" si="6"/>
        <v>6376.8420000000006</v>
      </c>
      <c r="G439" t="str">
        <f>VLOOKUP(B439,product_tbl[],2,FALSE)</f>
        <v>Gym Gloves 4</v>
      </c>
      <c r="H439" t="str">
        <f>VLOOKUP(B439,product_tbl[],3,FALSE)</f>
        <v>Sports</v>
      </c>
      <c r="I439">
        <v>4251.2280000000001</v>
      </c>
      <c r="J439">
        <f>VLOOKUP(B439,product_tbl[],5,FALSE)</f>
        <v>7085.38</v>
      </c>
      <c r="K439">
        <f>VLOOKUP(B439,review_tbl[],3,FALSE)</f>
        <v>4</v>
      </c>
      <c r="L439" s="11">
        <v>7976.0989009041605</v>
      </c>
      <c r="M439" s="11">
        <f>AVERAGEIF(Table1[product_id],Master_tbl!B439:B1440,Table1[competitor_price])</f>
        <v>3570.2466666666674</v>
      </c>
      <c r="N439" s="11">
        <f>IFERROR(Table5[[#This Row],[final_sale_price]]*Table5[[#This Row],[quantity_sold ]],0)</f>
        <v>57391.578000000009</v>
      </c>
      <c r="O439" s="11">
        <f>(Table5[[#This Row],[final_sale_price]]-Table5[[#This Row],[cost_price]])*Table5[[#This Row],[quantity_sold ]]</f>
        <v>19130.526000000005</v>
      </c>
      <c r="P439" s="11">
        <f>(Table5[final_sale_price]-Table5[[#This Row],[avg_comp_price]])</f>
        <v>2806.5953333333332</v>
      </c>
      <c r="Q439" s="15">
        <f>(Table5[[#This Row],[final_sale_price]]-Table5[[#This Row],[avg_comp_price]])/Table5[[#This Row],[avg_comp_price]]</f>
        <v>0.78610684229100869</v>
      </c>
      <c r="R439" s="11">
        <f>Table5[[#This Row],[Profit]]/Table5[[#This Row],[Revenue]]</f>
        <v>0.33333333333333337</v>
      </c>
    </row>
    <row r="440" spans="1:18" x14ac:dyDescent="0.2">
      <c r="A440" s="4">
        <v>439</v>
      </c>
      <c r="B440" s="4">
        <v>66</v>
      </c>
      <c r="C440" s="6">
        <v>45504</v>
      </c>
      <c r="D440" s="4">
        <v>30</v>
      </c>
      <c r="E440" s="4">
        <v>4</v>
      </c>
      <c r="F440" s="12">
        <f t="shared" si="6"/>
        <v>5592.0096000000003</v>
      </c>
      <c r="G440" t="str">
        <f>VLOOKUP(B440,product_tbl[],2,FALSE)</f>
        <v>Olive Oil 66</v>
      </c>
      <c r="H440" t="str">
        <f>VLOOKUP(B440,product_tbl[],3,FALSE)</f>
        <v>Grocery</v>
      </c>
      <c r="I440">
        <v>3495.0059999999999</v>
      </c>
      <c r="J440">
        <f>VLOOKUP(B440,product_tbl[],5,FALSE)</f>
        <v>5825.01</v>
      </c>
      <c r="K440">
        <f>VLOOKUP(B440,review_tbl[],3,FALSE)</f>
        <v>1</v>
      </c>
      <c r="L440" s="11">
        <v>7224.7869539697231</v>
      </c>
      <c r="M440" s="11">
        <f>AVERAGEIF(Table1[product_id],Master_tbl!B440:B1441,Table1[competitor_price])</f>
        <v>6051.7379999999994</v>
      </c>
      <c r="N440" s="11">
        <f>IFERROR(Table5[[#This Row],[final_sale_price]]*Table5[[#This Row],[quantity_sold ]],0)</f>
        <v>167760.288</v>
      </c>
      <c r="O440" s="11">
        <f>(Table5[[#This Row],[final_sale_price]]-Table5[[#This Row],[cost_price]])*Table5[[#This Row],[quantity_sold ]]</f>
        <v>62910.108000000015</v>
      </c>
      <c r="P440" s="11">
        <f>(Table5[final_sale_price]-Table5[[#This Row],[avg_comp_price]])</f>
        <v>-459.72839999999906</v>
      </c>
      <c r="Q440" s="15">
        <f>(Table5[[#This Row],[final_sale_price]]-Table5[[#This Row],[avg_comp_price]])/Table5[[#This Row],[avg_comp_price]]</f>
        <v>-7.5966342230942438E-2</v>
      </c>
      <c r="R440" s="11">
        <f>Table5[[#This Row],[Profit]]/Table5[[#This Row],[Revenue]]</f>
        <v>0.37500000000000011</v>
      </c>
    </row>
    <row r="441" spans="1:18" x14ac:dyDescent="0.2">
      <c r="A441" s="5">
        <v>440</v>
      </c>
      <c r="B441" s="5">
        <v>95</v>
      </c>
      <c r="C441" s="7">
        <v>45460</v>
      </c>
      <c r="D441" s="5">
        <v>49</v>
      </c>
      <c r="E441" s="4">
        <v>5</v>
      </c>
      <c r="F441" s="12">
        <f t="shared" si="6"/>
        <v>6620.2365</v>
      </c>
      <c r="G441" t="str">
        <f>VLOOKUP(B441,product_tbl[],2,FALSE)</f>
        <v>Coffee Beans 95</v>
      </c>
      <c r="H441" t="str">
        <f>VLOOKUP(B441,product_tbl[],3,FALSE)</f>
        <v>Grocery</v>
      </c>
      <c r="I441">
        <v>4181.2020000000002</v>
      </c>
      <c r="J441">
        <f>VLOOKUP(B441,product_tbl[],5,FALSE)</f>
        <v>6968.67</v>
      </c>
      <c r="K441">
        <f>VLOOKUP(B441,review_tbl[],3,FALSE)</f>
        <v>2</v>
      </c>
      <c r="L441" s="11">
        <v>7554.4673745461923</v>
      </c>
      <c r="M441" s="11">
        <f>AVERAGEIF(Table1[product_id],Master_tbl!B441:B1442,Table1[competitor_price])</f>
        <v>2797.7239999999997</v>
      </c>
      <c r="N441" s="11">
        <f>IFERROR(Table5[[#This Row],[final_sale_price]]*Table5[[#This Row],[quantity_sold ]],0)</f>
        <v>324391.58850000001</v>
      </c>
      <c r="O441" s="11">
        <f>(Table5[[#This Row],[final_sale_price]]-Table5[[#This Row],[cost_price]])*Table5[[#This Row],[quantity_sold ]]</f>
        <v>119512.69049999998</v>
      </c>
      <c r="P441" s="11">
        <f>(Table5[final_sale_price]-Table5[[#This Row],[avg_comp_price]])</f>
        <v>3822.5125000000003</v>
      </c>
      <c r="Q441" s="15">
        <f>(Table5[[#This Row],[final_sale_price]]-Table5[[#This Row],[avg_comp_price]])/Table5[[#This Row],[avg_comp_price]]</f>
        <v>1.3662936372565702</v>
      </c>
      <c r="R441" s="11">
        <f>Table5[[#This Row],[Profit]]/Table5[[#This Row],[Revenue]]</f>
        <v>0.36842105263157887</v>
      </c>
    </row>
    <row r="442" spans="1:18" x14ac:dyDescent="0.2">
      <c r="A442" s="4">
        <v>441</v>
      </c>
      <c r="B442" s="4">
        <v>102</v>
      </c>
      <c r="C442" s="6">
        <v>45977</v>
      </c>
      <c r="D442" s="4">
        <v>1</v>
      </c>
      <c r="E442" s="4">
        <v>4</v>
      </c>
      <c r="F442" s="12">
        <f t="shared" si="6"/>
        <v>3978.1823999999997</v>
      </c>
      <c r="G442" t="str">
        <f>VLOOKUP(B442,product_tbl[],2,FALSE)</f>
        <v>Action Figure 102</v>
      </c>
      <c r="H442" t="str">
        <f>VLOOKUP(B442,product_tbl[],3,FALSE)</f>
        <v>Toys</v>
      </c>
      <c r="I442">
        <v>2486.3639999999996</v>
      </c>
      <c r="J442">
        <f>VLOOKUP(B442,product_tbl[],5,FALSE)</f>
        <v>4143.9399999999996</v>
      </c>
      <c r="K442">
        <f>VLOOKUP(B442,review_tbl[],3,FALSE)</f>
        <v>4</v>
      </c>
      <c r="L442" s="11">
        <v>5266.1026492580058</v>
      </c>
      <c r="M442" s="11">
        <f>AVERAGEIF(Table1[product_id],Master_tbl!B442:B1443,Table1[competitor_price])</f>
        <v>2740.84</v>
      </c>
      <c r="N442" s="11">
        <f>IFERROR(Table5[[#This Row],[final_sale_price]]*Table5[[#This Row],[quantity_sold ]],0)</f>
        <v>3978.1823999999997</v>
      </c>
      <c r="O442" s="11">
        <f>(Table5[[#This Row],[final_sale_price]]-Table5[[#This Row],[cost_price]])*Table5[[#This Row],[quantity_sold ]]</f>
        <v>1491.8184000000001</v>
      </c>
      <c r="P442" s="11">
        <f>(Table5[final_sale_price]-Table5[[#This Row],[avg_comp_price]])</f>
        <v>1237.3423999999995</v>
      </c>
      <c r="Q442" s="15">
        <f>(Table5[[#This Row],[final_sale_price]]-Table5[[#This Row],[avg_comp_price]])/Table5[[#This Row],[avg_comp_price]]</f>
        <v>0.45144641788648715</v>
      </c>
      <c r="R442" s="11">
        <f>Table5[[#This Row],[Profit]]/Table5[[#This Row],[Revenue]]</f>
        <v>0.37500000000000006</v>
      </c>
    </row>
    <row r="443" spans="1:18" x14ac:dyDescent="0.2">
      <c r="A443" s="5">
        <v>442</v>
      </c>
      <c r="B443" s="5">
        <v>114</v>
      </c>
      <c r="C443" s="7">
        <v>45471</v>
      </c>
      <c r="D443" s="5">
        <v>31</v>
      </c>
      <c r="E443" s="4">
        <v>8</v>
      </c>
      <c r="F443" s="12">
        <f t="shared" si="6"/>
        <v>7032.8572000000004</v>
      </c>
      <c r="G443" t="str">
        <f>VLOOKUP(B443,product_tbl[],2,FALSE)</f>
        <v>Smartwatch 114</v>
      </c>
      <c r="H443" t="str">
        <f>VLOOKUP(B443,product_tbl[],3,FALSE)</f>
        <v>Electronics</v>
      </c>
      <c r="I443">
        <v>4586.6459999999997</v>
      </c>
      <c r="J443">
        <f>VLOOKUP(B443,product_tbl[],5,FALSE)</f>
        <v>7644.41</v>
      </c>
      <c r="K443">
        <f>VLOOKUP(B443,review_tbl[],3,FALSE)</f>
        <v>2</v>
      </c>
      <c r="L443" s="11">
        <v>7725.1861282894961</v>
      </c>
      <c r="M443" s="11">
        <f>AVERAGEIF(Table1[product_id],Master_tbl!B443:B1444,Table1[competitor_price])</f>
        <v>6494.3074999999999</v>
      </c>
      <c r="N443" s="11">
        <f>IFERROR(Table5[[#This Row],[final_sale_price]]*Table5[[#This Row],[quantity_sold ]],0)</f>
        <v>218018.57320000001</v>
      </c>
      <c r="O443" s="11">
        <f>(Table5[[#This Row],[final_sale_price]]-Table5[[#This Row],[cost_price]])*Table5[[#This Row],[quantity_sold ]]</f>
        <v>75832.547200000015</v>
      </c>
      <c r="P443" s="11">
        <f>(Table5[final_sale_price]-Table5[[#This Row],[avg_comp_price]])</f>
        <v>538.54970000000048</v>
      </c>
      <c r="Q443" s="15">
        <f>(Table5[[#This Row],[final_sale_price]]-Table5[[#This Row],[avg_comp_price]])/Table5[[#This Row],[avg_comp_price]]</f>
        <v>8.2926424410916869E-2</v>
      </c>
      <c r="R443" s="11">
        <f>Table5[[#This Row],[Profit]]/Table5[[#This Row],[Revenue]]</f>
        <v>0.34782608695652178</v>
      </c>
    </row>
    <row r="444" spans="1:18" x14ac:dyDescent="0.2">
      <c r="A444" s="4">
        <v>443</v>
      </c>
      <c r="B444" s="4">
        <v>38</v>
      </c>
      <c r="C444" s="6">
        <v>46009</v>
      </c>
      <c r="D444" s="4">
        <v>47</v>
      </c>
      <c r="E444" s="4">
        <v>6</v>
      </c>
      <c r="F444" s="12">
        <f t="shared" si="6"/>
        <v>6199.7605999999996</v>
      </c>
      <c r="G444" t="str">
        <f>VLOOKUP(B444,product_tbl[],2,FALSE)</f>
        <v>Jeans 38</v>
      </c>
      <c r="H444" t="str">
        <f>VLOOKUP(B444,product_tbl[],3,FALSE)</f>
        <v>Fashion</v>
      </c>
      <c r="I444">
        <v>3957.2939999999999</v>
      </c>
      <c r="J444">
        <f>VLOOKUP(B444,product_tbl[],5,FALSE)</f>
        <v>6595.49</v>
      </c>
      <c r="K444">
        <f>VLOOKUP(B444,review_tbl[],3,FALSE)</f>
        <v>5</v>
      </c>
      <c r="L444" s="11">
        <v>8444.663039444411</v>
      </c>
      <c r="M444" s="11">
        <f>AVERAGEIF(Table1[product_id],Master_tbl!B444:B1445,Table1[competitor_price])</f>
        <v>517.86</v>
      </c>
      <c r="N444" s="11">
        <f>IFERROR(Table5[[#This Row],[final_sale_price]]*Table5[[#This Row],[quantity_sold ]],0)</f>
        <v>291388.74819999997</v>
      </c>
      <c r="O444" s="11">
        <f>(Table5[[#This Row],[final_sale_price]]-Table5[[#This Row],[cost_price]])*Table5[[#This Row],[quantity_sold ]]</f>
        <v>105395.93019999999</v>
      </c>
      <c r="P444" s="11">
        <f>(Table5[final_sale_price]-Table5[[#This Row],[avg_comp_price]])</f>
        <v>5681.9005999999999</v>
      </c>
      <c r="Q444" s="15">
        <f>(Table5[[#This Row],[final_sale_price]]-Table5[[#This Row],[avg_comp_price]])/Table5[[#This Row],[avg_comp_price]]</f>
        <v>10.971885451666473</v>
      </c>
      <c r="R444" s="11">
        <f>Table5[[#This Row],[Profit]]/Table5[[#This Row],[Revenue]]</f>
        <v>0.36170212765957444</v>
      </c>
    </row>
    <row r="445" spans="1:18" x14ac:dyDescent="0.2">
      <c r="A445" s="5">
        <v>444</v>
      </c>
      <c r="B445" s="5">
        <v>140</v>
      </c>
      <c r="C445" s="7">
        <v>45752</v>
      </c>
      <c r="D445" s="5">
        <v>47</v>
      </c>
      <c r="E445" s="4">
        <v>7</v>
      </c>
      <c r="F445" s="12">
        <f t="shared" si="6"/>
        <v>831.19679999999994</v>
      </c>
      <c r="G445" t="str">
        <f>VLOOKUP(B445,product_tbl[],2,FALSE)</f>
        <v>Remote Car 140</v>
      </c>
      <c r="H445" t="str">
        <f>VLOOKUP(B445,product_tbl[],3,FALSE)</f>
        <v>Toys</v>
      </c>
      <c r="I445">
        <v>536.25599999999997</v>
      </c>
      <c r="J445">
        <f>VLOOKUP(B445,product_tbl[],5,FALSE)</f>
        <v>893.76</v>
      </c>
      <c r="K445">
        <f>VLOOKUP(B445,review_tbl[],3,FALSE)</f>
        <v>3</v>
      </c>
      <c r="L445" s="11">
        <v>1009.218235919499</v>
      </c>
      <c r="M445" s="11">
        <f>AVERAGEIF(Table1[product_id],Master_tbl!B445:B1446,Table1[competitor_price])</f>
        <v>4472.5149999999994</v>
      </c>
      <c r="N445" s="11">
        <f>IFERROR(Table5[[#This Row],[final_sale_price]]*Table5[[#This Row],[quantity_sold ]],0)</f>
        <v>39066.249599999996</v>
      </c>
      <c r="O445" s="11">
        <f>(Table5[[#This Row],[final_sale_price]]-Table5[[#This Row],[cost_price]])*Table5[[#This Row],[quantity_sold ]]</f>
        <v>13862.217599999998</v>
      </c>
      <c r="P445" s="11">
        <f>(Table5[final_sale_price]-Table5[[#This Row],[avg_comp_price]])</f>
        <v>-3641.3181999999997</v>
      </c>
      <c r="Q445" s="15">
        <f>(Table5[[#This Row],[final_sale_price]]-Table5[[#This Row],[avg_comp_price]])/Table5[[#This Row],[avg_comp_price]]</f>
        <v>-0.81415449696647191</v>
      </c>
      <c r="R445" s="11">
        <f>Table5[[#This Row],[Profit]]/Table5[[#This Row],[Revenue]]</f>
        <v>0.35483870967741937</v>
      </c>
    </row>
    <row r="446" spans="1:18" x14ac:dyDescent="0.2">
      <c r="A446" s="4">
        <v>445</v>
      </c>
      <c r="B446" s="4">
        <v>48</v>
      </c>
      <c r="C446" s="6">
        <v>45206</v>
      </c>
      <c r="D446" s="4">
        <v>40</v>
      </c>
      <c r="E446" s="4">
        <v>2</v>
      </c>
      <c r="F446" s="12">
        <f t="shared" si="6"/>
        <v>3614.5045999999998</v>
      </c>
      <c r="G446" t="str">
        <f>VLOOKUP(B446,product_tbl[],2,FALSE)</f>
        <v>Water Purifier 48</v>
      </c>
      <c r="H446" t="str">
        <f>VLOOKUP(B446,product_tbl[],3,FALSE)</f>
        <v>Home Appliances</v>
      </c>
      <c r="I446">
        <v>2212.962</v>
      </c>
      <c r="J446">
        <f>VLOOKUP(B446,product_tbl[],5,FALSE)</f>
        <v>3688.27</v>
      </c>
      <c r="K446">
        <f>VLOOKUP(B446,review_tbl[],3,FALSE)</f>
        <v>4</v>
      </c>
      <c r="L446" s="11">
        <v>4490.7893206968474</v>
      </c>
      <c r="M446" s="11">
        <f>AVERAGEIF(Table1[product_id],Master_tbl!B446:B1447,Table1[competitor_price])</f>
        <v>1050.3625000000002</v>
      </c>
      <c r="N446" s="11">
        <f>IFERROR(Table5[[#This Row],[final_sale_price]]*Table5[[#This Row],[quantity_sold ]],0)</f>
        <v>144580.18399999998</v>
      </c>
      <c r="O446" s="11">
        <f>(Table5[[#This Row],[final_sale_price]]-Table5[[#This Row],[cost_price]])*Table5[[#This Row],[quantity_sold ]]</f>
        <v>56061.703999999991</v>
      </c>
      <c r="P446" s="11">
        <f>(Table5[final_sale_price]-Table5[[#This Row],[avg_comp_price]])</f>
        <v>2564.1420999999996</v>
      </c>
      <c r="Q446" s="15">
        <f>(Table5[[#This Row],[final_sale_price]]-Table5[[#This Row],[avg_comp_price]])/Table5[[#This Row],[avg_comp_price]]</f>
        <v>2.4411973009318202</v>
      </c>
      <c r="R446" s="11">
        <f>Table5[[#This Row],[Profit]]/Table5[[#This Row],[Revenue]]</f>
        <v>0.38775510204081631</v>
      </c>
    </row>
    <row r="447" spans="1:18" x14ac:dyDescent="0.2">
      <c r="A447" s="5">
        <v>446</v>
      </c>
      <c r="B447" s="5">
        <v>147</v>
      </c>
      <c r="C447" s="7">
        <v>45746</v>
      </c>
      <c r="D447" s="5">
        <v>3</v>
      </c>
      <c r="E447" s="4">
        <v>3</v>
      </c>
      <c r="F447" s="12">
        <f t="shared" si="6"/>
        <v>4446.7903999999999</v>
      </c>
      <c r="G447" t="str">
        <f>VLOOKUP(B447,product_tbl[],2,FALSE)</f>
        <v>Cricket Bat 147</v>
      </c>
      <c r="H447" t="str">
        <f>VLOOKUP(B447,product_tbl[],3,FALSE)</f>
        <v>Sports</v>
      </c>
      <c r="I447">
        <v>2750.5919999999996</v>
      </c>
      <c r="J447">
        <f>VLOOKUP(B447,product_tbl[],5,FALSE)</f>
        <v>4584.32</v>
      </c>
      <c r="K447">
        <f>VLOOKUP(B447,review_tbl[],3,FALSE)</f>
        <v>1</v>
      </c>
      <c r="L447" s="11">
        <v>5075.5667734944773</v>
      </c>
      <c r="M447" s="11">
        <f>AVERAGEIF(Table1[product_id],Master_tbl!B447:B1448,Table1[competitor_price])</f>
        <v>769.14</v>
      </c>
      <c r="N447" s="11">
        <f>IFERROR(Table5[[#This Row],[final_sale_price]]*Table5[[#This Row],[quantity_sold ]],0)</f>
        <v>13340.3712</v>
      </c>
      <c r="O447" s="11">
        <f>(Table5[[#This Row],[final_sale_price]]-Table5[[#This Row],[cost_price]])*Table5[[#This Row],[quantity_sold ]]</f>
        <v>5088.5952000000007</v>
      </c>
      <c r="P447" s="11">
        <f>(Table5[final_sale_price]-Table5[[#This Row],[avg_comp_price]])</f>
        <v>3677.6504</v>
      </c>
      <c r="Q447" s="15">
        <f>(Table5[[#This Row],[final_sale_price]]-Table5[[#This Row],[avg_comp_price]])/Table5[[#This Row],[avg_comp_price]]</f>
        <v>4.7815097381491016</v>
      </c>
      <c r="R447" s="11">
        <f>Table5[[#This Row],[Profit]]/Table5[[#This Row],[Revenue]]</f>
        <v>0.38144329896907225</v>
      </c>
    </row>
    <row r="448" spans="1:18" x14ac:dyDescent="0.2">
      <c r="A448" s="4">
        <v>447</v>
      </c>
      <c r="B448" s="4">
        <v>66</v>
      </c>
      <c r="C448" s="6">
        <v>45840</v>
      </c>
      <c r="D448" s="4">
        <v>10</v>
      </c>
      <c r="E448" s="4">
        <v>9</v>
      </c>
      <c r="F448" s="12">
        <f t="shared" si="6"/>
        <v>5300.7591000000002</v>
      </c>
      <c r="G448" t="str">
        <f>VLOOKUP(B448,product_tbl[],2,FALSE)</f>
        <v>Olive Oil 66</v>
      </c>
      <c r="H448" t="str">
        <f>VLOOKUP(B448,product_tbl[],3,FALSE)</f>
        <v>Grocery</v>
      </c>
      <c r="I448">
        <v>3495.0059999999999</v>
      </c>
      <c r="J448">
        <f>VLOOKUP(B448,product_tbl[],5,FALSE)</f>
        <v>5825.01</v>
      </c>
      <c r="K448">
        <f>VLOOKUP(B448,review_tbl[],3,FALSE)</f>
        <v>1</v>
      </c>
      <c r="L448" s="11">
        <v>7002.6240042537756</v>
      </c>
      <c r="M448" s="11">
        <f>AVERAGEIF(Table1[product_id],Master_tbl!B448:B1449,Table1[competitor_price])</f>
        <v>6051.7379999999994</v>
      </c>
      <c r="N448" s="11">
        <f>IFERROR(Table5[[#This Row],[final_sale_price]]*Table5[[#This Row],[quantity_sold ]],0)</f>
        <v>53007.591</v>
      </c>
      <c r="O448" s="11">
        <f>(Table5[[#This Row],[final_sale_price]]-Table5[[#This Row],[cost_price]])*Table5[[#This Row],[quantity_sold ]]</f>
        <v>18057.531000000003</v>
      </c>
      <c r="P448" s="11">
        <f>(Table5[final_sale_price]-Table5[[#This Row],[avg_comp_price]])</f>
        <v>-750.97889999999916</v>
      </c>
      <c r="Q448" s="15">
        <f>(Table5[[#This Row],[final_sale_price]]-Table5[[#This Row],[avg_comp_price]])/Table5[[#This Row],[avg_comp_price]]</f>
        <v>-0.12409309523974753</v>
      </c>
      <c r="R448" s="11">
        <f>Table5[[#This Row],[Profit]]/Table5[[#This Row],[Revenue]]</f>
        <v>0.34065934065934073</v>
      </c>
    </row>
    <row r="449" spans="1:18" x14ac:dyDescent="0.2">
      <c r="A449" s="5">
        <v>448</v>
      </c>
      <c r="B449" s="5">
        <v>146</v>
      </c>
      <c r="C449" s="7">
        <v>44993</v>
      </c>
      <c r="D449" s="5">
        <v>30</v>
      </c>
      <c r="E449" s="4">
        <v>3</v>
      </c>
      <c r="F449" s="12">
        <f t="shared" si="6"/>
        <v>4590.9032999999999</v>
      </c>
      <c r="G449" t="str">
        <f>VLOOKUP(B449,product_tbl[],2,FALSE)</f>
        <v>Cookbook 146</v>
      </c>
      <c r="H449" t="str">
        <f>VLOOKUP(B449,product_tbl[],3,FALSE)</f>
        <v>Books</v>
      </c>
      <c r="I449">
        <v>2839.7339999999999</v>
      </c>
      <c r="J449">
        <f>VLOOKUP(B449,product_tbl[],5,FALSE)</f>
        <v>4732.8900000000003</v>
      </c>
      <c r="K449">
        <f>VLOOKUP(B449,review_tbl[],3,FALSE)</f>
        <v>2</v>
      </c>
      <c r="L449" s="11">
        <v>4856.9704554361842</v>
      </c>
      <c r="M449" s="11">
        <f>AVERAGEIF(Table1[product_id],Master_tbl!B449:B1450,Table1[competitor_price])</f>
        <v>619.60249999999996</v>
      </c>
      <c r="N449" s="11">
        <f>IFERROR(Table5[[#This Row],[final_sale_price]]*Table5[[#This Row],[quantity_sold ]],0)</f>
        <v>137727.09899999999</v>
      </c>
      <c r="O449" s="11">
        <f>(Table5[[#This Row],[final_sale_price]]-Table5[[#This Row],[cost_price]])*Table5[[#This Row],[quantity_sold ]]</f>
        <v>52535.078999999998</v>
      </c>
      <c r="P449" s="11">
        <f>(Table5[final_sale_price]-Table5[[#This Row],[avg_comp_price]])</f>
        <v>3971.3008</v>
      </c>
      <c r="Q449" s="15">
        <f>(Table5[[#This Row],[final_sale_price]]-Table5[[#This Row],[avg_comp_price]])/Table5[[#This Row],[avg_comp_price]]</f>
        <v>6.4094331446370862</v>
      </c>
      <c r="R449" s="11">
        <f>Table5[[#This Row],[Profit]]/Table5[[#This Row],[Revenue]]</f>
        <v>0.3814432989690722</v>
      </c>
    </row>
    <row r="450" spans="1:18" x14ac:dyDescent="0.2">
      <c r="A450" s="4">
        <v>449</v>
      </c>
      <c r="B450" s="4">
        <v>87</v>
      </c>
      <c r="C450" s="6">
        <v>45228</v>
      </c>
      <c r="D450" s="4">
        <v>48</v>
      </c>
      <c r="E450" s="4">
        <v>2</v>
      </c>
      <c r="F450" s="12">
        <f t="shared" ref="F450:F513" si="7">J450*(1-E450/100)</f>
        <v>4012.2375999999999</v>
      </c>
      <c r="G450" t="str">
        <f>VLOOKUP(B450,product_tbl[],2,FALSE)</f>
        <v>Laptop 87</v>
      </c>
      <c r="H450" t="str">
        <f>VLOOKUP(B450,product_tbl[],3,FALSE)</f>
        <v>Electronics</v>
      </c>
      <c r="I450">
        <v>2456.4719999999998</v>
      </c>
      <c r="J450">
        <f>VLOOKUP(B450,product_tbl[],5,FALSE)</f>
        <v>4094.12</v>
      </c>
      <c r="K450">
        <f>VLOOKUP(B450,review_tbl[],3,FALSE)</f>
        <v>2</v>
      </c>
      <c r="L450" s="11">
        <v>4447.1713078968569</v>
      </c>
      <c r="M450" s="11">
        <f>AVERAGEIF(Table1[product_id],Master_tbl!B450:B1451,Table1[competitor_price])</f>
        <v>493.79250000000002</v>
      </c>
      <c r="N450" s="11">
        <f>IFERROR(Table5[[#This Row],[final_sale_price]]*Table5[[#This Row],[quantity_sold ]],0)</f>
        <v>192587.40479999999</v>
      </c>
      <c r="O450" s="11">
        <f>(Table5[[#This Row],[final_sale_price]]-Table5[[#This Row],[cost_price]])*Table5[[#This Row],[quantity_sold ]]</f>
        <v>74676.748800000001</v>
      </c>
      <c r="P450" s="11">
        <f>(Table5[final_sale_price]-Table5[[#This Row],[avg_comp_price]])</f>
        <v>3518.4450999999999</v>
      </c>
      <c r="Q450" s="15">
        <f>(Table5[[#This Row],[final_sale_price]]-Table5[[#This Row],[avg_comp_price]])/Table5[[#This Row],[avg_comp_price]]</f>
        <v>7.1253514381040617</v>
      </c>
      <c r="R450" s="11">
        <f>Table5[[#This Row],[Profit]]/Table5[[#This Row],[Revenue]]</f>
        <v>0.38775510204081637</v>
      </c>
    </row>
    <row r="451" spans="1:18" x14ac:dyDescent="0.2">
      <c r="A451" s="5">
        <v>450</v>
      </c>
      <c r="B451" s="5">
        <v>70</v>
      </c>
      <c r="C451" s="7">
        <v>45719</v>
      </c>
      <c r="D451" s="5">
        <v>10</v>
      </c>
      <c r="E451" s="4">
        <v>5</v>
      </c>
      <c r="F451" s="12">
        <f t="shared" si="7"/>
        <v>3828.2624999999998</v>
      </c>
      <c r="G451" t="str">
        <f>VLOOKUP(B451,product_tbl[],2,FALSE)</f>
        <v>Green Tea 70</v>
      </c>
      <c r="H451" t="str">
        <f>VLOOKUP(B451,product_tbl[],3,FALSE)</f>
        <v>Grocery</v>
      </c>
      <c r="I451">
        <v>2417.85</v>
      </c>
      <c r="J451">
        <f>VLOOKUP(B451,product_tbl[],5,FALSE)</f>
        <v>4029.75</v>
      </c>
      <c r="K451">
        <f>VLOOKUP(B451,review_tbl[],3,FALSE)</f>
        <v>1</v>
      </c>
      <c r="L451" s="11">
        <v>4662.5918896367057</v>
      </c>
      <c r="M451" s="11">
        <f>AVERAGEIF(Table1[product_id],Master_tbl!B451:B1452,Table1[competitor_price])</f>
        <v>2158.7083333333335</v>
      </c>
      <c r="N451" s="11">
        <f>IFERROR(Table5[[#This Row],[final_sale_price]]*Table5[[#This Row],[quantity_sold ]],0)</f>
        <v>38282.625</v>
      </c>
      <c r="O451" s="11">
        <f>(Table5[[#This Row],[final_sale_price]]-Table5[[#This Row],[cost_price]])*Table5[[#This Row],[quantity_sold ]]</f>
        <v>14104.125</v>
      </c>
      <c r="P451" s="11">
        <f>(Table5[final_sale_price]-Table5[[#This Row],[avg_comp_price]])</f>
        <v>1669.5541666666663</v>
      </c>
      <c r="Q451" s="15">
        <f>(Table5[[#This Row],[final_sale_price]]-Table5[[#This Row],[avg_comp_price]])/Table5[[#This Row],[avg_comp_price]]</f>
        <v>0.77340423478546183</v>
      </c>
      <c r="R451" s="11">
        <f>Table5[[#This Row],[Profit]]/Table5[[#This Row],[Revenue]]</f>
        <v>0.36842105263157893</v>
      </c>
    </row>
    <row r="452" spans="1:18" x14ac:dyDescent="0.2">
      <c r="A452" s="4">
        <v>451</v>
      </c>
      <c r="B452" s="4">
        <v>122</v>
      </c>
      <c r="C452" s="6">
        <v>45834</v>
      </c>
      <c r="D452" s="4">
        <v>29</v>
      </c>
      <c r="E452" s="4">
        <v>6</v>
      </c>
      <c r="F452" s="12">
        <f t="shared" si="7"/>
        <v>4838.8755999999994</v>
      </c>
      <c r="G452" t="str">
        <f>VLOOKUP(B452,product_tbl[],2,FALSE)</f>
        <v>Shampoo 122</v>
      </c>
      <c r="H452" t="str">
        <f>VLOOKUP(B452,product_tbl[],3,FALSE)</f>
        <v>Beauty</v>
      </c>
      <c r="I452">
        <v>3088.6439999999998</v>
      </c>
      <c r="J452">
        <f>VLOOKUP(B452,product_tbl[],5,FALSE)</f>
        <v>5147.74</v>
      </c>
      <c r="K452">
        <f>VLOOKUP(B452,review_tbl[],3,FALSE)</f>
        <v>3</v>
      </c>
      <c r="L452" s="11">
        <v>6314.341663228427</v>
      </c>
      <c r="M452" s="11">
        <f>AVERAGEIF(Table1[product_id],Master_tbl!B452:B1453,Table1[competitor_price])</f>
        <v>4724.1475</v>
      </c>
      <c r="N452" s="11">
        <f>IFERROR(Table5[[#This Row],[final_sale_price]]*Table5[[#This Row],[quantity_sold ]],0)</f>
        <v>140327.39239999998</v>
      </c>
      <c r="O452" s="11">
        <f>(Table5[[#This Row],[final_sale_price]]-Table5[[#This Row],[cost_price]])*Table5[[#This Row],[quantity_sold ]]</f>
        <v>50756.71639999999</v>
      </c>
      <c r="P452" s="11">
        <f>(Table5[final_sale_price]-Table5[[#This Row],[avg_comp_price]])</f>
        <v>114.72809999999936</v>
      </c>
      <c r="Q452" s="15">
        <f>(Table5[[#This Row],[final_sale_price]]-Table5[[#This Row],[avg_comp_price]])/Table5[[#This Row],[avg_comp_price]]</f>
        <v>2.4285461027624425E-2</v>
      </c>
      <c r="R452" s="11">
        <f>Table5[[#This Row],[Profit]]/Table5[[#This Row],[Revenue]]</f>
        <v>0.36170212765957444</v>
      </c>
    </row>
    <row r="453" spans="1:18" x14ac:dyDescent="0.2">
      <c r="A453" s="5">
        <v>452</v>
      </c>
      <c r="B453" s="5">
        <v>29</v>
      </c>
      <c r="C453" s="7">
        <v>45714</v>
      </c>
      <c r="D453" s="5">
        <v>31</v>
      </c>
      <c r="E453" s="4">
        <v>7</v>
      </c>
      <c r="F453" s="12">
        <f t="shared" si="7"/>
        <v>6949.8899999999994</v>
      </c>
      <c r="G453" t="str">
        <f>VLOOKUP(B453,product_tbl[],2,FALSE)</f>
        <v>Smartwatch 29</v>
      </c>
      <c r="H453" t="str">
        <f>VLOOKUP(B453,product_tbl[],3,FALSE)</f>
        <v>Electronics</v>
      </c>
      <c r="I453">
        <v>4483.8</v>
      </c>
      <c r="J453">
        <f>VLOOKUP(B453,product_tbl[],5,FALSE)</f>
        <v>7473</v>
      </c>
      <c r="K453">
        <f>VLOOKUP(B453,review_tbl[],3,FALSE)</f>
        <v>2</v>
      </c>
      <c r="L453" s="11">
        <v>7603.7982315635445</v>
      </c>
      <c r="M453" s="11">
        <f>AVERAGEIF(Table1[product_id],Master_tbl!B453:B1454,Table1[competitor_price])</f>
        <v>1925.7060000000001</v>
      </c>
      <c r="N453" s="11">
        <f>IFERROR(Table5[[#This Row],[final_sale_price]]*Table5[[#This Row],[quantity_sold ]],0)</f>
        <v>215446.58999999997</v>
      </c>
      <c r="O453" s="11">
        <f>(Table5[[#This Row],[final_sale_price]]-Table5[[#This Row],[cost_price]])*Table5[[#This Row],[quantity_sold ]]</f>
        <v>76448.789999999979</v>
      </c>
      <c r="P453" s="11">
        <f>(Table5[final_sale_price]-Table5[[#This Row],[avg_comp_price]])</f>
        <v>5024.1839999999993</v>
      </c>
      <c r="Q453" s="15">
        <f>(Table5[[#This Row],[final_sale_price]]-Table5[[#This Row],[avg_comp_price]])/Table5[[#This Row],[avg_comp_price]]</f>
        <v>2.6090088518185013</v>
      </c>
      <c r="R453" s="11">
        <f>Table5[[#This Row],[Profit]]/Table5[[#This Row],[Revenue]]</f>
        <v>0.35483870967741932</v>
      </c>
    </row>
    <row r="454" spans="1:18" x14ac:dyDescent="0.2">
      <c r="A454" s="4">
        <v>453</v>
      </c>
      <c r="B454" s="4">
        <v>44</v>
      </c>
      <c r="C454" s="6">
        <v>45858</v>
      </c>
      <c r="D454" s="4">
        <v>12</v>
      </c>
      <c r="E454" s="4">
        <v>2</v>
      </c>
      <c r="F454" s="12">
        <f t="shared" si="7"/>
        <v>346.52800000000002</v>
      </c>
      <c r="G454" t="str">
        <f>VLOOKUP(B454,product_tbl[],2,FALSE)</f>
        <v>Coffee Beans 44</v>
      </c>
      <c r="H454" t="str">
        <f>VLOOKUP(B454,product_tbl[],3,FALSE)</f>
        <v>Grocery</v>
      </c>
      <c r="I454">
        <v>212.16</v>
      </c>
      <c r="J454">
        <f>VLOOKUP(B454,product_tbl[],5,FALSE)</f>
        <v>353.6</v>
      </c>
      <c r="K454">
        <f>VLOOKUP(B454,review_tbl[],3,FALSE)</f>
        <v>4</v>
      </c>
      <c r="L454" s="11">
        <v>385.08945289706537</v>
      </c>
      <c r="M454" s="11">
        <f>AVERAGEIF(Table1[product_id],Master_tbl!B454:B1455,Table1[competitor_price])</f>
        <v>4064.8233333333333</v>
      </c>
      <c r="N454" s="11">
        <f>IFERROR(Table5[[#This Row],[final_sale_price]]*Table5[[#This Row],[quantity_sold ]],0)</f>
        <v>4158.3360000000002</v>
      </c>
      <c r="O454" s="11">
        <f>(Table5[[#This Row],[final_sale_price]]-Table5[[#This Row],[cost_price]])*Table5[[#This Row],[quantity_sold ]]</f>
        <v>1612.4160000000002</v>
      </c>
      <c r="P454" s="11">
        <f>(Table5[final_sale_price]-Table5[[#This Row],[avg_comp_price]])</f>
        <v>-3718.2953333333335</v>
      </c>
      <c r="Q454" s="15">
        <f>(Table5[[#This Row],[final_sale_price]]-Table5[[#This Row],[avg_comp_price]])/Table5[[#This Row],[avg_comp_price]]</f>
        <v>-0.91474955451118423</v>
      </c>
      <c r="R454" s="11">
        <f>Table5[[#This Row],[Profit]]/Table5[[#This Row],[Revenue]]</f>
        <v>0.38775510204081637</v>
      </c>
    </row>
    <row r="455" spans="1:18" x14ac:dyDescent="0.2">
      <c r="A455" s="5">
        <v>454</v>
      </c>
      <c r="B455" s="5">
        <v>63</v>
      </c>
      <c r="C455" s="7">
        <v>45617</v>
      </c>
      <c r="D455" s="5">
        <v>42</v>
      </c>
      <c r="E455" s="4">
        <v>8</v>
      </c>
      <c r="F455" s="12">
        <f t="shared" si="7"/>
        <v>6441.6284000000005</v>
      </c>
      <c r="G455" t="str">
        <f>VLOOKUP(B455,product_tbl[],2,FALSE)</f>
        <v>Sugar 63</v>
      </c>
      <c r="H455" t="str">
        <f>VLOOKUP(B455,product_tbl[],3,FALSE)</f>
        <v>Grocery</v>
      </c>
      <c r="I455">
        <v>4201.0619999999999</v>
      </c>
      <c r="J455">
        <f>VLOOKUP(B455,product_tbl[],5,FALSE)</f>
        <v>7001.77</v>
      </c>
      <c r="K455">
        <f>VLOOKUP(B455,review_tbl[],3,FALSE)</f>
        <v>4</v>
      </c>
      <c r="L455" s="11">
        <v>7203.3905148205349</v>
      </c>
      <c r="M455" s="11">
        <f>AVERAGEIF(Table1[product_id],Master_tbl!B455:B1456,Table1[competitor_price])</f>
        <v>4859.22</v>
      </c>
      <c r="N455" s="11">
        <f>IFERROR(Table5[[#This Row],[final_sale_price]]*Table5[[#This Row],[quantity_sold ]],0)</f>
        <v>270548.39280000003</v>
      </c>
      <c r="O455" s="11">
        <f>(Table5[[#This Row],[final_sale_price]]-Table5[[#This Row],[cost_price]])*Table5[[#This Row],[quantity_sold ]]</f>
        <v>94103.788800000024</v>
      </c>
      <c r="P455" s="11">
        <f>(Table5[final_sale_price]-Table5[[#This Row],[avg_comp_price]])</f>
        <v>1582.4084000000003</v>
      </c>
      <c r="Q455" s="15">
        <f>(Table5[[#This Row],[final_sale_price]]-Table5[[#This Row],[avg_comp_price]])/Table5[[#This Row],[avg_comp_price]]</f>
        <v>0.32565070114133549</v>
      </c>
      <c r="R455" s="11">
        <f>Table5[[#This Row],[Profit]]/Table5[[#This Row],[Revenue]]</f>
        <v>0.34782608695652178</v>
      </c>
    </row>
    <row r="456" spans="1:18" x14ac:dyDescent="0.2">
      <c r="A456" s="4">
        <v>455</v>
      </c>
      <c r="B456" s="4">
        <v>33</v>
      </c>
      <c r="C456" s="6">
        <v>45934</v>
      </c>
      <c r="D456" s="4">
        <v>18</v>
      </c>
      <c r="E456" s="4">
        <v>8</v>
      </c>
      <c r="F456" s="12">
        <f t="shared" si="7"/>
        <v>4648.7507999999998</v>
      </c>
      <c r="G456" t="str">
        <f>VLOOKUP(B456,product_tbl[],2,FALSE)</f>
        <v>Washing Machine 33</v>
      </c>
      <c r="H456" t="str">
        <f>VLOOKUP(B456,product_tbl[],3,FALSE)</f>
        <v>Home Appliances</v>
      </c>
      <c r="I456">
        <v>3031.7939999999999</v>
      </c>
      <c r="J456">
        <f>VLOOKUP(B456,product_tbl[],5,FALSE)</f>
        <v>5052.99</v>
      </c>
      <c r="K456">
        <f>VLOOKUP(B456,review_tbl[],3,FALSE)</f>
        <v>3</v>
      </c>
      <c r="L456" s="11">
        <v>6425.2532781091895</v>
      </c>
      <c r="M456" s="11">
        <f>AVERAGEIF(Table1[product_id],Master_tbl!B456:B1457,Table1[competitor_price])</f>
        <v>2776.7875000000004</v>
      </c>
      <c r="N456" s="11">
        <f>IFERROR(Table5[[#This Row],[final_sale_price]]*Table5[[#This Row],[quantity_sold ]],0)</f>
        <v>83677.5144</v>
      </c>
      <c r="O456" s="11">
        <f>(Table5[[#This Row],[final_sale_price]]-Table5[[#This Row],[cost_price]])*Table5[[#This Row],[quantity_sold ]]</f>
        <v>29105.222399999999</v>
      </c>
      <c r="P456" s="11">
        <f>(Table5[final_sale_price]-Table5[[#This Row],[avg_comp_price]])</f>
        <v>1871.9632999999994</v>
      </c>
      <c r="Q456" s="15">
        <f>(Table5[[#This Row],[final_sale_price]]-Table5[[#This Row],[avg_comp_price]])/Table5[[#This Row],[avg_comp_price]]</f>
        <v>0.67414712144879618</v>
      </c>
      <c r="R456" s="11">
        <f>Table5[[#This Row],[Profit]]/Table5[[#This Row],[Revenue]]</f>
        <v>0.34782608695652173</v>
      </c>
    </row>
    <row r="457" spans="1:18" x14ac:dyDescent="0.2">
      <c r="A457" s="5">
        <v>456</v>
      </c>
      <c r="B457" s="5">
        <v>92</v>
      </c>
      <c r="C457" s="7">
        <v>45371</v>
      </c>
      <c r="D457" s="5">
        <v>22</v>
      </c>
      <c r="E457" s="4">
        <v>8</v>
      </c>
      <c r="F457" s="12">
        <f t="shared" si="7"/>
        <v>3291.7784000000001</v>
      </c>
      <c r="G457" t="str">
        <f>VLOOKUP(B457,product_tbl[],2,FALSE)</f>
        <v>Puzzle Set 92</v>
      </c>
      <c r="H457" t="str">
        <f>VLOOKUP(B457,product_tbl[],3,FALSE)</f>
        <v>Toys</v>
      </c>
      <c r="I457">
        <v>2146.8119999999999</v>
      </c>
      <c r="J457">
        <f>VLOOKUP(B457,product_tbl[],5,FALSE)</f>
        <v>3578.02</v>
      </c>
      <c r="K457">
        <f>VLOOKUP(B457,review_tbl[],3,FALSE)</f>
        <v>5</v>
      </c>
      <c r="L457" s="11">
        <v>4032.623227504997</v>
      </c>
      <c r="M457" s="11">
        <f>AVERAGEIF(Table1[product_id],Master_tbl!B457:B1458,Table1[competitor_price])</f>
        <v>5387.83</v>
      </c>
      <c r="N457" s="11">
        <f>IFERROR(Table5[[#This Row],[final_sale_price]]*Table5[[#This Row],[quantity_sold ]],0)</f>
        <v>72419.124800000005</v>
      </c>
      <c r="O457" s="11">
        <f>(Table5[[#This Row],[final_sale_price]]-Table5[[#This Row],[cost_price]])*Table5[[#This Row],[quantity_sold ]]</f>
        <v>25189.260800000004</v>
      </c>
      <c r="P457" s="11">
        <f>(Table5[final_sale_price]-Table5[[#This Row],[avg_comp_price]])</f>
        <v>-2096.0515999999998</v>
      </c>
      <c r="Q457" s="15">
        <f>(Table5[[#This Row],[final_sale_price]]-Table5[[#This Row],[avg_comp_price]])/Table5[[#This Row],[avg_comp_price]]</f>
        <v>-0.38903447213442144</v>
      </c>
      <c r="R457" s="11">
        <f>Table5[[#This Row],[Profit]]/Table5[[#This Row],[Revenue]]</f>
        <v>0.34782608695652178</v>
      </c>
    </row>
    <row r="458" spans="1:18" x14ac:dyDescent="0.2">
      <c r="A458" s="4">
        <v>457</v>
      </c>
      <c r="B458" s="4">
        <v>35</v>
      </c>
      <c r="C458" s="6">
        <v>45865</v>
      </c>
      <c r="D458" s="4">
        <v>2</v>
      </c>
      <c r="E458" s="4">
        <v>3</v>
      </c>
      <c r="F458" s="12">
        <f t="shared" si="7"/>
        <v>131.1343</v>
      </c>
      <c r="G458" t="str">
        <f>VLOOKUP(B458,product_tbl[],2,FALSE)</f>
        <v>Sneakers 35</v>
      </c>
      <c r="H458" t="str">
        <f>VLOOKUP(B458,product_tbl[],3,FALSE)</f>
        <v>Fashion</v>
      </c>
      <c r="I458">
        <v>81.11399999999999</v>
      </c>
      <c r="J458">
        <f>VLOOKUP(B458,product_tbl[],5,FALSE)</f>
        <v>135.19</v>
      </c>
      <c r="K458">
        <f>VLOOKUP(B458,review_tbl[],3,FALSE)</f>
        <v>3</v>
      </c>
      <c r="L458" s="11">
        <v>155.82344376330127</v>
      </c>
      <c r="M458" s="11">
        <f>AVERAGEIF(Table1[product_id],Master_tbl!B458:B1459,Table1[competitor_price])</f>
        <v>2089.5899999999997</v>
      </c>
      <c r="N458" s="11">
        <f>IFERROR(Table5[[#This Row],[final_sale_price]]*Table5[[#This Row],[quantity_sold ]],0)</f>
        <v>262.26859999999999</v>
      </c>
      <c r="O458" s="11">
        <f>(Table5[[#This Row],[final_sale_price]]-Table5[[#This Row],[cost_price]])*Table5[[#This Row],[quantity_sold ]]</f>
        <v>100.04060000000001</v>
      </c>
      <c r="P458" s="11">
        <f>(Table5[final_sale_price]-Table5[[#This Row],[avg_comp_price]])</f>
        <v>-1958.4556999999998</v>
      </c>
      <c r="Q458" s="15">
        <f>(Table5[[#This Row],[final_sale_price]]-Table5[[#This Row],[avg_comp_price]])/Table5[[#This Row],[avg_comp_price]]</f>
        <v>-0.93724400480477033</v>
      </c>
      <c r="R458" s="11">
        <f>Table5[[#This Row],[Profit]]/Table5[[#This Row],[Revenue]]</f>
        <v>0.3814432989690722</v>
      </c>
    </row>
    <row r="459" spans="1:18" x14ac:dyDescent="0.2">
      <c r="A459" s="5">
        <v>458</v>
      </c>
      <c r="B459" s="5">
        <v>138</v>
      </c>
      <c r="C459" s="7">
        <v>46021</v>
      </c>
      <c r="D459" s="5">
        <v>8</v>
      </c>
      <c r="E459" s="4">
        <v>5</v>
      </c>
      <c r="F459" s="12">
        <f t="shared" si="7"/>
        <v>2936.9154999999996</v>
      </c>
      <c r="G459" t="str">
        <f>VLOOKUP(B459,product_tbl[],2,FALSE)</f>
        <v>Running Shoes 138</v>
      </c>
      <c r="H459" t="str">
        <f>VLOOKUP(B459,product_tbl[],3,FALSE)</f>
        <v>Sports</v>
      </c>
      <c r="I459">
        <v>1854.8939999999998</v>
      </c>
      <c r="J459">
        <f>VLOOKUP(B459,product_tbl[],5,FALSE)</f>
        <v>3091.49</v>
      </c>
      <c r="K459">
        <f>VLOOKUP(B459,review_tbl[],3,FALSE)</f>
        <v>5</v>
      </c>
      <c r="L459" s="11">
        <v>3770.8951071987785</v>
      </c>
      <c r="M459" s="11">
        <f>AVERAGEIF(Table1[product_id],Master_tbl!B459:B1460,Table1[competitor_price])</f>
        <v>4980.4933333333329</v>
      </c>
      <c r="N459" s="11">
        <f>IFERROR(Table5[[#This Row],[final_sale_price]]*Table5[[#This Row],[quantity_sold ]],0)</f>
        <v>23495.323999999997</v>
      </c>
      <c r="O459" s="11">
        <f>(Table5[[#This Row],[final_sale_price]]-Table5[[#This Row],[cost_price]])*Table5[[#This Row],[quantity_sold ]]</f>
        <v>8656.1719999999987</v>
      </c>
      <c r="P459" s="11">
        <f>(Table5[final_sale_price]-Table5[[#This Row],[avg_comp_price]])</f>
        <v>-2043.5778333333333</v>
      </c>
      <c r="Q459" s="15">
        <f>(Table5[[#This Row],[final_sale_price]]-Table5[[#This Row],[avg_comp_price]])/Table5[[#This Row],[avg_comp_price]]</f>
        <v>-0.41031634751042068</v>
      </c>
      <c r="R459" s="11">
        <f>Table5[[#This Row],[Profit]]/Table5[[#This Row],[Revenue]]</f>
        <v>0.36842105263157893</v>
      </c>
    </row>
    <row r="460" spans="1:18" x14ac:dyDescent="0.2">
      <c r="A460" s="4">
        <v>459</v>
      </c>
      <c r="B460" s="4">
        <v>87</v>
      </c>
      <c r="C460" s="6">
        <v>45810</v>
      </c>
      <c r="D460" s="4">
        <v>35</v>
      </c>
      <c r="E460" s="4">
        <v>10</v>
      </c>
      <c r="F460" s="12">
        <f t="shared" si="7"/>
        <v>3684.7080000000001</v>
      </c>
      <c r="G460" t="str">
        <f>VLOOKUP(B460,product_tbl[],2,FALSE)</f>
        <v>Laptop 87</v>
      </c>
      <c r="H460" t="str">
        <f>VLOOKUP(B460,product_tbl[],3,FALSE)</f>
        <v>Electronics</v>
      </c>
      <c r="I460">
        <v>2456.4719999999998</v>
      </c>
      <c r="J460">
        <f>VLOOKUP(B460,product_tbl[],5,FALSE)</f>
        <v>4094.12</v>
      </c>
      <c r="K460">
        <f>VLOOKUP(B460,review_tbl[],3,FALSE)</f>
        <v>2</v>
      </c>
      <c r="L460" s="11">
        <v>4257.5734259668307</v>
      </c>
      <c r="M460" s="11">
        <f>AVERAGEIF(Table1[product_id],Master_tbl!B460:B1461,Table1[competitor_price])</f>
        <v>493.79250000000002</v>
      </c>
      <c r="N460" s="11">
        <f>IFERROR(Table5[[#This Row],[final_sale_price]]*Table5[[#This Row],[quantity_sold ]],0)</f>
        <v>128964.78</v>
      </c>
      <c r="O460" s="11">
        <f>(Table5[[#This Row],[final_sale_price]]-Table5[[#This Row],[cost_price]])*Table5[[#This Row],[quantity_sold ]]</f>
        <v>42988.260000000009</v>
      </c>
      <c r="P460" s="11">
        <f>(Table5[final_sale_price]-Table5[[#This Row],[avg_comp_price]])</f>
        <v>3190.9155000000001</v>
      </c>
      <c r="Q460" s="15">
        <f>(Table5[[#This Row],[final_sale_price]]-Table5[[#This Row],[avg_comp_price]])/Table5[[#This Row],[avg_comp_price]]</f>
        <v>6.4620574431567919</v>
      </c>
      <c r="R460" s="11">
        <f>Table5[[#This Row],[Profit]]/Table5[[#This Row],[Revenue]]</f>
        <v>0.33333333333333343</v>
      </c>
    </row>
    <row r="461" spans="1:18" x14ac:dyDescent="0.2">
      <c r="A461" s="5">
        <v>460</v>
      </c>
      <c r="B461" s="5">
        <v>56</v>
      </c>
      <c r="C461" s="7">
        <v>45088</v>
      </c>
      <c r="D461" s="5">
        <v>2</v>
      </c>
      <c r="E461" s="4">
        <v>9</v>
      </c>
      <c r="F461" s="12">
        <f t="shared" si="7"/>
        <v>7263.4380000000001</v>
      </c>
      <c r="G461" t="str">
        <f>VLOOKUP(B461,product_tbl[],2,FALSE)</f>
        <v>Smartwatch 56</v>
      </c>
      <c r="H461" t="str">
        <f>VLOOKUP(B461,product_tbl[],3,FALSE)</f>
        <v>Electronics</v>
      </c>
      <c r="I461">
        <v>4789.08</v>
      </c>
      <c r="J461">
        <f>VLOOKUP(B461,product_tbl[],5,FALSE)</f>
        <v>7981.8</v>
      </c>
      <c r="K461">
        <f>VLOOKUP(B461,review_tbl[],3,FALSE)</f>
        <v>5</v>
      </c>
      <c r="L461" s="11">
        <v>8643.1619614365591</v>
      </c>
      <c r="M461" s="11">
        <f>AVERAGEIF(Table1[product_id],Master_tbl!B461:B1462,Table1[competitor_price])</f>
        <v>3458.9274999999998</v>
      </c>
      <c r="N461" s="11">
        <f>IFERROR(Table5[[#This Row],[final_sale_price]]*Table5[[#This Row],[quantity_sold ]],0)</f>
        <v>14526.876</v>
      </c>
      <c r="O461" s="11">
        <f>(Table5[[#This Row],[final_sale_price]]-Table5[[#This Row],[cost_price]])*Table5[[#This Row],[quantity_sold ]]</f>
        <v>4948.7160000000003</v>
      </c>
      <c r="P461" s="11">
        <f>(Table5[final_sale_price]-Table5[[#This Row],[avg_comp_price]])</f>
        <v>3804.5105000000003</v>
      </c>
      <c r="Q461" s="15">
        <f>(Table5[[#This Row],[final_sale_price]]-Table5[[#This Row],[avg_comp_price]])/Table5[[#This Row],[avg_comp_price]]</f>
        <v>1.0999104491204283</v>
      </c>
      <c r="R461" s="11">
        <f>Table5[[#This Row],[Profit]]/Table5[[#This Row],[Revenue]]</f>
        <v>0.34065934065934067</v>
      </c>
    </row>
    <row r="462" spans="1:18" x14ac:dyDescent="0.2">
      <c r="A462" s="4">
        <v>461</v>
      </c>
      <c r="B462" s="4">
        <v>79</v>
      </c>
      <c r="C462" s="6">
        <v>44950</v>
      </c>
      <c r="D462" s="4">
        <v>26</v>
      </c>
      <c r="E462" s="4">
        <v>7</v>
      </c>
      <c r="F462" s="12">
        <f t="shared" si="7"/>
        <v>2053.3748999999998</v>
      </c>
      <c r="G462" t="str">
        <f>VLOOKUP(B462,product_tbl[],2,FALSE)</f>
        <v>Biography 79</v>
      </c>
      <c r="H462" t="str">
        <f>VLOOKUP(B462,product_tbl[],3,FALSE)</f>
        <v>Books</v>
      </c>
      <c r="I462">
        <v>1324.7579999999998</v>
      </c>
      <c r="J462">
        <f>VLOOKUP(B462,product_tbl[],5,FALSE)</f>
        <v>2207.9299999999998</v>
      </c>
      <c r="K462">
        <f>VLOOKUP(B462,review_tbl[],3,FALSE)</f>
        <v>1</v>
      </c>
      <c r="L462" s="11">
        <v>2340.8034346612731</v>
      </c>
      <c r="M462" s="11">
        <f>AVERAGEIF(Table1[product_id],Master_tbl!B462:B1463,Table1[competitor_price])</f>
        <v>197.005</v>
      </c>
      <c r="N462" s="11">
        <f>IFERROR(Table5[[#This Row],[final_sale_price]]*Table5[[#This Row],[quantity_sold ]],0)</f>
        <v>53387.747399999993</v>
      </c>
      <c r="O462" s="11">
        <f>(Table5[[#This Row],[final_sale_price]]-Table5[[#This Row],[cost_price]])*Table5[[#This Row],[quantity_sold ]]</f>
        <v>18944.039400000001</v>
      </c>
      <c r="P462" s="11">
        <f>(Table5[final_sale_price]-Table5[[#This Row],[avg_comp_price]])</f>
        <v>1856.3698999999997</v>
      </c>
      <c r="Q462" s="15">
        <f>(Table5[[#This Row],[final_sale_price]]-Table5[[#This Row],[avg_comp_price]])/Table5[[#This Row],[avg_comp_price]]</f>
        <v>9.4229583005507465</v>
      </c>
      <c r="R462" s="11">
        <f>Table5[[#This Row],[Profit]]/Table5[[#This Row],[Revenue]]</f>
        <v>0.35483870967741943</v>
      </c>
    </row>
    <row r="463" spans="1:18" x14ac:dyDescent="0.2">
      <c r="A463" s="5">
        <v>462</v>
      </c>
      <c r="B463" s="5">
        <v>72</v>
      </c>
      <c r="C463" s="7">
        <v>45426</v>
      </c>
      <c r="D463" s="5">
        <v>47</v>
      </c>
      <c r="E463" s="4">
        <v>4</v>
      </c>
      <c r="F463" s="12">
        <f t="shared" si="7"/>
        <v>5569.3439999999991</v>
      </c>
      <c r="G463" t="str">
        <f>VLOOKUP(B463,product_tbl[],2,FALSE)</f>
        <v>Smartwatch 72</v>
      </c>
      <c r="H463" t="str">
        <f>VLOOKUP(B463,product_tbl[],3,FALSE)</f>
        <v>Electronics</v>
      </c>
      <c r="I463">
        <v>3480.8399999999997</v>
      </c>
      <c r="J463">
        <f>VLOOKUP(B463,product_tbl[],5,FALSE)</f>
        <v>5801.4</v>
      </c>
      <c r="K463">
        <f>VLOOKUP(B463,review_tbl[],3,FALSE)</f>
        <v>3</v>
      </c>
      <c r="L463" s="11">
        <v>6133.302331191383</v>
      </c>
      <c r="M463" s="11">
        <f>AVERAGEIF(Table1[product_id],Master_tbl!B463:B1464,Table1[competitor_price])</f>
        <v>5210.5919999999996</v>
      </c>
      <c r="N463" s="11">
        <f>IFERROR(Table5[[#This Row],[final_sale_price]]*Table5[[#This Row],[quantity_sold ]],0)</f>
        <v>261759.16799999995</v>
      </c>
      <c r="O463" s="11">
        <f>(Table5[[#This Row],[final_sale_price]]-Table5[[#This Row],[cost_price]])*Table5[[#This Row],[quantity_sold ]]</f>
        <v>98159.68799999998</v>
      </c>
      <c r="P463" s="11">
        <f>(Table5[final_sale_price]-Table5[[#This Row],[avg_comp_price]])</f>
        <v>358.7519999999995</v>
      </c>
      <c r="Q463" s="15">
        <f>(Table5[[#This Row],[final_sale_price]]-Table5[[#This Row],[avg_comp_price]])/Table5[[#This Row],[avg_comp_price]]</f>
        <v>6.885052600549027E-2</v>
      </c>
      <c r="R463" s="11">
        <f>Table5[[#This Row],[Profit]]/Table5[[#This Row],[Revenue]]</f>
        <v>0.375</v>
      </c>
    </row>
    <row r="464" spans="1:18" x14ac:dyDescent="0.2">
      <c r="A464" s="4">
        <v>463</v>
      </c>
      <c r="B464" s="4">
        <v>117</v>
      </c>
      <c r="C464" s="6">
        <v>45402</v>
      </c>
      <c r="D464" s="4">
        <v>38</v>
      </c>
      <c r="E464" s="4">
        <v>10</v>
      </c>
      <c r="F464" s="12">
        <f t="shared" si="7"/>
        <v>1914.462</v>
      </c>
      <c r="G464" t="str">
        <f>VLOOKUP(B464,product_tbl[],2,FALSE)</f>
        <v>Refrigerator 117</v>
      </c>
      <c r="H464" t="str">
        <f>VLOOKUP(B464,product_tbl[],3,FALSE)</f>
        <v>Home Appliances</v>
      </c>
      <c r="I464">
        <v>1276.3079999999998</v>
      </c>
      <c r="J464">
        <f>VLOOKUP(B464,product_tbl[],5,FALSE)</f>
        <v>2127.1799999999998</v>
      </c>
      <c r="K464">
        <f>VLOOKUP(B464,review_tbl[],3,FALSE)</f>
        <v>1</v>
      </c>
      <c r="L464" s="11">
        <v>2377.5567389555063</v>
      </c>
      <c r="M464" s="11">
        <f>AVERAGEIF(Table1[product_id],Master_tbl!B464:B1465,Table1[competitor_price])</f>
        <v>892.9766666666668</v>
      </c>
      <c r="N464" s="11">
        <f>IFERROR(Table5[[#This Row],[final_sale_price]]*Table5[[#This Row],[quantity_sold ]],0)</f>
        <v>72749.555999999997</v>
      </c>
      <c r="O464" s="11">
        <f>(Table5[[#This Row],[final_sale_price]]-Table5[[#This Row],[cost_price]])*Table5[[#This Row],[quantity_sold ]]</f>
        <v>24249.85200000001</v>
      </c>
      <c r="P464" s="11">
        <f>(Table5[final_sale_price]-Table5[[#This Row],[avg_comp_price]])</f>
        <v>1021.4853333333332</v>
      </c>
      <c r="Q464" s="15">
        <f>(Table5[[#This Row],[final_sale_price]]-Table5[[#This Row],[avg_comp_price]])/Table5[[#This Row],[avg_comp_price]]</f>
        <v>1.1439104418555166</v>
      </c>
      <c r="R464" s="11">
        <f>Table5[[#This Row],[Profit]]/Table5[[#This Row],[Revenue]]</f>
        <v>0.33333333333333348</v>
      </c>
    </row>
    <row r="465" spans="1:18" x14ac:dyDescent="0.2">
      <c r="A465" s="5">
        <v>464</v>
      </c>
      <c r="B465" s="5">
        <v>132</v>
      </c>
      <c r="C465" s="7">
        <v>45044</v>
      </c>
      <c r="D465" s="5">
        <v>32</v>
      </c>
      <c r="E465" s="4">
        <v>7</v>
      </c>
      <c r="F465" s="12">
        <f t="shared" si="7"/>
        <v>5104.1468999999997</v>
      </c>
      <c r="G465" t="str">
        <f>VLOOKUP(B465,product_tbl[],2,FALSE)</f>
        <v>Cricket Bat 132</v>
      </c>
      <c r="H465" t="str">
        <f>VLOOKUP(B465,product_tbl[],3,FALSE)</f>
        <v>Sports</v>
      </c>
      <c r="I465">
        <v>3292.998</v>
      </c>
      <c r="J465">
        <f>VLOOKUP(B465,product_tbl[],5,FALSE)</f>
        <v>5488.33</v>
      </c>
      <c r="K465">
        <f>VLOOKUP(B465,review_tbl[],3,FALSE)</f>
        <v>5</v>
      </c>
      <c r="L465" s="11">
        <v>6337.3036879516949</v>
      </c>
      <c r="M465" s="11">
        <f>AVERAGEIF(Table1[product_id],Master_tbl!B465:B1466,Table1[competitor_price])</f>
        <v>3374.6533333333332</v>
      </c>
      <c r="N465" s="11">
        <f>IFERROR(Table5[[#This Row],[final_sale_price]]*Table5[[#This Row],[quantity_sold ]],0)</f>
        <v>163332.70079999999</v>
      </c>
      <c r="O465" s="11">
        <f>(Table5[[#This Row],[final_sale_price]]-Table5[[#This Row],[cost_price]])*Table5[[#This Row],[quantity_sold ]]</f>
        <v>57956.76479999999</v>
      </c>
      <c r="P465" s="11">
        <f>(Table5[final_sale_price]-Table5[[#This Row],[avg_comp_price]])</f>
        <v>1729.4935666666665</v>
      </c>
      <c r="Q465" s="15">
        <f>(Table5[[#This Row],[final_sale_price]]-Table5[[#This Row],[avg_comp_price]])/Table5[[#This Row],[avg_comp_price]]</f>
        <v>0.5124951797517967</v>
      </c>
      <c r="R465" s="11">
        <f>Table5[[#This Row],[Profit]]/Table5[[#This Row],[Revenue]]</f>
        <v>0.35483870967741932</v>
      </c>
    </row>
    <row r="466" spans="1:18" x14ac:dyDescent="0.2">
      <c r="A466" s="4">
        <v>465</v>
      </c>
      <c r="B466" s="4">
        <v>113</v>
      </c>
      <c r="C466" s="6">
        <v>45241</v>
      </c>
      <c r="D466" s="4">
        <v>45</v>
      </c>
      <c r="E466" s="4">
        <v>7</v>
      </c>
      <c r="F466" s="12">
        <f t="shared" si="7"/>
        <v>4491.1187999999993</v>
      </c>
      <c r="G466" t="str">
        <f>VLOOKUP(B466,product_tbl[],2,FALSE)</f>
        <v>Green Tea 113</v>
      </c>
      <c r="H466" t="str">
        <f>VLOOKUP(B466,product_tbl[],3,FALSE)</f>
        <v>Grocery</v>
      </c>
      <c r="I466">
        <v>2897.4959999999996</v>
      </c>
      <c r="J466">
        <f>VLOOKUP(B466,product_tbl[],5,FALSE)</f>
        <v>4829.16</v>
      </c>
      <c r="K466">
        <f>VLOOKUP(B466,review_tbl[],3,FALSE)</f>
        <v>1</v>
      </c>
      <c r="L466" s="11">
        <v>5784.8062346523384</v>
      </c>
      <c r="M466" s="11">
        <f>AVERAGEIF(Table1[product_id],Master_tbl!B466:B1467,Table1[competitor_price])</f>
        <v>4302.05</v>
      </c>
      <c r="N466" s="11">
        <f>IFERROR(Table5[[#This Row],[final_sale_price]]*Table5[[#This Row],[quantity_sold ]],0)</f>
        <v>202100.34599999996</v>
      </c>
      <c r="O466" s="11">
        <f>(Table5[[#This Row],[final_sale_price]]-Table5[[#This Row],[cost_price]])*Table5[[#This Row],[quantity_sold ]]</f>
        <v>71713.025999999983</v>
      </c>
      <c r="P466" s="11">
        <f>(Table5[final_sale_price]-Table5[[#This Row],[avg_comp_price]])</f>
        <v>189.0687999999991</v>
      </c>
      <c r="Q466" s="15">
        <f>(Table5[[#This Row],[final_sale_price]]-Table5[[#This Row],[avg_comp_price]])/Table5[[#This Row],[avg_comp_price]]</f>
        <v>4.3948536162991853E-2</v>
      </c>
      <c r="R466" s="11">
        <f>Table5[[#This Row],[Profit]]/Table5[[#This Row],[Revenue]]</f>
        <v>0.35483870967741932</v>
      </c>
    </row>
    <row r="467" spans="1:18" x14ac:dyDescent="0.2">
      <c r="A467" s="5">
        <v>466</v>
      </c>
      <c r="B467" s="5">
        <v>114</v>
      </c>
      <c r="C467" s="7">
        <v>45330</v>
      </c>
      <c r="D467" s="5">
        <v>44</v>
      </c>
      <c r="E467" s="4">
        <v>3</v>
      </c>
      <c r="F467" s="12">
        <f t="shared" si="7"/>
        <v>7415.0776999999998</v>
      </c>
      <c r="G467" t="str">
        <f>VLOOKUP(B467,product_tbl[],2,FALSE)</f>
        <v>Smartwatch 114</v>
      </c>
      <c r="H467" t="str">
        <f>VLOOKUP(B467,product_tbl[],3,FALSE)</f>
        <v>Electronics</v>
      </c>
      <c r="I467">
        <v>4586.6459999999997</v>
      </c>
      <c r="J467">
        <f>VLOOKUP(B467,product_tbl[],5,FALSE)</f>
        <v>7644.41</v>
      </c>
      <c r="K467">
        <f>VLOOKUP(B467,review_tbl[],3,FALSE)</f>
        <v>2</v>
      </c>
      <c r="L467" s="11">
        <v>8691.0331720041158</v>
      </c>
      <c r="M467" s="11">
        <f>AVERAGEIF(Table1[product_id],Master_tbl!B467:B1468,Table1[competitor_price])</f>
        <v>6494.3074999999999</v>
      </c>
      <c r="N467" s="11">
        <f>IFERROR(Table5[[#This Row],[final_sale_price]]*Table5[[#This Row],[quantity_sold ]],0)</f>
        <v>326263.41879999998</v>
      </c>
      <c r="O467" s="11">
        <f>(Table5[[#This Row],[final_sale_price]]-Table5[[#This Row],[cost_price]])*Table5[[#This Row],[quantity_sold ]]</f>
        <v>124450.9948</v>
      </c>
      <c r="P467" s="11">
        <f>(Table5[final_sale_price]-Table5[[#This Row],[avg_comp_price]])</f>
        <v>920.77019999999993</v>
      </c>
      <c r="Q467" s="15">
        <f>(Table5[[#This Row],[final_sale_price]]-Table5[[#This Row],[avg_comp_price]])/Table5[[#This Row],[avg_comp_price]]</f>
        <v>0.14178112138977095</v>
      </c>
      <c r="R467" s="11">
        <f>Table5[[#This Row],[Profit]]/Table5[[#This Row],[Revenue]]</f>
        <v>0.3814432989690722</v>
      </c>
    </row>
    <row r="468" spans="1:18" x14ac:dyDescent="0.2">
      <c r="A468" s="4">
        <v>467</v>
      </c>
      <c r="B468" s="4">
        <v>149</v>
      </c>
      <c r="C468" s="6">
        <v>45992</v>
      </c>
      <c r="D468" s="4">
        <v>20</v>
      </c>
      <c r="E468" s="4">
        <v>3</v>
      </c>
      <c r="F468" s="12">
        <f t="shared" si="7"/>
        <v>5943.9465999999993</v>
      </c>
      <c r="G468" t="str">
        <f>VLOOKUP(B468,product_tbl[],2,FALSE)</f>
        <v>Smartphone 149</v>
      </c>
      <c r="H468" t="str">
        <f>VLOOKUP(B468,product_tbl[],3,FALSE)</f>
        <v>Electronics</v>
      </c>
      <c r="I468">
        <v>3676.6679999999997</v>
      </c>
      <c r="J468">
        <f>VLOOKUP(B468,product_tbl[],5,FALSE)</f>
        <v>6127.78</v>
      </c>
      <c r="K468">
        <f>VLOOKUP(B468,review_tbl[],3,FALSE)</f>
        <v>4</v>
      </c>
      <c r="L468" s="11">
        <v>6880.6178341434252</v>
      </c>
      <c r="M468" s="11">
        <f>AVERAGEIF(Table1[product_id],Master_tbl!B468:B1469,Table1[competitor_price])</f>
        <v>3159.4639999999999</v>
      </c>
      <c r="N468" s="11">
        <f>IFERROR(Table5[[#This Row],[final_sale_price]]*Table5[[#This Row],[quantity_sold ]],0)</f>
        <v>118878.93199999999</v>
      </c>
      <c r="O468" s="11">
        <f>(Table5[[#This Row],[final_sale_price]]-Table5[[#This Row],[cost_price]])*Table5[[#This Row],[quantity_sold ]]</f>
        <v>45345.571999999993</v>
      </c>
      <c r="P468" s="11">
        <f>(Table5[final_sale_price]-Table5[[#This Row],[avg_comp_price]])</f>
        <v>2784.4825999999994</v>
      </c>
      <c r="Q468" s="15">
        <f>(Table5[[#This Row],[final_sale_price]]-Table5[[#This Row],[avg_comp_price]])/Table5[[#This Row],[avg_comp_price]]</f>
        <v>0.88131486859796448</v>
      </c>
      <c r="R468" s="11">
        <f>Table5[[#This Row],[Profit]]/Table5[[#This Row],[Revenue]]</f>
        <v>0.38144329896907214</v>
      </c>
    </row>
    <row r="469" spans="1:18" x14ac:dyDescent="0.2">
      <c r="A469" s="5">
        <v>468</v>
      </c>
      <c r="B469" s="5">
        <v>149</v>
      </c>
      <c r="C469" s="7">
        <v>45470</v>
      </c>
      <c r="D469" s="5">
        <v>25</v>
      </c>
      <c r="E469" s="4">
        <v>3</v>
      </c>
      <c r="F469" s="12">
        <f t="shared" si="7"/>
        <v>5943.9465999999993</v>
      </c>
      <c r="G469" t="str">
        <f>VLOOKUP(B469,product_tbl[],2,FALSE)</f>
        <v>Smartphone 149</v>
      </c>
      <c r="H469" t="str">
        <f>VLOOKUP(B469,product_tbl[],3,FALSE)</f>
        <v>Electronics</v>
      </c>
      <c r="I469">
        <v>3676.6679999999997</v>
      </c>
      <c r="J469">
        <f>VLOOKUP(B469,product_tbl[],5,FALSE)</f>
        <v>6127.78</v>
      </c>
      <c r="K469">
        <f>VLOOKUP(B469,review_tbl[],3,FALSE)</f>
        <v>4</v>
      </c>
      <c r="L469" s="11">
        <v>7002.1111642536598</v>
      </c>
      <c r="M469" s="11">
        <f>AVERAGEIF(Table1[product_id],Master_tbl!B469:B1470,Table1[competitor_price])</f>
        <v>3159.4639999999999</v>
      </c>
      <c r="N469" s="11">
        <f>IFERROR(Table5[[#This Row],[final_sale_price]]*Table5[[#This Row],[quantity_sold ]],0)</f>
        <v>148598.66499999998</v>
      </c>
      <c r="O469" s="11">
        <f>(Table5[[#This Row],[final_sale_price]]-Table5[[#This Row],[cost_price]])*Table5[[#This Row],[quantity_sold ]]</f>
        <v>56681.964999999989</v>
      </c>
      <c r="P469" s="11">
        <f>(Table5[final_sale_price]-Table5[[#This Row],[avg_comp_price]])</f>
        <v>2784.4825999999994</v>
      </c>
      <c r="Q469" s="15">
        <f>(Table5[[#This Row],[final_sale_price]]-Table5[[#This Row],[avg_comp_price]])/Table5[[#This Row],[avg_comp_price]]</f>
        <v>0.88131486859796448</v>
      </c>
      <c r="R469" s="11">
        <f>Table5[[#This Row],[Profit]]/Table5[[#This Row],[Revenue]]</f>
        <v>0.38144329896907214</v>
      </c>
    </row>
    <row r="470" spans="1:18" x14ac:dyDescent="0.2">
      <c r="A470" s="4">
        <v>469</v>
      </c>
      <c r="B470" s="4">
        <v>135</v>
      </c>
      <c r="C470" s="6">
        <v>45735</v>
      </c>
      <c r="D470" s="4">
        <v>39</v>
      </c>
      <c r="E470" s="4">
        <v>5</v>
      </c>
      <c r="F470" s="12">
        <f t="shared" si="7"/>
        <v>7390.7244999999994</v>
      </c>
      <c r="G470" t="str">
        <f>VLOOKUP(B470,product_tbl[],2,FALSE)</f>
        <v>Water Purifier 135</v>
      </c>
      <c r="H470" t="str">
        <f>VLOOKUP(B470,product_tbl[],3,FALSE)</f>
        <v>Home Appliances</v>
      </c>
      <c r="I470">
        <v>4667.826</v>
      </c>
      <c r="J470">
        <f>VLOOKUP(B470,product_tbl[],5,FALSE)</f>
        <v>7779.71</v>
      </c>
      <c r="K470">
        <f>VLOOKUP(B470,review_tbl[],3,FALSE)</f>
        <v>5</v>
      </c>
      <c r="L470" s="11">
        <v>9943.8838049098485</v>
      </c>
      <c r="M470" s="11">
        <f>AVERAGEIF(Table1[product_id],Master_tbl!B470:B1471,Table1[competitor_price])</f>
        <v>4172.7833333333338</v>
      </c>
      <c r="N470" s="11">
        <f>IFERROR(Table5[[#This Row],[final_sale_price]]*Table5[[#This Row],[quantity_sold ]],0)</f>
        <v>288238.25549999997</v>
      </c>
      <c r="O470" s="11">
        <f>(Table5[[#This Row],[final_sale_price]]-Table5[[#This Row],[cost_price]])*Table5[[#This Row],[quantity_sold ]]</f>
        <v>106193.04149999998</v>
      </c>
      <c r="P470" s="11">
        <f>(Table5[final_sale_price]-Table5[[#This Row],[avg_comp_price]])</f>
        <v>3217.9411666666656</v>
      </c>
      <c r="Q470" s="15">
        <f>(Table5[[#This Row],[final_sale_price]]-Table5[[#This Row],[avg_comp_price]])/Table5[[#This Row],[avg_comp_price]]</f>
        <v>0.77117379686620013</v>
      </c>
      <c r="R470" s="11">
        <f>Table5[[#This Row],[Profit]]/Table5[[#This Row],[Revenue]]</f>
        <v>0.36842105263157893</v>
      </c>
    </row>
    <row r="471" spans="1:18" x14ac:dyDescent="0.2">
      <c r="A471" s="5">
        <v>470</v>
      </c>
      <c r="B471" s="5">
        <v>105</v>
      </c>
      <c r="C471" s="7">
        <v>45846</v>
      </c>
      <c r="D471" s="5">
        <v>38</v>
      </c>
      <c r="E471" s="4">
        <v>5</v>
      </c>
      <c r="F471" s="12">
        <f t="shared" si="7"/>
        <v>3935.9259999999999</v>
      </c>
      <c r="G471" t="str">
        <f>VLOOKUP(B471,product_tbl[],2,FALSE)</f>
        <v>Action Figure 105</v>
      </c>
      <c r="H471" t="str">
        <f>VLOOKUP(B471,product_tbl[],3,FALSE)</f>
        <v>Toys</v>
      </c>
      <c r="I471">
        <v>2485.848</v>
      </c>
      <c r="J471">
        <f>VLOOKUP(B471,product_tbl[],5,FALSE)</f>
        <v>4143.08</v>
      </c>
      <c r="K471">
        <f>VLOOKUP(B471,review_tbl[],3,FALSE)</f>
        <v>3</v>
      </c>
      <c r="L471" s="11">
        <v>5157.4278338130434</v>
      </c>
      <c r="M471" s="11">
        <f>AVERAGEIF(Table1[product_id],Master_tbl!B471:B1472,Table1[competitor_price])</f>
        <v>4778.8849999999993</v>
      </c>
      <c r="N471" s="11">
        <f>IFERROR(Table5[[#This Row],[final_sale_price]]*Table5[[#This Row],[quantity_sold ]],0)</f>
        <v>149565.18799999999</v>
      </c>
      <c r="O471" s="11">
        <f>(Table5[[#This Row],[final_sale_price]]-Table5[[#This Row],[cost_price]])*Table5[[#This Row],[quantity_sold ]]</f>
        <v>55102.964</v>
      </c>
      <c r="P471" s="11">
        <f>(Table5[final_sale_price]-Table5[[#This Row],[avg_comp_price]])</f>
        <v>-842.95899999999938</v>
      </c>
      <c r="Q471" s="15">
        <f>(Table5[[#This Row],[final_sale_price]]-Table5[[#This Row],[avg_comp_price]])/Table5[[#This Row],[avg_comp_price]]</f>
        <v>-0.17639240115633656</v>
      </c>
      <c r="R471" s="11">
        <f>Table5[[#This Row],[Profit]]/Table5[[#This Row],[Revenue]]</f>
        <v>0.36842105263157898</v>
      </c>
    </row>
    <row r="472" spans="1:18" x14ac:dyDescent="0.2">
      <c r="A472" s="4">
        <v>471</v>
      </c>
      <c r="B472" s="4">
        <v>18</v>
      </c>
      <c r="C472" s="6">
        <v>45054</v>
      </c>
      <c r="D472" s="4">
        <v>30</v>
      </c>
      <c r="E472" s="4">
        <v>3</v>
      </c>
      <c r="F472" s="12">
        <f t="shared" si="7"/>
        <v>8182.8715000000002</v>
      </c>
      <c r="G472" t="str">
        <f>VLOOKUP(B472,product_tbl[],2,FALSE)</f>
        <v>Coffee Beans 18</v>
      </c>
      <c r="H472" t="str">
        <f>VLOOKUP(B472,product_tbl[],3,FALSE)</f>
        <v>Grocery</v>
      </c>
      <c r="I472">
        <v>5061.5700000000006</v>
      </c>
      <c r="J472">
        <f>VLOOKUP(B472,product_tbl[],5,FALSE)</f>
        <v>8435.9500000000007</v>
      </c>
      <c r="K472">
        <f>VLOOKUP(B472,review_tbl[],3,FALSE)</f>
        <v>3</v>
      </c>
      <c r="L472" s="11">
        <v>8834.153377752873</v>
      </c>
      <c r="M472" s="11">
        <f>AVERAGEIF(Table1[product_id],Master_tbl!B472:B1473,Table1[competitor_price])</f>
        <v>1552.9240000000002</v>
      </c>
      <c r="N472" s="11">
        <f>IFERROR(Table5[[#This Row],[final_sale_price]]*Table5[[#This Row],[quantity_sold ]],0)</f>
        <v>245486.14500000002</v>
      </c>
      <c r="O472" s="11">
        <f>(Table5[[#This Row],[final_sale_price]]-Table5[[#This Row],[cost_price]])*Table5[[#This Row],[quantity_sold ]]</f>
        <v>93639.044999999984</v>
      </c>
      <c r="P472" s="11">
        <f>(Table5[final_sale_price]-Table5[[#This Row],[avg_comp_price]])</f>
        <v>6629.9475000000002</v>
      </c>
      <c r="Q472" s="15">
        <f>(Table5[[#This Row],[final_sale_price]]-Table5[[#This Row],[avg_comp_price]])/Table5[[#This Row],[avg_comp_price]]</f>
        <v>4.2693315963949292</v>
      </c>
      <c r="R472" s="11">
        <f>Table5[[#This Row],[Profit]]/Table5[[#This Row],[Revenue]]</f>
        <v>0.38144329896907209</v>
      </c>
    </row>
    <row r="473" spans="1:18" x14ac:dyDescent="0.2">
      <c r="A473" s="5">
        <v>472</v>
      </c>
      <c r="B473" s="5">
        <v>68</v>
      </c>
      <c r="C473" s="7">
        <v>45568</v>
      </c>
      <c r="D473" s="5">
        <v>7</v>
      </c>
      <c r="E473" s="4">
        <v>6</v>
      </c>
      <c r="F473" s="12">
        <f t="shared" si="7"/>
        <v>5680.8805999999995</v>
      </c>
      <c r="G473" t="str">
        <f>VLOOKUP(B473,product_tbl[],2,FALSE)</f>
        <v>Lipstick 68</v>
      </c>
      <c r="H473" t="str">
        <f>VLOOKUP(B473,product_tbl[],3,FALSE)</f>
        <v>Beauty</v>
      </c>
      <c r="I473">
        <v>3626.0939999999996</v>
      </c>
      <c r="J473">
        <f>VLOOKUP(B473,product_tbl[],5,FALSE)</f>
        <v>6043.49</v>
      </c>
      <c r="K473">
        <f>VLOOKUP(B473,review_tbl[],3,FALSE)</f>
        <v>2</v>
      </c>
      <c r="L473" s="11">
        <v>6586.4088971854817</v>
      </c>
      <c r="M473" s="11">
        <f>AVERAGEIF(Table1[product_id],Master_tbl!B473:B1474,Table1[competitor_price])</f>
        <v>796.21333333333325</v>
      </c>
      <c r="N473" s="11">
        <f>IFERROR(Table5[[#This Row],[final_sale_price]]*Table5[[#This Row],[quantity_sold ]],0)</f>
        <v>39766.164199999999</v>
      </c>
      <c r="O473" s="11">
        <f>(Table5[[#This Row],[final_sale_price]]-Table5[[#This Row],[cost_price]])*Table5[[#This Row],[quantity_sold ]]</f>
        <v>14383.5062</v>
      </c>
      <c r="P473" s="11">
        <f>(Table5[final_sale_price]-Table5[[#This Row],[avg_comp_price]])</f>
        <v>4884.6672666666664</v>
      </c>
      <c r="Q473" s="15">
        <f>(Table5[[#This Row],[final_sale_price]]-Table5[[#This Row],[avg_comp_price]])/Table5[[#This Row],[avg_comp_price]]</f>
        <v>6.1348724797374237</v>
      </c>
      <c r="R473" s="11">
        <f>Table5[[#This Row],[Profit]]/Table5[[#This Row],[Revenue]]</f>
        <v>0.36170212765957449</v>
      </c>
    </row>
    <row r="474" spans="1:18" x14ac:dyDescent="0.2">
      <c r="A474" s="4">
        <v>473</v>
      </c>
      <c r="B474" s="4">
        <v>26</v>
      </c>
      <c r="C474" s="6">
        <v>45274</v>
      </c>
      <c r="D474" s="4">
        <v>40</v>
      </c>
      <c r="E474" s="4">
        <v>5</v>
      </c>
      <c r="F474" s="12">
        <f t="shared" si="7"/>
        <v>5355.0739999999996</v>
      </c>
      <c r="G474" t="str">
        <f>VLOOKUP(B474,product_tbl[],2,FALSE)</f>
        <v>Rice Pack 26</v>
      </c>
      <c r="H474" t="str">
        <f>VLOOKUP(B474,product_tbl[],3,FALSE)</f>
        <v>Grocery</v>
      </c>
      <c r="I474">
        <v>3382.152</v>
      </c>
      <c r="J474">
        <f>VLOOKUP(B474,product_tbl[],5,FALSE)</f>
        <v>5636.92</v>
      </c>
      <c r="K474">
        <f>VLOOKUP(B474,review_tbl[],3,FALSE)</f>
        <v>4</v>
      </c>
      <c r="L474" s="11">
        <v>6452.8591079836606</v>
      </c>
      <c r="M474" s="11">
        <f>AVERAGEIF(Table1[product_id],Master_tbl!B474:B1475,Table1[competitor_price])</f>
        <v>3474.7766666666666</v>
      </c>
      <c r="N474" s="11">
        <f>IFERROR(Table5[[#This Row],[final_sale_price]]*Table5[[#This Row],[quantity_sold ]],0)</f>
        <v>214202.96</v>
      </c>
      <c r="O474" s="11">
        <f>(Table5[[#This Row],[final_sale_price]]-Table5[[#This Row],[cost_price]])*Table5[[#This Row],[quantity_sold ]]</f>
        <v>78916.879999999976</v>
      </c>
      <c r="P474" s="11">
        <f>(Table5[final_sale_price]-Table5[[#This Row],[avg_comp_price]])</f>
        <v>1880.297333333333</v>
      </c>
      <c r="Q474" s="15">
        <f>(Table5[[#This Row],[final_sale_price]]-Table5[[#This Row],[avg_comp_price]])/Table5[[#This Row],[avg_comp_price]]</f>
        <v>0.54112753529483415</v>
      </c>
      <c r="R474" s="11">
        <f>Table5[[#This Row],[Profit]]/Table5[[#This Row],[Revenue]]</f>
        <v>0.36842105263157887</v>
      </c>
    </row>
    <row r="475" spans="1:18" x14ac:dyDescent="0.2">
      <c r="A475" s="5">
        <v>474</v>
      </c>
      <c r="B475" s="5">
        <v>3</v>
      </c>
      <c r="C475" s="7">
        <v>45658</v>
      </c>
      <c r="D475" s="5">
        <v>8</v>
      </c>
      <c r="E475" s="4">
        <v>9</v>
      </c>
      <c r="F475" s="12">
        <f t="shared" si="7"/>
        <v>4701.7698</v>
      </c>
      <c r="G475" t="str">
        <f>VLOOKUP(B475,product_tbl[],2,FALSE)</f>
        <v>Biography 3</v>
      </c>
      <c r="H475" t="str">
        <f>VLOOKUP(B475,product_tbl[],3,FALSE)</f>
        <v>Books</v>
      </c>
      <c r="I475">
        <v>3100.0679999999998</v>
      </c>
      <c r="J475">
        <f>VLOOKUP(B475,product_tbl[],5,FALSE)</f>
        <v>5166.78</v>
      </c>
      <c r="K475">
        <f>VLOOKUP(B475,review_tbl[],3,FALSE)</f>
        <v>1</v>
      </c>
      <c r="L475" s="11">
        <v>5934.9401194497905</v>
      </c>
      <c r="M475" s="11">
        <f>AVERAGEIF(Table1[product_id],Master_tbl!B475:B1476,Table1[competitor_price])</f>
        <v>7049.42</v>
      </c>
      <c r="N475" s="11">
        <f>IFERROR(Table5[[#This Row],[final_sale_price]]*Table5[[#This Row],[quantity_sold ]],0)</f>
        <v>37614.1584</v>
      </c>
      <c r="O475" s="11">
        <f>(Table5[[#This Row],[final_sale_price]]-Table5[[#This Row],[cost_price]])*Table5[[#This Row],[quantity_sold ]]</f>
        <v>12813.614400000002</v>
      </c>
      <c r="P475" s="11">
        <f>(Table5[final_sale_price]-Table5[[#This Row],[avg_comp_price]])</f>
        <v>-2347.6502</v>
      </c>
      <c r="Q475" s="15">
        <f>(Table5[[#This Row],[final_sale_price]]-Table5[[#This Row],[avg_comp_price]])/Table5[[#This Row],[avg_comp_price]]</f>
        <v>-0.33302742636982902</v>
      </c>
      <c r="R475" s="11">
        <f>Table5[[#This Row],[Profit]]/Table5[[#This Row],[Revenue]]</f>
        <v>0.34065934065934073</v>
      </c>
    </row>
    <row r="476" spans="1:18" x14ac:dyDescent="0.2">
      <c r="A476" s="4">
        <v>475</v>
      </c>
      <c r="B476" s="4">
        <v>51</v>
      </c>
      <c r="C476" s="6">
        <v>45111</v>
      </c>
      <c r="D476" s="4">
        <v>5</v>
      </c>
      <c r="E476" s="4">
        <v>8</v>
      </c>
      <c r="F476" s="12">
        <f t="shared" si="7"/>
        <v>968.64039999999989</v>
      </c>
      <c r="G476" t="str">
        <f>VLOOKUP(B476,product_tbl[],2,FALSE)</f>
        <v>Bluetooth Speaker 51</v>
      </c>
      <c r="H476" t="str">
        <f>VLOOKUP(B476,product_tbl[],3,FALSE)</f>
        <v>Electronics</v>
      </c>
      <c r="I476">
        <v>631.72199999999987</v>
      </c>
      <c r="J476">
        <f>VLOOKUP(B476,product_tbl[],5,FALSE)</f>
        <v>1052.8699999999999</v>
      </c>
      <c r="K476">
        <f>VLOOKUP(B476,review_tbl[],3,FALSE)</f>
        <v>2</v>
      </c>
      <c r="L476" s="11">
        <v>1094.0531697977397</v>
      </c>
      <c r="M476" s="11">
        <f>AVERAGEIF(Table1[product_id],Master_tbl!B476:B1477,Table1[competitor_price])</f>
        <v>5383.6833333333334</v>
      </c>
      <c r="N476" s="11">
        <f>IFERROR(Table5[[#This Row],[final_sale_price]]*Table5[[#This Row],[quantity_sold ]],0)</f>
        <v>4843.2019999999993</v>
      </c>
      <c r="O476" s="11">
        <f>(Table5[[#This Row],[final_sale_price]]-Table5[[#This Row],[cost_price]])*Table5[[#This Row],[quantity_sold ]]</f>
        <v>1684.5920000000001</v>
      </c>
      <c r="P476" s="11">
        <f>(Table5[final_sale_price]-Table5[[#This Row],[avg_comp_price]])</f>
        <v>-4415.0429333333332</v>
      </c>
      <c r="Q476" s="15">
        <f>(Table5[[#This Row],[final_sale_price]]-Table5[[#This Row],[avg_comp_price]])/Table5[[#This Row],[avg_comp_price]]</f>
        <v>-0.82007849644450359</v>
      </c>
      <c r="R476" s="11">
        <f>Table5[[#This Row],[Profit]]/Table5[[#This Row],[Revenue]]</f>
        <v>0.34782608695652178</v>
      </c>
    </row>
    <row r="477" spans="1:18" x14ac:dyDescent="0.2">
      <c r="A477" s="5">
        <v>476</v>
      </c>
      <c r="B477" s="5">
        <v>90</v>
      </c>
      <c r="C477" s="7">
        <v>45440</v>
      </c>
      <c r="D477" s="5">
        <v>20</v>
      </c>
      <c r="E477" s="4">
        <v>10</v>
      </c>
      <c r="F477" s="12">
        <f t="shared" si="7"/>
        <v>1239.039</v>
      </c>
      <c r="G477" t="str">
        <f>VLOOKUP(B477,product_tbl[],2,FALSE)</f>
        <v>Washing Machine 90</v>
      </c>
      <c r="H477" t="str">
        <f>VLOOKUP(B477,product_tbl[],3,FALSE)</f>
        <v>Home Appliances</v>
      </c>
      <c r="I477">
        <v>826.02599999999995</v>
      </c>
      <c r="J477">
        <f>VLOOKUP(B477,product_tbl[],5,FALSE)</f>
        <v>1376.71</v>
      </c>
      <c r="K477">
        <f>VLOOKUP(B477,review_tbl[],3,FALSE)</f>
        <v>4</v>
      </c>
      <c r="L477" s="11">
        <v>1478.3704094266832</v>
      </c>
      <c r="M477" s="11">
        <f>AVERAGEIF(Table1[product_id],Master_tbl!B477:B1478,Table1[competitor_price])</f>
        <v>2414.7550000000001</v>
      </c>
      <c r="N477" s="11">
        <f>IFERROR(Table5[[#This Row],[final_sale_price]]*Table5[[#This Row],[quantity_sold ]],0)</f>
        <v>24780.78</v>
      </c>
      <c r="O477" s="11">
        <f>(Table5[[#This Row],[final_sale_price]]-Table5[[#This Row],[cost_price]])*Table5[[#This Row],[quantity_sold ]]</f>
        <v>8260.26</v>
      </c>
      <c r="P477" s="11">
        <f>(Table5[final_sale_price]-Table5[[#This Row],[avg_comp_price]])</f>
        <v>-1175.7160000000001</v>
      </c>
      <c r="Q477" s="15">
        <f>(Table5[[#This Row],[final_sale_price]]-Table5[[#This Row],[avg_comp_price]])/Table5[[#This Row],[avg_comp_price]]</f>
        <v>-0.48688831786247466</v>
      </c>
      <c r="R477" s="11">
        <f>Table5[[#This Row],[Profit]]/Table5[[#This Row],[Revenue]]</f>
        <v>0.33333333333333337</v>
      </c>
    </row>
    <row r="478" spans="1:18" x14ac:dyDescent="0.2">
      <c r="A478" s="4">
        <v>477</v>
      </c>
      <c r="B478" s="4">
        <v>130</v>
      </c>
      <c r="C478" s="6">
        <v>44940</v>
      </c>
      <c r="D478" s="4">
        <v>12</v>
      </c>
      <c r="E478" s="4">
        <v>8</v>
      </c>
      <c r="F478" s="12">
        <f t="shared" si="7"/>
        <v>2930.6507999999999</v>
      </c>
      <c r="G478" t="str">
        <f>VLOOKUP(B478,product_tbl[],2,FALSE)</f>
        <v>Gym Gloves 130</v>
      </c>
      <c r="H478" t="str">
        <f>VLOOKUP(B478,product_tbl[],3,FALSE)</f>
        <v>Sports</v>
      </c>
      <c r="I478">
        <v>1911.2939999999999</v>
      </c>
      <c r="J478">
        <f>VLOOKUP(B478,product_tbl[],5,FALSE)</f>
        <v>3185.49</v>
      </c>
      <c r="K478">
        <f>VLOOKUP(B478,review_tbl[],3,FALSE)</f>
        <v>5</v>
      </c>
      <c r="L478" s="11">
        <v>3702.3890831204699</v>
      </c>
      <c r="M478" s="11">
        <f>AVERAGEIF(Table1[product_id],Master_tbl!B478:B1479,Table1[competitor_price])</f>
        <v>3865.1374999999998</v>
      </c>
      <c r="N478" s="11">
        <f>IFERROR(Table5[[#This Row],[final_sale_price]]*Table5[[#This Row],[quantity_sold ]],0)</f>
        <v>35167.809600000001</v>
      </c>
      <c r="O478" s="11">
        <f>(Table5[[#This Row],[final_sale_price]]-Table5[[#This Row],[cost_price]])*Table5[[#This Row],[quantity_sold ]]</f>
        <v>12232.2816</v>
      </c>
      <c r="P478" s="11">
        <f>(Table5[final_sale_price]-Table5[[#This Row],[avg_comp_price]])</f>
        <v>-934.48669999999993</v>
      </c>
      <c r="Q478" s="15">
        <f>(Table5[[#This Row],[final_sale_price]]-Table5[[#This Row],[avg_comp_price]])/Table5[[#This Row],[avg_comp_price]]</f>
        <v>-0.24177320987933806</v>
      </c>
      <c r="R478" s="11">
        <f>Table5[[#This Row],[Profit]]/Table5[[#This Row],[Revenue]]</f>
        <v>0.34782608695652173</v>
      </c>
    </row>
    <row r="479" spans="1:18" x14ac:dyDescent="0.2">
      <c r="A479" s="5">
        <v>478</v>
      </c>
      <c r="B479" s="5">
        <v>80</v>
      </c>
      <c r="C479" s="7">
        <v>44979</v>
      </c>
      <c r="D479" s="5">
        <v>41</v>
      </c>
      <c r="E479" s="4">
        <v>9</v>
      </c>
      <c r="F479" s="12">
        <f t="shared" si="7"/>
        <v>909.15370000000007</v>
      </c>
      <c r="G479" t="str">
        <f>VLOOKUP(B479,product_tbl[],2,FALSE)</f>
        <v>Washing Machine 80</v>
      </c>
      <c r="H479" t="str">
        <f>VLOOKUP(B479,product_tbl[],3,FALSE)</f>
        <v>Home Appliances</v>
      </c>
      <c r="I479">
        <v>599.44200000000001</v>
      </c>
      <c r="J479">
        <f>VLOOKUP(B479,product_tbl[],5,FALSE)</f>
        <v>999.07</v>
      </c>
      <c r="K479">
        <f>VLOOKUP(B479,review_tbl[],3,FALSE)</f>
        <v>5</v>
      </c>
      <c r="L479" s="11">
        <v>1085.026524282013</v>
      </c>
      <c r="M479" s="11">
        <f>AVERAGEIF(Table1[product_id],Master_tbl!B479:B1480,Table1[competitor_price])</f>
        <v>4319.1966666666667</v>
      </c>
      <c r="N479" s="11">
        <f>IFERROR(Table5[[#This Row],[final_sale_price]]*Table5[[#This Row],[quantity_sold ]],0)</f>
        <v>37275.301700000004</v>
      </c>
      <c r="O479" s="11">
        <f>(Table5[[#This Row],[final_sale_price]]-Table5[[#This Row],[cost_price]])*Table5[[#This Row],[quantity_sold ]]</f>
        <v>12698.179700000002</v>
      </c>
      <c r="P479" s="11">
        <f>(Table5[final_sale_price]-Table5[[#This Row],[avg_comp_price]])</f>
        <v>-3410.0429666666669</v>
      </c>
      <c r="Q479" s="15">
        <f>(Table5[[#This Row],[final_sale_price]]-Table5[[#This Row],[avg_comp_price]])/Table5[[#This Row],[avg_comp_price]]</f>
        <v>-0.78950861232682934</v>
      </c>
      <c r="R479" s="11">
        <f>Table5[[#This Row],[Profit]]/Table5[[#This Row],[Revenue]]</f>
        <v>0.34065934065934067</v>
      </c>
    </row>
    <row r="480" spans="1:18" x14ac:dyDescent="0.2">
      <c r="A480" s="4">
        <v>479</v>
      </c>
      <c r="B480" s="4">
        <v>4</v>
      </c>
      <c r="C480" s="6">
        <v>45850</v>
      </c>
      <c r="D480" s="4">
        <v>48</v>
      </c>
      <c r="E480" s="4">
        <v>9</v>
      </c>
      <c r="F480" s="12">
        <f t="shared" si="7"/>
        <v>6447.6958000000004</v>
      </c>
      <c r="G480" t="str">
        <f>VLOOKUP(B480,product_tbl[],2,FALSE)</f>
        <v>Gym Gloves 4</v>
      </c>
      <c r="H480" t="str">
        <f>VLOOKUP(B480,product_tbl[],3,FALSE)</f>
        <v>Sports</v>
      </c>
      <c r="I480">
        <v>4251.2280000000001</v>
      </c>
      <c r="J480">
        <f>VLOOKUP(B480,product_tbl[],5,FALSE)</f>
        <v>7085.38</v>
      </c>
      <c r="K480">
        <f>VLOOKUP(B480,review_tbl[],3,FALSE)</f>
        <v>4</v>
      </c>
      <c r="L480" s="11">
        <v>7737.3406721666561</v>
      </c>
      <c r="M480" s="11">
        <f>AVERAGEIF(Table1[product_id],Master_tbl!B480:B1481,Table1[competitor_price])</f>
        <v>3570.2466666666674</v>
      </c>
      <c r="N480" s="11">
        <f>IFERROR(Table5[[#This Row],[final_sale_price]]*Table5[[#This Row],[quantity_sold ]],0)</f>
        <v>309489.39840000001</v>
      </c>
      <c r="O480" s="11">
        <f>(Table5[[#This Row],[final_sale_price]]-Table5[[#This Row],[cost_price]])*Table5[[#This Row],[quantity_sold ]]</f>
        <v>105430.45440000002</v>
      </c>
      <c r="P480" s="11">
        <f>(Table5[final_sale_price]-Table5[[#This Row],[avg_comp_price]])</f>
        <v>2877.4491333333331</v>
      </c>
      <c r="Q480" s="15">
        <f>(Table5[[#This Row],[final_sale_price]]-Table5[[#This Row],[avg_comp_price]])/Table5[[#This Row],[avg_comp_price]]</f>
        <v>0.80595247387201985</v>
      </c>
      <c r="R480" s="11">
        <f>Table5[[#This Row],[Profit]]/Table5[[#This Row],[Revenue]]</f>
        <v>0.34065934065934073</v>
      </c>
    </row>
    <row r="481" spans="1:18" x14ac:dyDescent="0.2">
      <c r="A481" s="5">
        <v>480</v>
      </c>
      <c r="B481" s="5">
        <v>130</v>
      </c>
      <c r="C481" s="7">
        <v>45157</v>
      </c>
      <c r="D481" s="5">
        <v>10</v>
      </c>
      <c r="E481" s="4">
        <v>9</v>
      </c>
      <c r="F481" s="12">
        <f t="shared" si="7"/>
        <v>2898.7959000000001</v>
      </c>
      <c r="G481" t="str">
        <f>VLOOKUP(B481,product_tbl[],2,FALSE)</f>
        <v>Gym Gloves 130</v>
      </c>
      <c r="H481" t="str">
        <f>VLOOKUP(B481,product_tbl[],3,FALSE)</f>
        <v>Sports</v>
      </c>
      <c r="I481">
        <v>1911.2939999999999</v>
      </c>
      <c r="J481">
        <f>VLOOKUP(B481,product_tbl[],5,FALSE)</f>
        <v>3185.49</v>
      </c>
      <c r="K481">
        <f>VLOOKUP(B481,review_tbl[],3,FALSE)</f>
        <v>5</v>
      </c>
      <c r="L481" s="11">
        <v>3374.1363092717143</v>
      </c>
      <c r="M481" s="11">
        <f>AVERAGEIF(Table1[product_id],Master_tbl!B481:B1482,Table1[competitor_price])</f>
        <v>3865.1374999999998</v>
      </c>
      <c r="N481" s="11">
        <f>IFERROR(Table5[[#This Row],[final_sale_price]]*Table5[[#This Row],[quantity_sold ]],0)</f>
        <v>28987.959000000003</v>
      </c>
      <c r="O481" s="11">
        <f>(Table5[[#This Row],[final_sale_price]]-Table5[[#This Row],[cost_price]])*Table5[[#This Row],[quantity_sold ]]</f>
        <v>9875.0190000000021</v>
      </c>
      <c r="P481" s="11">
        <f>(Table5[final_sale_price]-Table5[[#This Row],[avg_comp_price]])</f>
        <v>-966.34159999999974</v>
      </c>
      <c r="Q481" s="15">
        <f>(Table5[[#This Row],[final_sale_price]]-Table5[[#This Row],[avg_comp_price]])/Table5[[#This Row],[avg_comp_price]]</f>
        <v>-0.2500148054241278</v>
      </c>
      <c r="R481" s="11">
        <f>Table5[[#This Row],[Profit]]/Table5[[#This Row],[Revenue]]</f>
        <v>0.34065934065934073</v>
      </c>
    </row>
    <row r="482" spans="1:18" x14ac:dyDescent="0.2">
      <c r="A482" s="4">
        <v>481</v>
      </c>
      <c r="B482" s="4">
        <v>101</v>
      </c>
      <c r="C482" s="6">
        <v>45416</v>
      </c>
      <c r="D482" s="4">
        <v>30</v>
      </c>
      <c r="E482" s="4">
        <v>9</v>
      </c>
      <c r="F482" s="12">
        <f t="shared" si="7"/>
        <v>4295.4638999999997</v>
      </c>
      <c r="G482" t="str">
        <f>VLOOKUP(B482,product_tbl[],2,FALSE)</f>
        <v>Jacket 101</v>
      </c>
      <c r="H482" t="str">
        <f>VLOOKUP(B482,product_tbl[],3,FALSE)</f>
        <v>Fashion</v>
      </c>
      <c r="I482">
        <v>2832.174</v>
      </c>
      <c r="J482">
        <f>VLOOKUP(B482,product_tbl[],5,FALSE)</f>
        <v>4720.29</v>
      </c>
      <c r="K482">
        <f>VLOOKUP(B482,review_tbl[],3,FALSE)</f>
        <v>2</v>
      </c>
      <c r="L482" s="11">
        <v>6112.3139908549974</v>
      </c>
      <c r="M482" s="11">
        <f>AVERAGEIF(Table1[product_id],Master_tbl!B482:B1483,Table1[competitor_price])</f>
        <v>6068.0179999999991</v>
      </c>
      <c r="N482" s="11">
        <f>IFERROR(Table5[[#This Row],[final_sale_price]]*Table5[[#This Row],[quantity_sold ]],0)</f>
        <v>128863.91699999999</v>
      </c>
      <c r="O482" s="11">
        <f>(Table5[[#This Row],[final_sale_price]]-Table5[[#This Row],[cost_price]])*Table5[[#This Row],[quantity_sold ]]</f>
        <v>43898.696999999993</v>
      </c>
      <c r="P482" s="11">
        <f>(Table5[final_sale_price]-Table5[[#This Row],[avg_comp_price]])</f>
        <v>-1772.5540999999994</v>
      </c>
      <c r="Q482" s="15">
        <f>(Table5[[#This Row],[final_sale_price]]-Table5[[#This Row],[avg_comp_price]])/Table5[[#This Row],[avg_comp_price]]</f>
        <v>-0.2921141796217479</v>
      </c>
      <c r="R482" s="11">
        <f>Table5[[#This Row],[Profit]]/Table5[[#This Row],[Revenue]]</f>
        <v>0.34065934065934061</v>
      </c>
    </row>
    <row r="483" spans="1:18" x14ac:dyDescent="0.2">
      <c r="A483" s="5">
        <v>482</v>
      </c>
      <c r="B483" s="5">
        <v>80</v>
      </c>
      <c r="C483" s="7">
        <v>45991</v>
      </c>
      <c r="D483" s="5">
        <v>39</v>
      </c>
      <c r="E483" s="4">
        <v>2</v>
      </c>
      <c r="F483" s="12">
        <f t="shared" si="7"/>
        <v>979.08860000000004</v>
      </c>
      <c r="G483" t="str">
        <f>VLOOKUP(B483,product_tbl[],2,FALSE)</f>
        <v>Washing Machine 80</v>
      </c>
      <c r="H483" t="str">
        <f>VLOOKUP(B483,product_tbl[],3,FALSE)</f>
        <v>Home Appliances</v>
      </c>
      <c r="I483">
        <v>599.44200000000001</v>
      </c>
      <c r="J483">
        <f>VLOOKUP(B483,product_tbl[],5,FALSE)</f>
        <v>999.07</v>
      </c>
      <c r="K483">
        <f>VLOOKUP(B483,review_tbl[],3,FALSE)</f>
        <v>5</v>
      </c>
      <c r="L483" s="11">
        <v>1215.2409763714682</v>
      </c>
      <c r="M483" s="11">
        <f>AVERAGEIF(Table1[product_id],Master_tbl!B483:B1484,Table1[competitor_price])</f>
        <v>4319.1966666666667</v>
      </c>
      <c r="N483" s="11">
        <f>IFERROR(Table5[[#This Row],[final_sale_price]]*Table5[[#This Row],[quantity_sold ]],0)</f>
        <v>38184.455399999999</v>
      </c>
      <c r="O483" s="11">
        <f>(Table5[[#This Row],[final_sale_price]]-Table5[[#This Row],[cost_price]])*Table5[[#This Row],[quantity_sold ]]</f>
        <v>14806.217400000001</v>
      </c>
      <c r="P483" s="11">
        <f>(Table5[final_sale_price]-Table5[[#This Row],[avg_comp_price]])</f>
        <v>-3340.1080666666667</v>
      </c>
      <c r="Q483" s="15">
        <f>(Table5[[#This Row],[final_sale_price]]-Table5[[#This Row],[avg_comp_price]])/Table5[[#This Row],[avg_comp_price]]</f>
        <v>-0.77331696712120079</v>
      </c>
      <c r="R483" s="11">
        <f>Table5[[#This Row],[Profit]]/Table5[[#This Row],[Revenue]]</f>
        <v>0.38775510204081637</v>
      </c>
    </row>
    <row r="484" spans="1:18" x14ac:dyDescent="0.2">
      <c r="A484" s="4">
        <v>483</v>
      </c>
      <c r="B484" s="4">
        <v>93</v>
      </c>
      <c r="C484" s="6">
        <v>45771</v>
      </c>
      <c r="D484" s="4">
        <v>2</v>
      </c>
      <c r="E484" s="4">
        <v>2</v>
      </c>
      <c r="F484" s="12">
        <f t="shared" si="7"/>
        <v>7509.3185999999996</v>
      </c>
      <c r="G484" t="str">
        <f>VLOOKUP(B484,product_tbl[],2,FALSE)</f>
        <v>Cookbook 93</v>
      </c>
      <c r="H484" t="str">
        <f>VLOOKUP(B484,product_tbl[],3,FALSE)</f>
        <v>Books</v>
      </c>
      <c r="I484">
        <v>4597.5419999999995</v>
      </c>
      <c r="J484">
        <f>VLOOKUP(B484,product_tbl[],5,FALSE)</f>
        <v>7662.57</v>
      </c>
      <c r="K484">
        <f>VLOOKUP(B484,review_tbl[],3,FALSE)</f>
        <v>3</v>
      </c>
      <c r="L484" s="11">
        <v>9098.7807874278205</v>
      </c>
      <c r="M484" s="11">
        <f>AVERAGEIF(Table1[product_id],Master_tbl!B484:B1485,Table1[competitor_price])</f>
        <v>991.00333333333344</v>
      </c>
      <c r="N484" s="11">
        <f>IFERROR(Table5[[#This Row],[final_sale_price]]*Table5[[#This Row],[quantity_sold ]],0)</f>
        <v>15018.637199999999</v>
      </c>
      <c r="O484" s="11">
        <f>(Table5[[#This Row],[final_sale_price]]-Table5[[#This Row],[cost_price]])*Table5[[#This Row],[quantity_sold ]]</f>
        <v>5823.5532000000003</v>
      </c>
      <c r="P484" s="11">
        <f>(Table5[final_sale_price]-Table5[[#This Row],[avg_comp_price]])</f>
        <v>6518.3152666666665</v>
      </c>
      <c r="Q484" s="15">
        <f>(Table5[[#This Row],[final_sale_price]]-Table5[[#This Row],[avg_comp_price]])/Table5[[#This Row],[avg_comp_price]]</f>
        <v>6.5774907585241884</v>
      </c>
      <c r="R484" s="11">
        <f>Table5[[#This Row],[Profit]]/Table5[[#This Row],[Revenue]]</f>
        <v>0.38775510204081637</v>
      </c>
    </row>
    <row r="485" spans="1:18" x14ac:dyDescent="0.2">
      <c r="A485" s="5">
        <v>484</v>
      </c>
      <c r="B485" s="5">
        <v>61</v>
      </c>
      <c r="C485" s="7">
        <v>45525</v>
      </c>
      <c r="D485" s="5">
        <v>44</v>
      </c>
      <c r="E485" s="4">
        <v>2</v>
      </c>
      <c r="F485" s="12">
        <f t="shared" si="7"/>
        <v>2393.3951999999999</v>
      </c>
      <c r="G485" t="str">
        <f>VLOOKUP(B485,product_tbl[],2,FALSE)</f>
        <v>Green Tea 61</v>
      </c>
      <c r="H485" t="str">
        <f>VLOOKUP(B485,product_tbl[],3,FALSE)</f>
        <v>Grocery</v>
      </c>
      <c r="I485">
        <v>1465.3439999999998</v>
      </c>
      <c r="J485">
        <f>VLOOKUP(B485,product_tbl[],5,FALSE)</f>
        <v>2442.2399999999998</v>
      </c>
      <c r="K485">
        <f>VLOOKUP(B485,review_tbl[],3,FALSE)</f>
        <v>5</v>
      </c>
      <c r="L485" s="11">
        <v>2619.212424292502</v>
      </c>
      <c r="M485" s="11">
        <f>AVERAGEIF(Table1[product_id],Master_tbl!B485:B1486,Table1[competitor_price])</f>
        <v>411.75600000000003</v>
      </c>
      <c r="N485" s="11">
        <f>IFERROR(Table5[[#This Row],[final_sale_price]]*Table5[[#This Row],[quantity_sold ]],0)</f>
        <v>105309.3888</v>
      </c>
      <c r="O485" s="11">
        <f>(Table5[[#This Row],[final_sale_price]]-Table5[[#This Row],[cost_price]])*Table5[[#This Row],[quantity_sold ]]</f>
        <v>40834.252800000002</v>
      </c>
      <c r="P485" s="11">
        <f>(Table5[final_sale_price]-Table5[[#This Row],[avg_comp_price]])</f>
        <v>1981.6391999999998</v>
      </c>
      <c r="Q485" s="15">
        <f>(Table5[[#This Row],[final_sale_price]]-Table5[[#This Row],[avg_comp_price]])/Table5[[#This Row],[avg_comp_price]]</f>
        <v>4.8126540961151747</v>
      </c>
      <c r="R485" s="11">
        <f>Table5[[#This Row],[Profit]]/Table5[[#This Row],[Revenue]]</f>
        <v>0.38775510204081637</v>
      </c>
    </row>
    <row r="486" spans="1:18" x14ac:dyDescent="0.2">
      <c r="A486" s="4">
        <v>485</v>
      </c>
      <c r="B486" s="4">
        <v>100</v>
      </c>
      <c r="C486" s="6">
        <v>45325</v>
      </c>
      <c r="D486" s="4">
        <v>27</v>
      </c>
      <c r="E486" s="4">
        <v>6</v>
      </c>
      <c r="F486" s="12">
        <f t="shared" si="7"/>
        <v>3838.8283999999999</v>
      </c>
      <c r="G486" t="str">
        <f>VLOOKUP(B486,product_tbl[],2,FALSE)</f>
        <v>T-Shirt 100</v>
      </c>
      <c r="H486" t="str">
        <f>VLOOKUP(B486,product_tbl[],3,FALSE)</f>
        <v>Fashion</v>
      </c>
      <c r="I486">
        <v>2450.3159999999998</v>
      </c>
      <c r="J486">
        <f>VLOOKUP(B486,product_tbl[],5,FALSE)</f>
        <v>4083.86</v>
      </c>
      <c r="K486">
        <f>VLOOKUP(B486,review_tbl[],3,FALSE)</f>
        <v>3</v>
      </c>
      <c r="L486" s="11">
        <v>5061.1252754516972</v>
      </c>
      <c r="M486" s="11">
        <f>AVERAGEIF(Table1[product_id],Master_tbl!B486:B1487,Table1[competitor_price])</f>
        <v>3659.5875000000001</v>
      </c>
      <c r="N486" s="11">
        <f>IFERROR(Table5[[#This Row],[final_sale_price]]*Table5[[#This Row],[quantity_sold ]],0)</f>
        <v>103648.3668</v>
      </c>
      <c r="O486" s="11">
        <f>(Table5[[#This Row],[final_sale_price]]-Table5[[#This Row],[cost_price]])*Table5[[#This Row],[quantity_sold ]]</f>
        <v>37489.834800000004</v>
      </c>
      <c r="P486" s="11">
        <f>(Table5[final_sale_price]-Table5[[#This Row],[avg_comp_price]])</f>
        <v>179.24089999999978</v>
      </c>
      <c r="Q486" s="15">
        <f>(Table5[[#This Row],[final_sale_price]]-Table5[[#This Row],[avg_comp_price]])/Table5[[#This Row],[avg_comp_price]]</f>
        <v>4.8978443608739992E-2</v>
      </c>
      <c r="R486" s="11">
        <f>Table5[[#This Row],[Profit]]/Table5[[#This Row],[Revenue]]</f>
        <v>0.36170212765957449</v>
      </c>
    </row>
    <row r="487" spans="1:18" x14ac:dyDescent="0.2">
      <c r="A487" s="5">
        <v>486</v>
      </c>
      <c r="B487" s="5">
        <v>45</v>
      </c>
      <c r="C487" s="7">
        <v>45810</v>
      </c>
      <c r="D487" s="5">
        <v>25</v>
      </c>
      <c r="E487" s="4">
        <v>2</v>
      </c>
      <c r="F487" s="12">
        <f t="shared" si="7"/>
        <v>5219.8622000000005</v>
      </c>
      <c r="G487" t="str">
        <f>VLOOKUP(B487,product_tbl[],2,FALSE)</f>
        <v>Doll 45</v>
      </c>
      <c r="H487" t="str">
        <f>VLOOKUP(B487,product_tbl[],3,FALSE)</f>
        <v>Toys</v>
      </c>
      <c r="I487">
        <v>3195.8340000000003</v>
      </c>
      <c r="J487">
        <f>VLOOKUP(B487,product_tbl[],5,FALSE)</f>
        <v>5326.39</v>
      </c>
      <c r="K487">
        <f>VLOOKUP(B487,review_tbl[],3,FALSE)</f>
        <v>1</v>
      </c>
      <c r="L487" s="11">
        <v>6405.3903145499989</v>
      </c>
      <c r="M487" s="11">
        <f>AVERAGEIF(Table1[product_id],Master_tbl!B487:B1488,Table1[competitor_price])</f>
        <v>4436.1279999999997</v>
      </c>
      <c r="N487" s="11">
        <f>IFERROR(Table5[[#This Row],[final_sale_price]]*Table5[[#This Row],[quantity_sold ]],0)</f>
        <v>130496.55500000001</v>
      </c>
      <c r="O487" s="11">
        <f>(Table5[[#This Row],[final_sale_price]]-Table5[[#This Row],[cost_price]])*Table5[[#This Row],[quantity_sold ]]</f>
        <v>50600.705000000002</v>
      </c>
      <c r="P487" s="11">
        <f>(Table5[final_sale_price]-Table5[[#This Row],[avg_comp_price]])</f>
        <v>783.73420000000078</v>
      </c>
      <c r="Q487" s="15">
        <f>(Table5[[#This Row],[final_sale_price]]-Table5[[#This Row],[avg_comp_price]])/Table5[[#This Row],[avg_comp_price]]</f>
        <v>0.17667078136609243</v>
      </c>
      <c r="R487" s="11">
        <f>Table5[[#This Row],[Profit]]/Table5[[#This Row],[Revenue]]</f>
        <v>0.38775510204081631</v>
      </c>
    </row>
    <row r="488" spans="1:18" x14ac:dyDescent="0.2">
      <c r="A488" s="4">
        <v>487</v>
      </c>
      <c r="B488" s="4">
        <v>81</v>
      </c>
      <c r="C488" s="6">
        <v>44972</v>
      </c>
      <c r="D488" s="4">
        <v>36</v>
      </c>
      <c r="E488" s="4">
        <v>9</v>
      </c>
      <c r="F488" s="12">
        <f t="shared" si="7"/>
        <v>7064.7030999999997</v>
      </c>
      <c r="G488" t="str">
        <f>VLOOKUP(B488,product_tbl[],2,FALSE)</f>
        <v>Water Purifier 81</v>
      </c>
      <c r="H488" t="str">
        <f>VLOOKUP(B488,product_tbl[],3,FALSE)</f>
        <v>Home Appliances</v>
      </c>
      <c r="I488">
        <v>4658.0459999999994</v>
      </c>
      <c r="J488">
        <f>VLOOKUP(B488,product_tbl[],5,FALSE)</f>
        <v>7763.41</v>
      </c>
      <c r="K488">
        <f>VLOOKUP(B488,review_tbl[],3,FALSE)</f>
        <v>2</v>
      </c>
      <c r="L488" s="11">
        <v>8525.3858914932152</v>
      </c>
      <c r="M488" s="11">
        <f>AVERAGEIF(Table1[product_id],Master_tbl!B488:B1489,Table1[competitor_price])</f>
        <v>290.31399999999996</v>
      </c>
      <c r="N488" s="11">
        <f>IFERROR(Table5[[#This Row],[final_sale_price]]*Table5[[#This Row],[quantity_sold ]],0)</f>
        <v>254329.31159999999</v>
      </c>
      <c r="O488" s="11">
        <f>(Table5[[#This Row],[final_sale_price]]-Table5[[#This Row],[cost_price]])*Table5[[#This Row],[quantity_sold ]]</f>
        <v>86639.655600000013</v>
      </c>
      <c r="P488" s="11">
        <f>(Table5[final_sale_price]-Table5[[#This Row],[avg_comp_price]])</f>
        <v>6774.3890999999994</v>
      </c>
      <c r="Q488" s="15">
        <f>(Table5[[#This Row],[final_sale_price]]-Table5[[#This Row],[avg_comp_price]])/Table5[[#This Row],[avg_comp_price]]</f>
        <v>23.334696569920844</v>
      </c>
      <c r="R488" s="11">
        <f>Table5[[#This Row],[Profit]]/Table5[[#This Row],[Revenue]]</f>
        <v>0.34065934065934073</v>
      </c>
    </row>
    <row r="489" spans="1:18" x14ac:dyDescent="0.2">
      <c r="A489" s="5">
        <v>488</v>
      </c>
      <c r="B489" s="5">
        <v>88</v>
      </c>
      <c r="C489" s="7">
        <v>45672</v>
      </c>
      <c r="D489" s="5">
        <v>9</v>
      </c>
      <c r="E489" s="4">
        <v>8</v>
      </c>
      <c r="F489" s="12">
        <f t="shared" si="7"/>
        <v>5737.4236000000001</v>
      </c>
      <c r="G489" t="str">
        <f>VLOOKUP(B489,product_tbl[],2,FALSE)</f>
        <v>Tablet 88</v>
      </c>
      <c r="H489" t="str">
        <f>VLOOKUP(B489,product_tbl[],3,FALSE)</f>
        <v>Electronics</v>
      </c>
      <c r="I489">
        <v>3741.7979999999998</v>
      </c>
      <c r="J489">
        <f>VLOOKUP(B489,product_tbl[],5,FALSE)</f>
        <v>6236.33</v>
      </c>
      <c r="K489">
        <f>VLOOKUP(B489,review_tbl[],3,FALSE)</f>
        <v>5</v>
      </c>
      <c r="L489" s="11">
        <v>7644.9755739301645</v>
      </c>
      <c r="M489" s="11">
        <f>AVERAGEIF(Table1[product_id],Master_tbl!B489:B1490,Table1[competitor_price])</f>
        <v>4981.5050000000001</v>
      </c>
      <c r="N489" s="11">
        <f>IFERROR(Table5[[#This Row],[final_sale_price]]*Table5[[#This Row],[quantity_sold ]],0)</f>
        <v>51636.812400000003</v>
      </c>
      <c r="O489" s="11">
        <f>(Table5[[#This Row],[final_sale_price]]-Table5[[#This Row],[cost_price]])*Table5[[#This Row],[quantity_sold ]]</f>
        <v>17960.630400000002</v>
      </c>
      <c r="P489" s="11">
        <f>(Table5[final_sale_price]-Table5[[#This Row],[avg_comp_price]])</f>
        <v>755.91859999999997</v>
      </c>
      <c r="Q489" s="15">
        <f>(Table5[[#This Row],[final_sale_price]]-Table5[[#This Row],[avg_comp_price]])/Table5[[#This Row],[avg_comp_price]]</f>
        <v>0.15174502484690872</v>
      </c>
      <c r="R489" s="11">
        <f>Table5[[#This Row],[Profit]]/Table5[[#This Row],[Revenue]]</f>
        <v>0.34782608695652178</v>
      </c>
    </row>
    <row r="490" spans="1:18" x14ac:dyDescent="0.2">
      <c r="A490" s="4">
        <v>489</v>
      </c>
      <c r="B490" s="4">
        <v>52</v>
      </c>
      <c r="C490" s="6">
        <v>45619</v>
      </c>
      <c r="D490" s="4">
        <v>1</v>
      </c>
      <c r="E490" s="4">
        <v>5</v>
      </c>
      <c r="F490" s="12">
        <f t="shared" si="7"/>
        <v>4236.2210000000005</v>
      </c>
      <c r="G490" t="str">
        <f>VLOOKUP(B490,product_tbl[],2,FALSE)</f>
        <v>Cookbook 52</v>
      </c>
      <c r="H490" t="str">
        <f>VLOOKUP(B490,product_tbl[],3,FALSE)</f>
        <v>Books</v>
      </c>
      <c r="I490">
        <v>2675.5080000000003</v>
      </c>
      <c r="J490">
        <f>VLOOKUP(B490,product_tbl[],5,FALSE)</f>
        <v>4459.18</v>
      </c>
      <c r="K490">
        <f>VLOOKUP(B490,review_tbl[],3,FALSE)</f>
        <v>3</v>
      </c>
      <c r="L490" s="11">
        <v>5360.1101739392079</v>
      </c>
      <c r="M490" s="11">
        <f>AVERAGEIF(Table1[product_id],Master_tbl!B490:B1491,Table1[competitor_price])</f>
        <v>6258.09</v>
      </c>
      <c r="N490" s="11">
        <f>IFERROR(Table5[[#This Row],[final_sale_price]]*Table5[[#This Row],[quantity_sold ]],0)</f>
        <v>4236.2210000000005</v>
      </c>
      <c r="O490" s="11">
        <f>(Table5[[#This Row],[final_sale_price]]-Table5[[#This Row],[cost_price]])*Table5[[#This Row],[quantity_sold ]]</f>
        <v>1560.7130000000002</v>
      </c>
      <c r="P490" s="11">
        <f>(Table5[final_sale_price]-Table5[[#This Row],[avg_comp_price]])</f>
        <v>-2021.8689999999997</v>
      </c>
      <c r="Q490" s="15">
        <f>(Table5[[#This Row],[final_sale_price]]-Table5[[#This Row],[avg_comp_price]])/Table5[[#This Row],[avg_comp_price]]</f>
        <v>-0.32308084415532529</v>
      </c>
      <c r="R490" s="11">
        <f>Table5[[#This Row],[Profit]]/Table5[[#This Row],[Revenue]]</f>
        <v>0.36842105263157893</v>
      </c>
    </row>
    <row r="491" spans="1:18" x14ac:dyDescent="0.2">
      <c r="A491" s="5">
        <v>490</v>
      </c>
      <c r="B491" s="5">
        <v>84</v>
      </c>
      <c r="C491" s="7">
        <v>45368</v>
      </c>
      <c r="D491" s="5">
        <v>5</v>
      </c>
      <c r="E491" s="4">
        <v>9</v>
      </c>
      <c r="F491" s="12">
        <f t="shared" si="7"/>
        <v>7061.7456000000002</v>
      </c>
      <c r="G491" t="str">
        <f>VLOOKUP(B491,product_tbl[],2,FALSE)</f>
        <v>Moisturizer 84</v>
      </c>
      <c r="H491" t="str">
        <f>VLOOKUP(B491,product_tbl[],3,FALSE)</f>
        <v>Beauty</v>
      </c>
      <c r="I491">
        <v>4656.0959999999995</v>
      </c>
      <c r="J491">
        <f>VLOOKUP(B491,product_tbl[],5,FALSE)</f>
        <v>7760.16</v>
      </c>
      <c r="K491">
        <f>VLOOKUP(B491,review_tbl[],3,FALSE)</f>
        <v>1</v>
      </c>
      <c r="L491" s="11">
        <v>8923.6813466639433</v>
      </c>
      <c r="M491" s="11">
        <f>AVERAGEIF(Table1[product_id],Master_tbl!B491:B1492,Table1[competitor_price])</f>
        <v>2588.9250000000002</v>
      </c>
      <c r="N491" s="11">
        <f>IFERROR(Table5[[#This Row],[final_sale_price]]*Table5[[#This Row],[quantity_sold ]],0)</f>
        <v>35308.728000000003</v>
      </c>
      <c r="O491" s="11">
        <f>(Table5[[#This Row],[final_sale_price]]-Table5[[#This Row],[cost_price]])*Table5[[#This Row],[quantity_sold ]]</f>
        <v>12028.248000000003</v>
      </c>
      <c r="P491" s="11">
        <f>(Table5[final_sale_price]-Table5[[#This Row],[avg_comp_price]])</f>
        <v>4472.8206</v>
      </c>
      <c r="Q491" s="15">
        <f>(Table5[[#This Row],[final_sale_price]]-Table5[[#This Row],[avg_comp_price]])/Table5[[#This Row],[avg_comp_price]]</f>
        <v>1.7276748457371303</v>
      </c>
      <c r="R491" s="11">
        <f>Table5[[#This Row],[Profit]]/Table5[[#This Row],[Revenue]]</f>
        <v>0.34065934065934073</v>
      </c>
    </row>
    <row r="492" spans="1:18" x14ac:dyDescent="0.2">
      <c r="A492" s="4">
        <v>491</v>
      </c>
      <c r="B492" s="4">
        <v>41</v>
      </c>
      <c r="C492" s="6">
        <v>45105</v>
      </c>
      <c r="D492" s="4">
        <v>35</v>
      </c>
      <c r="E492" s="4">
        <v>7</v>
      </c>
      <c r="F492" s="12">
        <f t="shared" si="7"/>
        <v>2865.7670999999996</v>
      </c>
      <c r="G492" t="str">
        <f>VLOOKUP(B492,product_tbl[],2,FALSE)</f>
        <v>Olive Oil 41</v>
      </c>
      <c r="H492" t="str">
        <f>VLOOKUP(B492,product_tbl[],3,FALSE)</f>
        <v>Grocery</v>
      </c>
      <c r="I492">
        <v>1848.8819999999998</v>
      </c>
      <c r="J492">
        <f>VLOOKUP(B492,product_tbl[],5,FALSE)</f>
        <v>3081.47</v>
      </c>
      <c r="K492">
        <f>VLOOKUP(B492,review_tbl[],3,FALSE)</f>
        <v>1</v>
      </c>
      <c r="L492" s="11">
        <v>3974.5888845928789</v>
      </c>
      <c r="M492" s="11">
        <f>AVERAGEIF(Table1[product_id],Master_tbl!B492:B1493,Table1[competitor_price])</f>
        <v>1589.1249999999998</v>
      </c>
      <c r="N492" s="11">
        <f>IFERROR(Table5[[#This Row],[final_sale_price]]*Table5[[#This Row],[quantity_sold ]],0)</f>
        <v>100301.84849999998</v>
      </c>
      <c r="O492" s="11">
        <f>(Table5[[#This Row],[final_sale_price]]-Table5[[#This Row],[cost_price]])*Table5[[#This Row],[quantity_sold ]]</f>
        <v>35590.97849999999</v>
      </c>
      <c r="P492" s="11">
        <f>(Table5[final_sale_price]-Table5[[#This Row],[avg_comp_price]])</f>
        <v>1276.6420999999998</v>
      </c>
      <c r="Q492" s="15">
        <f>(Table5[[#This Row],[final_sale_price]]-Table5[[#This Row],[avg_comp_price]])/Table5[[#This Row],[avg_comp_price]]</f>
        <v>0.80336166129159126</v>
      </c>
      <c r="R492" s="11">
        <f>Table5[[#This Row],[Profit]]/Table5[[#This Row],[Revenue]]</f>
        <v>0.35483870967741932</v>
      </c>
    </row>
    <row r="493" spans="1:18" x14ac:dyDescent="0.2">
      <c r="A493" s="5">
        <v>492</v>
      </c>
      <c r="B493" s="5">
        <v>127</v>
      </c>
      <c r="C493" s="7">
        <v>44994</v>
      </c>
      <c r="D493" s="5">
        <v>39</v>
      </c>
      <c r="E493" s="4">
        <v>8</v>
      </c>
      <c r="F493" s="12">
        <f t="shared" si="7"/>
        <v>5051.3152000000009</v>
      </c>
      <c r="G493" t="str">
        <f>VLOOKUP(B493,product_tbl[],2,FALSE)</f>
        <v>Gym Gloves 127</v>
      </c>
      <c r="H493" t="str">
        <f>VLOOKUP(B493,product_tbl[],3,FALSE)</f>
        <v>Sports</v>
      </c>
      <c r="I493">
        <v>3294.3360000000002</v>
      </c>
      <c r="J493">
        <f>VLOOKUP(B493,product_tbl[],5,FALSE)</f>
        <v>5490.56</v>
      </c>
      <c r="K493">
        <f>VLOOKUP(B493,review_tbl[],3,FALSE)</f>
        <v>1</v>
      </c>
      <c r="L493" s="11">
        <v>6114.131030578993</v>
      </c>
      <c r="M493" s="11">
        <f>AVERAGEIF(Table1[product_id],Master_tbl!B493:B1494,Table1[competitor_price])</f>
        <v>5984.333333333333</v>
      </c>
      <c r="N493" s="11">
        <f>IFERROR(Table5[[#This Row],[final_sale_price]]*Table5[[#This Row],[quantity_sold ]],0)</f>
        <v>197001.29280000002</v>
      </c>
      <c r="O493" s="11">
        <f>(Table5[[#This Row],[final_sale_price]]-Table5[[#This Row],[cost_price]])*Table5[[#This Row],[quantity_sold ]]</f>
        <v>68522.188800000033</v>
      </c>
      <c r="P493" s="11">
        <f>(Table5[final_sale_price]-Table5[[#This Row],[avg_comp_price]])</f>
        <v>-933.01813333333212</v>
      </c>
      <c r="Q493" s="15">
        <f>(Table5[[#This Row],[final_sale_price]]-Table5[[#This Row],[avg_comp_price]])/Table5[[#This Row],[avg_comp_price]]</f>
        <v>-0.1559101208711634</v>
      </c>
      <c r="R493" s="11">
        <f>Table5[[#This Row],[Profit]]/Table5[[#This Row],[Revenue]]</f>
        <v>0.34782608695652184</v>
      </c>
    </row>
    <row r="494" spans="1:18" x14ac:dyDescent="0.2">
      <c r="A494" s="4">
        <v>493</v>
      </c>
      <c r="B494" s="4">
        <v>6</v>
      </c>
      <c r="C494" s="6">
        <v>45736</v>
      </c>
      <c r="D494" s="4">
        <v>43</v>
      </c>
      <c r="E494" s="4">
        <v>9</v>
      </c>
      <c r="F494" s="12">
        <f t="shared" si="7"/>
        <v>3753.9138000000003</v>
      </c>
      <c r="G494" t="str">
        <f>VLOOKUP(B494,product_tbl[],2,FALSE)</f>
        <v>Microwave 6</v>
      </c>
      <c r="H494" t="str">
        <f>VLOOKUP(B494,product_tbl[],3,FALSE)</f>
        <v>Home Appliances</v>
      </c>
      <c r="I494">
        <v>2475.1080000000002</v>
      </c>
      <c r="J494">
        <f>VLOOKUP(B494,product_tbl[],5,FALSE)</f>
        <v>4125.18</v>
      </c>
      <c r="K494">
        <f>VLOOKUP(B494,review_tbl[],3,FALSE)</f>
        <v>5</v>
      </c>
      <c r="L494" s="11">
        <v>4576.4219459111428</v>
      </c>
      <c r="M494" s="11">
        <f>AVERAGEIF(Table1[product_id],Master_tbl!B494:B1495,Table1[competitor_price])</f>
        <v>6862.0275000000001</v>
      </c>
      <c r="N494" s="11">
        <f>IFERROR(Table5[[#This Row],[final_sale_price]]*Table5[[#This Row],[quantity_sold ]],0)</f>
        <v>161418.29340000002</v>
      </c>
      <c r="O494" s="11">
        <f>(Table5[[#This Row],[final_sale_price]]-Table5[[#This Row],[cost_price]])*Table5[[#This Row],[quantity_sold ]]</f>
        <v>54988.649400000002</v>
      </c>
      <c r="P494" s="11">
        <f>(Table5[final_sale_price]-Table5[[#This Row],[avg_comp_price]])</f>
        <v>-3108.1136999999999</v>
      </c>
      <c r="Q494" s="15">
        <f>(Table5[[#This Row],[final_sale_price]]-Table5[[#This Row],[avg_comp_price]])/Table5[[#This Row],[avg_comp_price]]</f>
        <v>-0.45294392947273965</v>
      </c>
      <c r="R494" s="11">
        <f>Table5[[#This Row],[Profit]]/Table5[[#This Row],[Revenue]]</f>
        <v>0.34065934065934061</v>
      </c>
    </row>
    <row r="495" spans="1:18" x14ac:dyDescent="0.2">
      <c r="A495" s="5">
        <v>494</v>
      </c>
      <c r="B495" s="5">
        <v>144</v>
      </c>
      <c r="C495" s="7">
        <v>45992</v>
      </c>
      <c r="D495" s="5">
        <v>20</v>
      </c>
      <c r="E495" s="4">
        <v>8</v>
      </c>
      <c r="F495" s="12">
        <f t="shared" si="7"/>
        <v>1451.9624000000001</v>
      </c>
      <c r="G495" t="str">
        <f>VLOOKUP(B495,product_tbl[],2,FALSE)</f>
        <v>Air Conditioner 144</v>
      </c>
      <c r="H495" t="str">
        <f>VLOOKUP(B495,product_tbl[],3,FALSE)</f>
        <v>Home Appliances</v>
      </c>
      <c r="I495">
        <v>946.93200000000002</v>
      </c>
      <c r="J495">
        <f>VLOOKUP(B495,product_tbl[],5,FALSE)</f>
        <v>1578.22</v>
      </c>
      <c r="K495">
        <f>VLOOKUP(B495,review_tbl[],3,FALSE)</f>
        <v>2</v>
      </c>
      <c r="L495" s="11">
        <v>1729.7128177032366</v>
      </c>
      <c r="M495" s="11">
        <f>AVERAGEIF(Table1[product_id],Master_tbl!B495:B1496,Table1[competitor_price])</f>
        <v>6414.0239999999994</v>
      </c>
      <c r="N495" s="11">
        <f>IFERROR(Table5[[#This Row],[final_sale_price]]*Table5[[#This Row],[quantity_sold ]],0)</f>
        <v>29039.248000000003</v>
      </c>
      <c r="O495" s="11">
        <f>(Table5[[#This Row],[final_sale_price]]-Table5[[#This Row],[cost_price]])*Table5[[#This Row],[quantity_sold ]]</f>
        <v>10100.608000000002</v>
      </c>
      <c r="P495" s="11">
        <f>(Table5[final_sale_price]-Table5[[#This Row],[avg_comp_price]])</f>
        <v>-4962.0615999999991</v>
      </c>
      <c r="Q495" s="15">
        <f>(Table5[[#This Row],[final_sale_price]]-Table5[[#This Row],[avg_comp_price]])/Table5[[#This Row],[avg_comp_price]]</f>
        <v>-0.77362691502245695</v>
      </c>
      <c r="R495" s="11">
        <f>Table5[[#This Row],[Profit]]/Table5[[#This Row],[Revenue]]</f>
        <v>0.34782608695652178</v>
      </c>
    </row>
    <row r="496" spans="1:18" x14ac:dyDescent="0.2">
      <c r="A496" s="4">
        <v>495</v>
      </c>
      <c r="B496" s="4">
        <v>120</v>
      </c>
      <c r="C496" s="6">
        <v>45240</v>
      </c>
      <c r="D496" s="4">
        <v>24</v>
      </c>
      <c r="E496" s="4">
        <v>3</v>
      </c>
      <c r="F496" s="12">
        <f t="shared" si="7"/>
        <v>1917.3019999999999</v>
      </c>
      <c r="G496" t="str">
        <f>VLOOKUP(B496,product_tbl[],2,FALSE)</f>
        <v>Vacuum Cleaner 120</v>
      </c>
      <c r="H496" t="str">
        <f>VLOOKUP(B496,product_tbl[],3,FALSE)</f>
        <v>Home Appliances</v>
      </c>
      <c r="I496">
        <v>1185.9599999999998</v>
      </c>
      <c r="J496">
        <f>VLOOKUP(B496,product_tbl[],5,FALSE)</f>
        <v>1976.6</v>
      </c>
      <c r="K496">
        <f>VLOOKUP(B496,review_tbl[],3,FALSE)</f>
        <v>2</v>
      </c>
      <c r="L496" s="11">
        <v>2308.2136406451268</v>
      </c>
      <c r="M496" s="11">
        <f>AVERAGEIF(Table1[product_id],Master_tbl!B496:B1497,Table1[competitor_price])</f>
        <v>1688.8574999999998</v>
      </c>
      <c r="N496" s="11">
        <f>IFERROR(Table5[[#This Row],[final_sale_price]]*Table5[[#This Row],[quantity_sold ]],0)</f>
        <v>46015.248</v>
      </c>
      <c r="O496" s="11">
        <f>(Table5[[#This Row],[final_sale_price]]-Table5[[#This Row],[cost_price]])*Table5[[#This Row],[quantity_sold ]]</f>
        <v>17552.208000000002</v>
      </c>
      <c r="P496" s="11">
        <f>(Table5[final_sale_price]-Table5[[#This Row],[avg_comp_price]])</f>
        <v>228.44450000000006</v>
      </c>
      <c r="Q496" s="15">
        <f>(Table5[[#This Row],[final_sale_price]]-Table5[[#This Row],[avg_comp_price]])/Table5[[#This Row],[avg_comp_price]]</f>
        <v>0.13526570477378944</v>
      </c>
      <c r="R496" s="11">
        <f>Table5[[#This Row],[Profit]]/Table5[[#This Row],[Revenue]]</f>
        <v>0.3814432989690722</v>
      </c>
    </row>
    <row r="497" spans="1:18" x14ac:dyDescent="0.2">
      <c r="A497" s="5">
        <v>496</v>
      </c>
      <c r="B497" s="5">
        <v>103</v>
      </c>
      <c r="C497" s="7">
        <v>45180</v>
      </c>
      <c r="D497" s="5">
        <v>8</v>
      </c>
      <c r="E497" s="4">
        <v>5</v>
      </c>
      <c r="F497" s="12">
        <f t="shared" si="7"/>
        <v>6093.3474999999999</v>
      </c>
      <c r="G497" t="str">
        <f>VLOOKUP(B497,product_tbl[],2,FALSE)</f>
        <v>Remote Car 103</v>
      </c>
      <c r="H497" t="str">
        <f>VLOOKUP(B497,product_tbl[],3,FALSE)</f>
        <v>Toys</v>
      </c>
      <c r="I497">
        <v>3848.43</v>
      </c>
      <c r="J497">
        <f>VLOOKUP(B497,product_tbl[],5,FALSE)</f>
        <v>6414.05</v>
      </c>
      <c r="K497">
        <f>VLOOKUP(B497,review_tbl[],3,FALSE)</f>
        <v>4</v>
      </c>
      <c r="L497" s="11">
        <v>7833.8076619348749</v>
      </c>
      <c r="M497" s="11">
        <f>AVERAGEIF(Table1[product_id],Master_tbl!B497:B1498,Table1[competitor_price])</f>
        <v>6457.8324999999995</v>
      </c>
      <c r="N497" s="11">
        <f>IFERROR(Table5[[#This Row],[final_sale_price]]*Table5[[#This Row],[quantity_sold ]],0)</f>
        <v>48746.78</v>
      </c>
      <c r="O497" s="11">
        <f>(Table5[[#This Row],[final_sale_price]]-Table5[[#This Row],[cost_price]])*Table5[[#This Row],[quantity_sold ]]</f>
        <v>17959.34</v>
      </c>
      <c r="P497" s="11">
        <f>(Table5[final_sale_price]-Table5[[#This Row],[avg_comp_price]])</f>
        <v>-364.48499999999967</v>
      </c>
      <c r="Q497" s="15">
        <f>(Table5[[#This Row],[final_sale_price]]-Table5[[#This Row],[avg_comp_price]])/Table5[[#This Row],[avg_comp_price]]</f>
        <v>-5.6440763986987851E-2</v>
      </c>
      <c r="R497" s="11">
        <f>Table5[[#This Row],[Profit]]/Table5[[#This Row],[Revenue]]</f>
        <v>0.36842105263157898</v>
      </c>
    </row>
    <row r="498" spans="1:18" x14ac:dyDescent="0.2">
      <c r="A498" s="4">
        <v>497</v>
      </c>
      <c r="B498" s="4">
        <v>36</v>
      </c>
      <c r="C498" s="6">
        <v>45346</v>
      </c>
      <c r="D498" s="4">
        <v>30</v>
      </c>
      <c r="E498" s="4">
        <v>3</v>
      </c>
      <c r="F498" s="12">
        <f t="shared" si="7"/>
        <v>142.97800000000001</v>
      </c>
      <c r="G498" t="str">
        <f>VLOOKUP(B498,product_tbl[],2,FALSE)</f>
        <v>Refrigerator 36</v>
      </c>
      <c r="H498" t="str">
        <f>VLOOKUP(B498,product_tbl[],3,FALSE)</f>
        <v>Home Appliances</v>
      </c>
      <c r="I498">
        <v>88.44</v>
      </c>
      <c r="J498">
        <f>VLOOKUP(B498,product_tbl[],5,FALSE)</f>
        <v>147.4</v>
      </c>
      <c r="K498">
        <f>VLOOKUP(B498,review_tbl[],3,FALSE)</f>
        <v>3</v>
      </c>
      <c r="L498" s="11">
        <v>185.95347593154185</v>
      </c>
      <c r="M498" s="11">
        <f>AVERAGEIF(Table1[product_id],Master_tbl!B498:B1499,Table1[competitor_price])</f>
        <v>2726.4116666666664</v>
      </c>
      <c r="N498" s="11">
        <f>IFERROR(Table5[[#This Row],[final_sale_price]]*Table5[[#This Row],[quantity_sold ]],0)</f>
        <v>4289.34</v>
      </c>
      <c r="O498" s="11">
        <f>(Table5[[#This Row],[final_sale_price]]-Table5[[#This Row],[cost_price]])*Table5[[#This Row],[quantity_sold ]]</f>
        <v>1636.1400000000003</v>
      </c>
      <c r="P498" s="11">
        <f>(Table5[final_sale_price]-Table5[[#This Row],[avg_comp_price]])</f>
        <v>-2583.4336666666663</v>
      </c>
      <c r="Q498" s="15">
        <f>(Table5[[#This Row],[final_sale_price]]-Table5[[#This Row],[avg_comp_price]])/Table5[[#This Row],[avg_comp_price]]</f>
        <v>-0.94755817628421235</v>
      </c>
      <c r="R498" s="11">
        <f>Table5[[#This Row],[Profit]]/Table5[[#This Row],[Revenue]]</f>
        <v>0.38144329896907225</v>
      </c>
    </row>
    <row r="499" spans="1:18" x14ac:dyDescent="0.2">
      <c r="A499" s="5">
        <v>498</v>
      </c>
      <c r="B499" s="5">
        <v>52</v>
      </c>
      <c r="C499" s="7">
        <v>45996</v>
      </c>
      <c r="D499" s="5">
        <v>25</v>
      </c>
      <c r="E499" s="4">
        <v>2</v>
      </c>
      <c r="F499" s="12">
        <f t="shared" si="7"/>
        <v>4369.9964</v>
      </c>
      <c r="G499" t="str">
        <f>VLOOKUP(B499,product_tbl[],2,FALSE)</f>
        <v>Cookbook 52</v>
      </c>
      <c r="H499" t="str">
        <f>VLOOKUP(B499,product_tbl[],3,FALSE)</f>
        <v>Books</v>
      </c>
      <c r="I499">
        <v>2675.5080000000003</v>
      </c>
      <c r="J499">
        <f>VLOOKUP(B499,product_tbl[],5,FALSE)</f>
        <v>4459.18</v>
      </c>
      <c r="K499">
        <f>VLOOKUP(B499,review_tbl[],3,FALSE)</f>
        <v>3</v>
      </c>
      <c r="L499" s="11">
        <v>5464.5672119918936</v>
      </c>
      <c r="M499" s="11">
        <f>AVERAGEIF(Table1[product_id],Master_tbl!B499:B1500,Table1[competitor_price])</f>
        <v>6258.09</v>
      </c>
      <c r="N499" s="11">
        <f>IFERROR(Table5[[#This Row],[final_sale_price]]*Table5[[#This Row],[quantity_sold ]],0)</f>
        <v>109249.91</v>
      </c>
      <c r="O499" s="11">
        <f>(Table5[[#This Row],[final_sale_price]]-Table5[[#This Row],[cost_price]])*Table5[[#This Row],[quantity_sold ]]</f>
        <v>42362.209999999992</v>
      </c>
      <c r="P499" s="11">
        <f>(Table5[final_sale_price]-Table5[[#This Row],[avg_comp_price]])</f>
        <v>-1888.0936000000002</v>
      </c>
      <c r="Q499" s="15">
        <f>(Table5[[#This Row],[final_sale_price]]-Table5[[#This Row],[avg_comp_price]])/Table5[[#This Row],[avg_comp_price]]</f>
        <v>-0.30170444976023036</v>
      </c>
      <c r="R499" s="11">
        <f>Table5[[#This Row],[Profit]]/Table5[[#This Row],[Revenue]]</f>
        <v>0.38775510204081626</v>
      </c>
    </row>
    <row r="500" spans="1:18" x14ac:dyDescent="0.2">
      <c r="A500" s="4">
        <v>499</v>
      </c>
      <c r="B500" s="4">
        <v>123</v>
      </c>
      <c r="C500" s="6">
        <v>45541</v>
      </c>
      <c r="D500" s="4">
        <v>13</v>
      </c>
      <c r="E500" s="4">
        <v>9</v>
      </c>
      <c r="F500" s="12">
        <f t="shared" si="7"/>
        <v>4211.1342000000004</v>
      </c>
      <c r="G500" t="str">
        <f>VLOOKUP(B500,product_tbl[],2,FALSE)</f>
        <v>Sunglasses 123</v>
      </c>
      <c r="H500" t="str">
        <f>VLOOKUP(B500,product_tbl[],3,FALSE)</f>
        <v>Fashion</v>
      </c>
      <c r="I500">
        <v>2776.5719999999997</v>
      </c>
      <c r="J500">
        <f>VLOOKUP(B500,product_tbl[],5,FALSE)</f>
        <v>4627.62</v>
      </c>
      <c r="K500">
        <f>VLOOKUP(B500,review_tbl[],3,FALSE)</f>
        <v>2</v>
      </c>
      <c r="L500" s="11">
        <v>5834.4260159272308</v>
      </c>
      <c r="M500" s="11">
        <f>AVERAGEIF(Table1[product_id],Master_tbl!B500:B1501,Table1[competitor_price])</f>
        <v>809.94800000000009</v>
      </c>
      <c r="N500" s="11">
        <f>IFERROR(Table5[[#This Row],[final_sale_price]]*Table5[[#This Row],[quantity_sold ]],0)</f>
        <v>54744.744600000005</v>
      </c>
      <c r="O500" s="11">
        <f>(Table5[[#This Row],[final_sale_price]]-Table5[[#This Row],[cost_price]])*Table5[[#This Row],[quantity_sold ]]</f>
        <v>18649.308600000011</v>
      </c>
      <c r="P500" s="11">
        <f>(Table5[final_sale_price]-Table5[[#This Row],[avg_comp_price]])</f>
        <v>3401.1862000000001</v>
      </c>
      <c r="Q500" s="15">
        <f>(Table5[[#This Row],[final_sale_price]]-Table5[[#This Row],[avg_comp_price]])/Table5[[#This Row],[avg_comp_price]]</f>
        <v>4.1992648910794266</v>
      </c>
      <c r="R500" s="11">
        <f>Table5[[#This Row],[Profit]]/Table5[[#This Row],[Revenue]]</f>
        <v>0.34065934065934084</v>
      </c>
    </row>
    <row r="501" spans="1:18" x14ac:dyDescent="0.2">
      <c r="A501" s="5">
        <v>500</v>
      </c>
      <c r="B501" s="5">
        <v>58</v>
      </c>
      <c r="C501" s="7">
        <v>45225</v>
      </c>
      <c r="D501" s="5">
        <v>12</v>
      </c>
      <c r="E501" s="4">
        <v>3</v>
      </c>
      <c r="F501" s="12">
        <f t="shared" si="7"/>
        <v>1104.4225999999999</v>
      </c>
      <c r="G501" t="str">
        <f>VLOOKUP(B501,product_tbl[],2,FALSE)</f>
        <v>Wheat Flour 58</v>
      </c>
      <c r="H501" t="str">
        <f>VLOOKUP(B501,product_tbl[],3,FALSE)</f>
        <v>Grocery</v>
      </c>
      <c r="I501">
        <v>683.14799999999991</v>
      </c>
      <c r="J501">
        <f>VLOOKUP(B501,product_tbl[],5,FALSE)</f>
        <v>1138.58</v>
      </c>
      <c r="K501">
        <f>VLOOKUP(B501,review_tbl[],3,FALSE)</f>
        <v>2</v>
      </c>
      <c r="L501" s="11">
        <v>1147.9158857044185</v>
      </c>
      <c r="M501" s="11">
        <f>AVERAGEIF(Table1[product_id],Master_tbl!B501:B1502,Table1[competitor_price])</f>
        <v>1439.8525</v>
      </c>
      <c r="N501" s="11">
        <f>IFERROR(Table5[[#This Row],[final_sale_price]]*Table5[[#This Row],[quantity_sold ]],0)</f>
        <v>13253.071199999998</v>
      </c>
      <c r="O501" s="11">
        <f>(Table5[[#This Row],[final_sale_price]]-Table5[[#This Row],[cost_price]])*Table5[[#This Row],[quantity_sold ]]</f>
        <v>5055.2951999999996</v>
      </c>
      <c r="P501" s="11">
        <f>(Table5[final_sale_price]-Table5[[#This Row],[avg_comp_price]])</f>
        <v>-335.42990000000009</v>
      </c>
      <c r="Q501" s="15">
        <f>(Table5[[#This Row],[final_sale_price]]-Table5[[#This Row],[avg_comp_price]])/Table5[[#This Row],[avg_comp_price]]</f>
        <v>-0.23296129291021136</v>
      </c>
      <c r="R501" s="11">
        <f>Table5[[#This Row],[Profit]]/Table5[[#This Row],[Revenue]]</f>
        <v>0.3814432989690722</v>
      </c>
    </row>
    <row r="502" spans="1:18" x14ac:dyDescent="0.2">
      <c r="A502" s="4">
        <v>501</v>
      </c>
      <c r="B502" s="4">
        <v>115</v>
      </c>
      <c r="C502" s="6">
        <v>45224</v>
      </c>
      <c r="D502" s="4">
        <v>28</v>
      </c>
      <c r="E502" s="4">
        <v>8</v>
      </c>
      <c r="F502" s="12">
        <f t="shared" si="7"/>
        <v>4315.9776000000002</v>
      </c>
      <c r="G502" t="str">
        <f>VLOOKUP(B502,product_tbl[],2,FALSE)</f>
        <v>Children Story Book 115</v>
      </c>
      <c r="H502" t="str">
        <f>VLOOKUP(B502,product_tbl[],3,FALSE)</f>
        <v>Books</v>
      </c>
      <c r="I502">
        <v>2814.7679999999996</v>
      </c>
      <c r="J502">
        <f>VLOOKUP(B502,product_tbl[],5,FALSE)</f>
        <v>4691.28</v>
      </c>
      <c r="K502">
        <f>VLOOKUP(B502,review_tbl[],3,FALSE)</f>
        <v>2</v>
      </c>
      <c r="L502" s="11">
        <v>5845.4511130096871</v>
      </c>
      <c r="M502" s="11">
        <f>AVERAGEIF(Table1[product_id],Master_tbl!B502:B1503,Table1[competitor_price])</f>
        <v>4456.5325000000003</v>
      </c>
      <c r="N502" s="11">
        <f>IFERROR(Table5[[#This Row],[final_sale_price]]*Table5[[#This Row],[quantity_sold ]],0)</f>
        <v>120847.37280000001</v>
      </c>
      <c r="O502" s="11">
        <f>(Table5[[#This Row],[final_sale_price]]-Table5[[#This Row],[cost_price]])*Table5[[#This Row],[quantity_sold ]]</f>
        <v>42033.868800000018</v>
      </c>
      <c r="P502" s="11">
        <f>(Table5[final_sale_price]-Table5[[#This Row],[avg_comp_price]])</f>
        <v>-140.55490000000009</v>
      </c>
      <c r="Q502" s="15">
        <f>(Table5[[#This Row],[final_sale_price]]-Table5[[#This Row],[avg_comp_price]])/Table5[[#This Row],[avg_comp_price]]</f>
        <v>-3.1539072137362421E-2</v>
      </c>
      <c r="R502" s="11">
        <f>Table5[[#This Row],[Profit]]/Table5[[#This Row],[Revenue]]</f>
        <v>0.34782608695652184</v>
      </c>
    </row>
    <row r="503" spans="1:18" x14ac:dyDescent="0.2">
      <c r="A503" s="5">
        <v>502</v>
      </c>
      <c r="B503" s="5">
        <v>60</v>
      </c>
      <c r="C503" s="7">
        <v>44939</v>
      </c>
      <c r="D503" s="5">
        <v>13</v>
      </c>
      <c r="E503" s="4">
        <v>7</v>
      </c>
      <c r="F503" s="12">
        <f t="shared" si="7"/>
        <v>2578.5272999999997</v>
      </c>
      <c r="G503" t="str">
        <f>VLOOKUP(B503,product_tbl[],2,FALSE)</f>
        <v>Biography 60</v>
      </c>
      <c r="H503" t="str">
        <f>VLOOKUP(B503,product_tbl[],3,FALSE)</f>
        <v>Books</v>
      </c>
      <c r="I503">
        <v>1663.566</v>
      </c>
      <c r="J503">
        <f>VLOOKUP(B503,product_tbl[],5,FALSE)</f>
        <v>2772.61</v>
      </c>
      <c r="K503">
        <f>VLOOKUP(B503,review_tbl[],3,FALSE)</f>
        <v>2</v>
      </c>
      <c r="L503" s="11">
        <v>3477.8411199449833</v>
      </c>
      <c r="M503" s="11">
        <f>AVERAGEIF(Table1[product_id],Master_tbl!B503:B1504,Table1[competitor_price])</f>
        <v>3047.7533333333336</v>
      </c>
      <c r="N503" s="11">
        <f>IFERROR(Table5[[#This Row],[final_sale_price]]*Table5[[#This Row],[quantity_sold ]],0)</f>
        <v>33520.854899999998</v>
      </c>
      <c r="O503" s="11">
        <f>(Table5[[#This Row],[final_sale_price]]-Table5[[#This Row],[cost_price]])*Table5[[#This Row],[quantity_sold ]]</f>
        <v>11894.496899999996</v>
      </c>
      <c r="P503" s="11">
        <f>(Table5[final_sale_price]-Table5[[#This Row],[avg_comp_price]])</f>
        <v>-469.22603333333382</v>
      </c>
      <c r="Q503" s="15">
        <f>(Table5[[#This Row],[final_sale_price]]-Table5[[#This Row],[avg_comp_price]])/Table5[[#This Row],[avg_comp_price]]</f>
        <v>-0.15395800841275445</v>
      </c>
      <c r="R503" s="11">
        <f>Table5[[#This Row],[Profit]]/Table5[[#This Row],[Revenue]]</f>
        <v>0.35483870967741926</v>
      </c>
    </row>
    <row r="504" spans="1:18" x14ac:dyDescent="0.2">
      <c r="A504" s="4">
        <v>503</v>
      </c>
      <c r="B504" s="4">
        <v>83</v>
      </c>
      <c r="C504" s="6">
        <v>44968</v>
      </c>
      <c r="D504" s="4">
        <v>19</v>
      </c>
      <c r="E504" s="4">
        <v>4</v>
      </c>
      <c r="F504" s="12">
        <f t="shared" si="7"/>
        <v>3663.7727999999997</v>
      </c>
      <c r="G504" t="str">
        <f>VLOOKUP(B504,product_tbl[],2,FALSE)</f>
        <v>Foundation 83</v>
      </c>
      <c r="H504" t="str">
        <f>VLOOKUP(B504,product_tbl[],3,FALSE)</f>
        <v>Beauty</v>
      </c>
      <c r="I504">
        <v>2289.8579999999997</v>
      </c>
      <c r="J504">
        <f>VLOOKUP(B504,product_tbl[],5,FALSE)</f>
        <v>3816.43</v>
      </c>
      <c r="K504">
        <f>VLOOKUP(B504,review_tbl[],3,FALSE)</f>
        <v>2</v>
      </c>
      <c r="L504" s="11">
        <v>4803.6932736395684</v>
      </c>
      <c r="M504" s="11">
        <f>AVERAGEIF(Table1[product_id],Master_tbl!B504:B1505,Table1[competitor_price])</f>
        <v>2990.2349999999997</v>
      </c>
      <c r="N504" s="11">
        <f>IFERROR(Table5[[#This Row],[final_sale_price]]*Table5[[#This Row],[quantity_sold ]],0)</f>
        <v>69611.683199999999</v>
      </c>
      <c r="O504" s="11">
        <f>(Table5[[#This Row],[final_sale_price]]-Table5[[#This Row],[cost_price]])*Table5[[#This Row],[quantity_sold ]]</f>
        <v>26104.3812</v>
      </c>
      <c r="P504" s="11">
        <f>(Table5[final_sale_price]-Table5[[#This Row],[avg_comp_price]])</f>
        <v>673.53780000000006</v>
      </c>
      <c r="Q504" s="15">
        <f>(Table5[[#This Row],[final_sale_price]]-Table5[[#This Row],[avg_comp_price]])/Table5[[#This Row],[avg_comp_price]]</f>
        <v>0.22524577499761728</v>
      </c>
      <c r="R504" s="11">
        <f>Table5[[#This Row],[Profit]]/Table5[[#This Row],[Revenue]]</f>
        <v>0.375</v>
      </c>
    </row>
    <row r="505" spans="1:18" x14ac:dyDescent="0.2">
      <c r="A505" s="5">
        <v>504</v>
      </c>
      <c r="B505" s="5">
        <v>134</v>
      </c>
      <c r="C505" s="7">
        <v>45787</v>
      </c>
      <c r="D505" s="5">
        <v>18</v>
      </c>
      <c r="E505" s="4">
        <v>6</v>
      </c>
      <c r="F505" s="12">
        <f t="shared" si="7"/>
        <v>631.87739999999997</v>
      </c>
      <c r="G505" t="str">
        <f>VLOOKUP(B505,product_tbl[],2,FALSE)</f>
        <v>Headphones 134</v>
      </c>
      <c r="H505" t="str">
        <f>VLOOKUP(B505,product_tbl[],3,FALSE)</f>
        <v>Electronics</v>
      </c>
      <c r="I505">
        <v>403.32600000000002</v>
      </c>
      <c r="J505">
        <f>VLOOKUP(B505,product_tbl[],5,FALSE)</f>
        <v>672.21</v>
      </c>
      <c r="K505">
        <f>VLOOKUP(B505,review_tbl[],3,FALSE)</f>
        <v>1</v>
      </c>
      <c r="L505" s="11">
        <v>745.13998674209938</v>
      </c>
      <c r="M505" s="11">
        <f>AVERAGEIF(Table1[product_id],Master_tbl!B505:B1506,Table1[competitor_price])</f>
        <v>4666.126666666667</v>
      </c>
      <c r="N505" s="11">
        <f>IFERROR(Table5[[#This Row],[final_sale_price]]*Table5[[#This Row],[quantity_sold ]],0)</f>
        <v>11373.7932</v>
      </c>
      <c r="O505" s="11">
        <f>(Table5[[#This Row],[final_sale_price]]-Table5[[#This Row],[cost_price]])*Table5[[#This Row],[quantity_sold ]]</f>
        <v>4113.9251999999988</v>
      </c>
      <c r="P505" s="11">
        <f>(Table5[final_sale_price]-Table5[[#This Row],[avg_comp_price]])</f>
        <v>-4034.2492666666672</v>
      </c>
      <c r="Q505" s="15">
        <f>(Table5[[#This Row],[final_sale_price]]-Table5[[#This Row],[avg_comp_price]])/Table5[[#This Row],[avg_comp_price]]</f>
        <v>-0.86458203020635249</v>
      </c>
      <c r="R505" s="11">
        <f>Table5[[#This Row],[Profit]]/Table5[[#This Row],[Revenue]]</f>
        <v>0.36170212765957438</v>
      </c>
    </row>
    <row r="506" spans="1:18" x14ac:dyDescent="0.2">
      <c r="A506" s="4">
        <v>505</v>
      </c>
      <c r="B506" s="4">
        <v>66</v>
      </c>
      <c r="C506" s="6">
        <v>45517</v>
      </c>
      <c r="D506" s="4">
        <v>14</v>
      </c>
      <c r="E506" s="4">
        <v>5</v>
      </c>
      <c r="F506" s="12">
        <f t="shared" si="7"/>
        <v>5533.7595000000001</v>
      </c>
      <c r="G506" t="str">
        <f>VLOOKUP(B506,product_tbl[],2,FALSE)</f>
        <v>Olive Oil 66</v>
      </c>
      <c r="H506" t="str">
        <f>VLOOKUP(B506,product_tbl[],3,FALSE)</f>
        <v>Grocery</v>
      </c>
      <c r="I506">
        <v>3495.0059999999999</v>
      </c>
      <c r="J506">
        <f>VLOOKUP(B506,product_tbl[],5,FALSE)</f>
        <v>5825.01</v>
      </c>
      <c r="K506">
        <f>VLOOKUP(B506,review_tbl[],3,FALSE)</f>
        <v>1</v>
      </c>
      <c r="L506" s="11">
        <v>7138.2653825343341</v>
      </c>
      <c r="M506" s="11">
        <f>AVERAGEIF(Table1[product_id],Master_tbl!B506:B1507,Table1[competitor_price])</f>
        <v>6051.7379999999994</v>
      </c>
      <c r="N506" s="11">
        <f>IFERROR(Table5[[#This Row],[final_sale_price]]*Table5[[#This Row],[quantity_sold ]],0)</f>
        <v>77472.633000000002</v>
      </c>
      <c r="O506" s="11">
        <f>(Table5[[#This Row],[final_sale_price]]-Table5[[#This Row],[cost_price]])*Table5[[#This Row],[quantity_sold ]]</f>
        <v>28542.549000000003</v>
      </c>
      <c r="P506" s="11">
        <f>(Table5[final_sale_price]-Table5[[#This Row],[avg_comp_price]])</f>
        <v>-517.97849999999926</v>
      </c>
      <c r="Q506" s="15">
        <f>(Table5[[#This Row],[final_sale_price]]-Table5[[#This Row],[avg_comp_price]])/Table5[[#This Row],[avg_comp_price]]</f>
        <v>-8.5591692832703486E-2</v>
      </c>
      <c r="R506" s="11">
        <f>Table5[[#This Row],[Profit]]/Table5[[#This Row],[Revenue]]</f>
        <v>0.36842105263157898</v>
      </c>
    </row>
    <row r="507" spans="1:18" x14ac:dyDescent="0.2">
      <c r="A507" s="5">
        <v>506</v>
      </c>
      <c r="B507" s="5">
        <v>46</v>
      </c>
      <c r="C507" s="7">
        <v>45631</v>
      </c>
      <c r="D507" s="5">
        <v>32</v>
      </c>
      <c r="E507" s="4">
        <v>10</v>
      </c>
      <c r="F507" s="12">
        <f t="shared" si="7"/>
        <v>1456.7940000000001</v>
      </c>
      <c r="G507" t="str">
        <f>VLOOKUP(B507,product_tbl[],2,FALSE)</f>
        <v>Action Figure 46</v>
      </c>
      <c r="H507" t="str">
        <f>VLOOKUP(B507,product_tbl[],3,FALSE)</f>
        <v>Toys</v>
      </c>
      <c r="I507">
        <v>971.19600000000003</v>
      </c>
      <c r="J507">
        <f>VLOOKUP(B507,product_tbl[],5,FALSE)</f>
        <v>1618.66</v>
      </c>
      <c r="K507">
        <f>VLOOKUP(B507,review_tbl[],3,FALSE)</f>
        <v>4</v>
      </c>
      <c r="L507" s="11">
        <v>2091.2112947778714</v>
      </c>
      <c r="M507" s="11">
        <f>AVERAGEIF(Table1[product_id],Master_tbl!B507:B1508,Table1[competitor_price])</f>
        <v>4497.6779999999999</v>
      </c>
      <c r="N507" s="11">
        <f>IFERROR(Table5[[#This Row],[final_sale_price]]*Table5[[#This Row],[quantity_sold ]],0)</f>
        <v>46617.408000000003</v>
      </c>
      <c r="O507" s="11">
        <f>(Table5[[#This Row],[final_sale_price]]-Table5[[#This Row],[cost_price]])*Table5[[#This Row],[quantity_sold ]]</f>
        <v>15539.136000000002</v>
      </c>
      <c r="P507" s="11">
        <f>(Table5[final_sale_price]-Table5[[#This Row],[avg_comp_price]])</f>
        <v>-3040.884</v>
      </c>
      <c r="Q507" s="15">
        <f>(Table5[[#This Row],[final_sale_price]]-Table5[[#This Row],[avg_comp_price]])/Table5[[#This Row],[avg_comp_price]]</f>
        <v>-0.6761008680479127</v>
      </c>
      <c r="R507" s="11">
        <f>Table5[[#This Row],[Profit]]/Table5[[#This Row],[Revenue]]</f>
        <v>0.33333333333333337</v>
      </c>
    </row>
    <row r="508" spans="1:18" x14ac:dyDescent="0.2">
      <c r="A508" s="4">
        <v>507</v>
      </c>
      <c r="B508" s="4">
        <v>124</v>
      </c>
      <c r="C508" s="6">
        <v>45924</v>
      </c>
      <c r="D508" s="4">
        <v>25</v>
      </c>
      <c r="E508" s="4">
        <v>2</v>
      </c>
      <c r="F508" s="12">
        <f t="shared" si="7"/>
        <v>4063.6091999999999</v>
      </c>
      <c r="G508" t="str">
        <f>VLOOKUP(B508,product_tbl[],2,FALSE)</f>
        <v>Sunglasses 124</v>
      </c>
      <c r="H508" t="str">
        <f>VLOOKUP(B508,product_tbl[],3,FALSE)</f>
        <v>Fashion</v>
      </c>
      <c r="I508">
        <v>2487.924</v>
      </c>
      <c r="J508">
        <f>VLOOKUP(B508,product_tbl[],5,FALSE)</f>
        <v>4146.54</v>
      </c>
      <c r="K508">
        <f>VLOOKUP(B508,review_tbl[],3,FALSE)</f>
        <v>3</v>
      </c>
      <c r="L508" s="11">
        <v>4556.084875576631</v>
      </c>
      <c r="M508" s="11">
        <f>AVERAGEIF(Table1[product_id],Master_tbl!B508:B1509,Table1[competitor_price])</f>
        <v>7575.8475000000008</v>
      </c>
      <c r="N508" s="11">
        <f>IFERROR(Table5[[#This Row],[final_sale_price]]*Table5[[#This Row],[quantity_sold ]],0)</f>
        <v>101590.23</v>
      </c>
      <c r="O508" s="11">
        <f>(Table5[[#This Row],[final_sale_price]]-Table5[[#This Row],[cost_price]])*Table5[[#This Row],[quantity_sold ]]</f>
        <v>39392.129999999997</v>
      </c>
      <c r="P508" s="11">
        <f>(Table5[final_sale_price]-Table5[[#This Row],[avg_comp_price]])</f>
        <v>-3512.2383000000009</v>
      </c>
      <c r="Q508" s="15">
        <f>(Table5[[#This Row],[final_sale_price]]-Table5[[#This Row],[avg_comp_price]])/Table5[[#This Row],[avg_comp_price]]</f>
        <v>-0.46360995254986331</v>
      </c>
      <c r="R508" s="11">
        <f>Table5[[#This Row],[Profit]]/Table5[[#This Row],[Revenue]]</f>
        <v>0.38775510204081631</v>
      </c>
    </row>
    <row r="509" spans="1:18" x14ac:dyDescent="0.2">
      <c r="A509" s="5">
        <v>508</v>
      </c>
      <c r="B509" s="5">
        <v>88</v>
      </c>
      <c r="C509" s="7">
        <v>45113</v>
      </c>
      <c r="D509" s="5">
        <v>49</v>
      </c>
      <c r="E509" s="4">
        <v>6</v>
      </c>
      <c r="F509" s="12">
        <f t="shared" si="7"/>
        <v>5862.1502</v>
      </c>
      <c r="G509" t="str">
        <f>VLOOKUP(B509,product_tbl[],2,FALSE)</f>
        <v>Tablet 88</v>
      </c>
      <c r="H509" t="str">
        <f>VLOOKUP(B509,product_tbl[],3,FALSE)</f>
        <v>Electronics</v>
      </c>
      <c r="I509">
        <v>3741.7979999999998</v>
      </c>
      <c r="J509">
        <f>VLOOKUP(B509,product_tbl[],5,FALSE)</f>
        <v>6236.33</v>
      </c>
      <c r="K509">
        <f>VLOOKUP(B509,review_tbl[],3,FALSE)</f>
        <v>5</v>
      </c>
      <c r="L509" s="11">
        <v>6834.7797978029084</v>
      </c>
      <c r="M509" s="11">
        <f>AVERAGEIF(Table1[product_id],Master_tbl!B509:B1510,Table1[competitor_price])</f>
        <v>4981.5050000000001</v>
      </c>
      <c r="N509" s="11">
        <f>IFERROR(Table5[[#This Row],[final_sale_price]]*Table5[[#This Row],[quantity_sold ]],0)</f>
        <v>287245.35979999998</v>
      </c>
      <c r="O509" s="11">
        <f>(Table5[[#This Row],[final_sale_price]]-Table5[[#This Row],[cost_price]])*Table5[[#This Row],[quantity_sold ]]</f>
        <v>103897.25780000001</v>
      </c>
      <c r="P509" s="11">
        <f>(Table5[final_sale_price]-Table5[[#This Row],[avg_comp_price]])</f>
        <v>880.64519999999993</v>
      </c>
      <c r="Q509" s="15">
        <f>(Table5[[#This Row],[final_sale_price]]-Table5[[#This Row],[avg_comp_price]])/Table5[[#This Row],[avg_comp_price]]</f>
        <v>0.17678296016966757</v>
      </c>
      <c r="R509" s="11">
        <f>Table5[[#This Row],[Profit]]/Table5[[#This Row],[Revenue]]</f>
        <v>0.36170212765957455</v>
      </c>
    </row>
    <row r="510" spans="1:18" x14ac:dyDescent="0.2">
      <c r="A510" s="4">
        <v>509</v>
      </c>
      <c r="B510" s="4">
        <v>30</v>
      </c>
      <c r="C510" s="6">
        <v>45140</v>
      </c>
      <c r="D510" s="4">
        <v>12</v>
      </c>
      <c r="E510" s="4">
        <v>9</v>
      </c>
      <c r="F510" s="12">
        <f t="shared" si="7"/>
        <v>1863.9894000000002</v>
      </c>
      <c r="G510" t="str">
        <f>VLOOKUP(B510,product_tbl[],2,FALSE)</f>
        <v>Doll 30</v>
      </c>
      <c r="H510" t="str">
        <f>VLOOKUP(B510,product_tbl[],3,FALSE)</f>
        <v>Toys</v>
      </c>
      <c r="I510">
        <v>1229.0040000000001</v>
      </c>
      <c r="J510">
        <f>VLOOKUP(B510,product_tbl[],5,FALSE)</f>
        <v>2048.34</v>
      </c>
      <c r="K510">
        <f>VLOOKUP(B510,review_tbl[],3,FALSE)</f>
        <v>1</v>
      </c>
      <c r="L510" s="11">
        <v>2164.3488504155825</v>
      </c>
      <c r="M510" s="11">
        <f>AVERAGEIF(Table1[product_id],Master_tbl!B510:B1511,Table1[competitor_price])</f>
        <v>4153.6075000000001</v>
      </c>
      <c r="N510" s="11">
        <f>IFERROR(Table5[[#This Row],[final_sale_price]]*Table5[[#This Row],[quantity_sold ]],0)</f>
        <v>22367.872800000001</v>
      </c>
      <c r="O510" s="11">
        <f>(Table5[[#This Row],[final_sale_price]]-Table5[[#This Row],[cost_price]])*Table5[[#This Row],[quantity_sold ]]</f>
        <v>7619.8248000000003</v>
      </c>
      <c r="P510" s="11">
        <f>(Table5[final_sale_price]-Table5[[#This Row],[avg_comp_price]])</f>
        <v>-2289.6180999999997</v>
      </c>
      <c r="Q510" s="15">
        <f>(Table5[[#This Row],[final_sale_price]]-Table5[[#This Row],[avg_comp_price]])/Table5[[#This Row],[avg_comp_price]]</f>
        <v>-0.55123602795882842</v>
      </c>
      <c r="R510" s="11">
        <f>Table5[[#This Row],[Profit]]/Table5[[#This Row],[Revenue]]</f>
        <v>0.34065934065934067</v>
      </c>
    </row>
    <row r="511" spans="1:18" x14ac:dyDescent="0.2">
      <c r="A511" s="5">
        <v>510</v>
      </c>
      <c r="B511" s="5">
        <v>123</v>
      </c>
      <c r="C511" s="7">
        <v>45797</v>
      </c>
      <c r="D511" s="5">
        <v>12</v>
      </c>
      <c r="E511" s="4">
        <v>6</v>
      </c>
      <c r="F511" s="12">
        <f t="shared" si="7"/>
        <v>4349.9627999999993</v>
      </c>
      <c r="G511" t="str">
        <f>VLOOKUP(B511,product_tbl[],2,FALSE)</f>
        <v>Sunglasses 123</v>
      </c>
      <c r="H511" t="str">
        <f>VLOOKUP(B511,product_tbl[],3,FALSE)</f>
        <v>Fashion</v>
      </c>
      <c r="I511">
        <v>2776.5719999999997</v>
      </c>
      <c r="J511">
        <f>VLOOKUP(B511,product_tbl[],5,FALSE)</f>
        <v>4627.62</v>
      </c>
      <c r="K511">
        <f>VLOOKUP(B511,review_tbl[],3,FALSE)</f>
        <v>2</v>
      </c>
      <c r="L511" s="11">
        <v>5717.1077679330756</v>
      </c>
      <c r="M511" s="11">
        <f>AVERAGEIF(Table1[product_id],Master_tbl!B511:B1512,Table1[competitor_price])</f>
        <v>809.94800000000009</v>
      </c>
      <c r="N511" s="11">
        <f>IFERROR(Table5[[#This Row],[final_sale_price]]*Table5[[#This Row],[quantity_sold ]],0)</f>
        <v>52199.553599999992</v>
      </c>
      <c r="O511" s="11">
        <f>(Table5[[#This Row],[final_sale_price]]-Table5[[#This Row],[cost_price]])*Table5[[#This Row],[quantity_sold ]]</f>
        <v>18880.689599999998</v>
      </c>
      <c r="P511" s="11">
        <f>(Table5[final_sale_price]-Table5[[#This Row],[avg_comp_price]])</f>
        <v>3540.014799999999</v>
      </c>
      <c r="Q511" s="15">
        <f>(Table5[[#This Row],[final_sale_price]]-Table5[[#This Row],[avg_comp_price]])/Table5[[#This Row],[avg_comp_price]]</f>
        <v>4.3706692281479782</v>
      </c>
      <c r="R511" s="11">
        <f>Table5[[#This Row],[Profit]]/Table5[[#This Row],[Revenue]]</f>
        <v>0.36170212765957449</v>
      </c>
    </row>
    <row r="512" spans="1:18" x14ac:dyDescent="0.2">
      <c r="A512" s="4">
        <v>511</v>
      </c>
      <c r="B512" s="4">
        <v>143</v>
      </c>
      <c r="C512" s="6">
        <v>45563</v>
      </c>
      <c r="D512" s="4">
        <v>23</v>
      </c>
      <c r="E512" s="4">
        <v>10</v>
      </c>
      <c r="F512" s="12">
        <f t="shared" si="7"/>
        <v>270.26100000000002</v>
      </c>
      <c r="G512" t="str">
        <f>VLOOKUP(B512,product_tbl[],2,FALSE)</f>
        <v>Remote Car 143</v>
      </c>
      <c r="H512" t="str">
        <f>VLOOKUP(B512,product_tbl[],3,FALSE)</f>
        <v>Toys</v>
      </c>
      <c r="I512">
        <v>180.17400000000001</v>
      </c>
      <c r="J512">
        <f>VLOOKUP(B512,product_tbl[],5,FALSE)</f>
        <v>300.29000000000002</v>
      </c>
      <c r="K512">
        <f>VLOOKUP(B512,review_tbl[],3,FALSE)</f>
        <v>5</v>
      </c>
      <c r="L512" s="11">
        <v>331.91505353148239</v>
      </c>
      <c r="M512" s="11">
        <f>AVERAGEIF(Table1[product_id],Master_tbl!B512:B1513,Table1[competitor_price])</f>
        <v>2883.9133333333339</v>
      </c>
      <c r="N512" s="11">
        <f>IFERROR(Table5[[#This Row],[final_sale_price]]*Table5[[#This Row],[quantity_sold ]],0)</f>
        <v>6216.0030000000006</v>
      </c>
      <c r="O512" s="11">
        <f>(Table5[[#This Row],[final_sale_price]]-Table5[[#This Row],[cost_price]])*Table5[[#This Row],[quantity_sold ]]</f>
        <v>2072.0010000000002</v>
      </c>
      <c r="P512" s="11">
        <f>(Table5[final_sale_price]-Table5[[#This Row],[avg_comp_price]])</f>
        <v>-2613.6523333333339</v>
      </c>
      <c r="Q512" s="15">
        <f>(Table5[[#This Row],[final_sale_price]]-Table5[[#This Row],[avg_comp_price]])/Table5[[#This Row],[avg_comp_price]]</f>
        <v>-0.90628671226828361</v>
      </c>
      <c r="R512" s="11">
        <f>Table5[[#This Row],[Profit]]/Table5[[#This Row],[Revenue]]</f>
        <v>0.33333333333333331</v>
      </c>
    </row>
    <row r="513" spans="1:18" x14ac:dyDescent="0.2">
      <c r="A513" s="5">
        <v>512</v>
      </c>
      <c r="B513" s="5">
        <v>30</v>
      </c>
      <c r="C513" s="7">
        <v>45323</v>
      </c>
      <c r="D513" s="5">
        <v>26</v>
      </c>
      <c r="E513" s="4">
        <v>7</v>
      </c>
      <c r="F513" s="12">
        <f t="shared" si="7"/>
        <v>1904.9562000000001</v>
      </c>
      <c r="G513" t="str">
        <f>VLOOKUP(B513,product_tbl[],2,FALSE)</f>
        <v>Doll 30</v>
      </c>
      <c r="H513" t="str">
        <f>VLOOKUP(B513,product_tbl[],3,FALSE)</f>
        <v>Toys</v>
      </c>
      <c r="I513">
        <v>1229.0040000000001</v>
      </c>
      <c r="J513">
        <f>VLOOKUP(B513,product_tbl[],5,FALSE)</f>
        <v>2048.34</v>
      </c>
      <c r="K513">
        <f>VLOOKUP(B513,review_tbl[],3,FALSE)</f>
        <v>1</v>
      </c>
      <c r="L513" s="11">
        <v>2632.1009133792591</v>
      </c>
      <c r="M513" s="11">
        <f>AVERAGEIF(Table1[product_id],Master_tbl!B513:B1514,Table1[competitor_price])</f>
        <v>4153.6075000000001</v>
      </c>
      <c r="N513" s="11">
        <f>IFERROR(Table5[[#This Row],[final_sale_price]]*Table5[[#This Row],[quantity_sold ]],0)</f>
        <v>49528.861199999999</v>
      </c>
      <c r="O513" s="11">
        <f>(Table5[[#This Row],[final_sale_price]]-Table5[[#This Row],[cost_price]])*Table5[[#This Row],[quantity_sold ]]</f>
        <v>17574.7572</v>
      </c>
      <c r="P513" s="11">
        <f>(Table5[final_sale_price]-Table5[[#This Row],[avg_comp_price]])</f>
        <v>-2248.6513</v>
      </c>
      <c r="Q513" s="15">
        <f>(Table5[[#This Row],[final_sale_price]]-Table5[[#This Row],[avg_comp_price]])/Table5[[#This Row],[avg_comp_price]]</f>
        <v>-0.54137308351836322</v>
      </c>
      <c r="R513" s="11">
        <f>Table5[[#This Row],[Profit]]/Table5[[#This Row],[Revenue]]</f>
        <v>0.35483870967741937</v>
      </c>
    </row>
    <row r="514" spans="1:18" x14ac:dyDescent="0.2">
      <c r="A514" s="4">
        <v>513</v>
      </c>
      <c r="B514" s="4">
        <v>33</v>
      </c>
      <c r="C514" s="6">
        <v>45093</v>
      </c>
      <c r="D514" s="4">
        <v>33</v>
      </c>
      <c r="E514" s="4">
        <v>10</v>
      </c>
      <c r="F514" s="12">
        <f t="shared" ref="F514:F577" si="8">J514*(1-E514/100)</f>
        <v>4547.6909999999998</v>
      </c>
      <c r="G514" t="str">
        <f>VLOOKUP(B514,product_tbl[],2,FALSE)</f>
        <v>Washing Machine 33</v>
      </c>
      <c r="H514" t="str">
        <f>VLOOKUP(B514,product_tbl[],3,FALSE)</f>
        <v>Home Appliances</v>
      </c>
      <c r="I514">
        <v>3031.7939999999999</v>
      </c>
      <c r="J514">
        <f>VLOOKUP(B514,product_tbl[],5,FALSE)</f>
        <v>5052.99</v>
      </c>
      <c r="K514">
        <f>VLOOKUP(B514,review_tbl[],3,FALSE)</f>
        <v>3</v>
      </c>
      <c r="L514" s="11">
        <v>5599.2434297960035</v>
      </c>
      <c r="M514" s="11">
        <f>AVERAGEIF(Table1[product_id],Master_tbl!B514:B1515,Table1[competitor_price])</f>
        <v>2776.7875000000004</v>
      </c>
      <c r="N514" s="11">
        <f>IFERROR(Table5[[#This Row],[final_sale_price]]*Table5[[#This Row],[quantity_sold ]],0)</f>
        <v>150073.80299999999</v>
      </c>
      <c r="O514" s="11">
        <f>(Table5[[#This Row],[final_sale_price]]-Table5[[#This Row],[cost_price]])*Table5[[#This Row],[quantity_sold ]]</f>
        <v>50024.600999999995</v>
      </c>
      <c r="P514" s="11">
        <f>(Table5[final_sale_price]-Table5[[#This Row],[avg_comp_price]])</f>
        <v>1770.9034999999994</v>
      </c>
      <c r="Q514" s="15">
        <f>(Table5[[#This Row],[final_sale_price]]-Table5[[#This Row],[avg_comp_price]])/Table5[[#This Row],[avg_comp_price]]</f>
        <v>0.63775261880860501</v>
      </c>
      <c r="R514" s="11">
        <f>Table5[[#This Row],[Profit]]/Table5[[#This Row],[Revenue]]</f>
        <v>0.33333333333333331</v>
      </c>
    </row>
    <row r="515" spans="1:18" x14ac:dyDescent="0.2">
      <c r="A515" s="5">
        <v>514</v>
      </c>
      <c r="B515" s="5">
        <v>87</v>
      </c>
      <c r="C515" s="7">
        <v>45709</v>
      </c>
      <c r="D515" s="5">
        <v>31</v>
      </c>
      <c r="E515" s="4">
        <v>6</v>
      </c>
      <c r="F515" s="12">
        <f t="shared" si="8"/>
        <v>3848.4727999999996</v>
      </c>
      <c r="G515" t="str">
        <f>VLOOKUP(B515,product_tbl[],2,FALSE)</f>
        <v>Laptop 87</v>
      </c>
      <c r="H515" t="str">
        <f>VLOOKUP(B515,product_tbl[],3,FALSE)</f>
        <v>Electronics</v>
      </c>
      <c r="I515">
        <v>2456.4719999999998</v>
      </c>
      <c r="J515">
        <f>VLOOKUP(B515,product_tbl[],5,FALSE)</f>
        <v>4094.12</v>
      </c>
      <c r="K515">
        <f>VLOOKUP(B515,review_tbl[],3,FALSE)</f>
        <v>2</v>
      </c>
      <c r="L515" s="11">
        <v>5138.1022675673148</v>
      </c>
      <c r="M515" s="11">
        <f>AVERAGEIF(Table1[product_id],Master_tbl!B515:B1516,Table1[competitor_price])</f>
        <v>493.79250000000002</v>
      </c>
      <c r="N515" s="11">
        <f>IFERROR(Table5[[#This Row],[final_sale_price]]*Table5[[#This Row],[quantity_sold ]],0)</f>
        <v>119302.65679999998</v>
      </c>
      <c r="O515" s="11">
        <f>(Table5[[#This Row],[final_sale_price]]-Table5[[#This Row],[cost_price]])*Table5[[#This Row],[quantity_sold ]]</f>
        <v>43152.024799999992</v>
      </c>
      <c r="P515" s="11">
        <f>(Table5[final_sale_price]-Table5[[#This Row],[avg_comp_price]])</f>
        <v>3354.6802999999995</v>
      </c>
      <c r="Q515" s="15">
        <f>(Table5[[#This Row],[final_sale_price]]-Table5[[#This Row],[avg_comp_price]])/Table5[[#This Row],[avg_comp_price]]</f>
        <v>6.7937044406304254</v>
      </c>
      <c r="R515" s="11">
        <f>Table5[[#This Row],[Profit]]/Table5[[#This Row],[Revenue]]</f>
        <v>0.36170212765957444</v>
      </c>
    </row>
    <row r="516" spans="1:18" x14ac:dyDescent="0.2">
      <c r="A516" s="4">
        <v>515</v>
      </c>
      <c r="B516" s="4">
        <v>138</v>
      </c>
      <c r="C516" s="6">
        <v>44937</v>
      </c>
      <c r="D516" s="4">
        <v>21</v>
      </c>
      <c r="E516" s="4">
        <v>7</v>
      </c>
      <c r="F516" s="12">
        <f t="shared" si="8"/>
        <v>2875.0856999999996</v>
      </c>
      <c r="G516" t="str">
        <f>VLOOKUP(B516,product_tbl[],2,FALSE)</f>
        <v>Running Shoes 138</v>
      </c>
      <c r="H516" t="str">
        <f>VLOOKUP(B516,product_tbl[],3,FALSE)</f>
        <v>Sports</v>
      </c>
      <c r="I516">
        <v>1854.8939999999998</v>
      </c>
      <c r="J516">
        <f>VLOOKUP(B516,product_tbl[],5,FALSE)</f>
        <v>3091.49</v>
      </c>
      <c r="K516">
        <f>VLOOKUP(B516,review_tbl[],3,FALSE)</f>
        <v>5</v>
      </c>
      <c r="L516" s="11">
        <v>3371.6682137692355</v>
      </c>
      <c r="M516" s="11">
        <f>AVERAGEIF(Table1[product_id],Master_tbl!B516:B1517,Table1[competitor_price])</f>
        <v>4980.4933333333329</v>
      </c>
      <c r="N516" s="11">
        <f>IFERROR(Table5[[#This Row],[final_sale_price]]*Table5[[#This Row],[quantity_sold ]],0)</f>
        <v>60376.799699999989</v>
      </c>
      <c r="O516" s="11">
        <f>(Table5[[#This Row],[final_sale_price]]-Table5[[#This Row],[cost_price]])*Table5[[#This Row],[quantity_sold ]]</f>
        <v>21424.025699999998</v>
      </c>
      <c r="P516" s="11">
        <f>(Table5[final_sale_price]-Table5[[#This Row],[avg_comp_price]])</f>
        <v>-2105.4076333333333</v>
      </c>
      <c r="Q516" s="15">
        <f>(Table5[[#This Row],[final_sale_price]]-Table5[[#This Row],[avg_comp_price]])/Table5[[#This Row],[avg_comp_price]]</f>
        <v>-0.42273074019441181</v>
      </c>
      <c r="R516" s="11">
        <f>Table5[[#This Row],[Profit]]/Table5[[#This Row],[Revenue]]</f>
        <v>0.35483870967741937</v>
      </c>
    </row>
    <row r="517" spans="1:18" x14ac:dyDescent="0.2">
      <c r="A517" s="5">
        <v>516</v>
      </c>
      <c r="B517" s="5">
        <v>74</v>
      </c>
      <c r="C517" s="7">
        <v>45509</v>
      </c>
      <c r="D517" s="5">
        <v>46</v>
      </c>
      <c r="E517" s="4">
        <v>6</v>
      </c>
      <c r="F517" s="12">
        <f t="shared" si="8"/>
        <v>1790.8973999999998</v>
      </c>
      <c r="G517" t="str">
        <f>VLOOKUP(B517,product_tbl[],2,FALSE)</f>
        <v>Sneakers 74</v>
      </c>
      <c r="H517" t="str">
        <f>VLOOKUP(B517,product_tbl[],3,FALSE)</f>
        <v>Fashion</v>
      </c>
      <c r="I517">
        <v>1143.126</v>
      </c>
      <c r="J517">
        <f>VLOOKUP(B517,product_tbl[],5,FALSE)</f>
        <v>1905.21</v>
      </c>
      <c r="K517">
        <f>VLOOKUP(B517,review_tbl[],3,FALSE)</f>
        <v>5</v>
      </c>
      <c r="L517" s="11">
        <v>2314.2025124638121</v>
      </c>
      <c r="M517" s="11">
        <f>AVERAGEIF(Table1[product_id],Master_tbl!B517:B1518,Table1[competitor_price])</f>
        <v>2585.9039999999995</v>
      </c>
      <c r="N517" s="11">
        <f>IFERROR(Table5[[#This Row],[final_sale_price]]*Table5[[#This Row],[quantity_sold ]],0)</f>
        <v>82381.280399999989</v>
      </c>
      <c r="O517" s="11">
        <f>(Table5[[#This Row],[final_sale_price]]-Table5[[#This Row],[cost_price]])*Table5[[#This Row],[quantity_sold ]]</f>
        <v>29797.484399999994</v>
      </c>
      <c r="P517" s="11">
        <f>(Table5[final_sale_price]-Table5[[#This Row],[avg_comp_price]])</f>
        <v>-795.00659999999971</v>
      </c>
      <c r="Q517" s="15">
        <f>(Table5[[#This Row],[final_sale_price]]-Table5[[#This Row],[avg_comp_price]])/Table5[[#This Row],[avg_comp_price]]</f>
        <v>-0.30743855920405394</v>
      </c>
      <c r="R517" s="11">
        <f>Table5[[#This Row],[Profit]]/Table5[[#This Row],[Revenue]]</f>
        <v>0.36170212765957444</v>
      </c>
    </row>
    <row r="518" spans="1:18" x14ac:dyDescent="0.2">
      <c r="A518" s="4">
        <v>517</v>
      </c>
      <c r="B518" s="4">
        <v>131</v>
      </c>
      <c r="C518" s="6">
        <v>45137</v>
      </c>
      <c r="D518" s="4">
        <v>15</v>
      </c>
      <c r="E518" s="4">
        <v>6</v>
      </c>
      <c r="F518" s="12">
        <f t="shared" si="8"/>
        <v>5821.0252</v>
      </c>
      <c r="G518" t="str">
        <f>VLOOKUP(B518,product_tbl[],2,FALSE)</f>
        <v>Lipstick 131</v>
      </c>
      <c r="H518" t="str">
        <f>VLOOKUP(B518,product_tbl[],3,FALSE)</f>
        <v>Beauty</v>
      </c>
      <c r="I518">
        <v>3715.5479999999998</v>
      </c>
      <c r="J518">
        <f>VLOOKUP(B518,product_tbl[],5,FALSE)</f>
        <v>6192.58</v>
      </c>
      <c r="K518">
        <f>VLOOKUP(B518,review_tbl[],3,FALSE)</f>
        <v>3</v>
      </c>
      <c r="L518" s="11">
        <v>6329.2353895057431</v>
      </c>
      <c r="M518" s="11">
        <f>AVERAGEIF(Table1[product_id],Master_tbl!B518:B1519,Table1[competitor_price])</f>
        <v>1795.3133333333335</v>
      </c>
      <c r="N518" s="11">
        <f>IFERROR(Table5[[#This Row],[final_sale_price]]*Table5[[#This Row],[quantity_sold ]],0)</f>
        <v>87315.377999999997</v>
      </c>
      <c r="O518" s="11">
        <f>(Table5[[#This Row],[final_sale_price]]-Table5[[#This Row],[cost_price]])*Table5[[#This Row],[quantity_sold ]]</f>
        <v>31582.158000000003</v>
      </c>
      <c r="P518" s="11">
        <f>(Table5[final_sale_price]-Table5[[#This Row],[avg_comp_price]])</f>
        <v>4025.7118666666665</v>
      </c>
      <c r="Q518" s="15">
        <f>(Table5[[#This Row],[final_sale_price]]-Table5[[#This Row],[avg_comp_price]])/Table5[[#This Row],[avg_comp_price]]</f>
        <v>2.2423449945599092</v>
      </c>
      <c r="R518" s="11">
        <f>Table5[[#This Row],[Profit]]/Table5[[#This Row],[Revenue]]</f>
        <v>0.36170212765957449</v>
      </c>
    </row>
    <row r="519" spans="1:18" x14ac:dyDescent="0.2">
      <c r="A519" s="5">
        <v>518</v>
      </c>
      <c r="B519" s="5">
        <v>54</v>
      </c>
      <c r="C519" s="7">
        <v>45531</v>
      </c>
      <c r="D519" s="5">
        <v>41</v>
      </c>
      <c r="E519" s="4">
        <v>8</v>
      </c>
      <c r="F519" s="12">
        <f t="shared" si="8"/>
        <v>855.18600000000004</v>
      </c>
      <c r="G519" t="str">
        <f>VLOOKUP(B519,product_tbl[],2,FALSE)</f>
        <v>Cookbook 54</v>
      </c>
      <c r="H519" t="str">
        <f>VLOOKUP(B519,product_tbl[],3,FALSE)</f>
        <v>Books</v>
      </c>
      <c r="I519">
        <v>557.7299999999999</v>
      </c>
      <c r="J519">
        <f>VLOOKUP(B519,product_tbl[],5,FALSE)</f>
        <v>929.55</v>
      </c>
      <c r="K519">
        <f>VLOOKUP(B519,review_tbl[],3,FALSE)</f>
        <v>3</v>
      </c>
      <c r="L519" s="11">
        <v>1111.5025236952497</v>
      </c>
      <c r="M519" s="11">
        <f>AVERAGEIF(Table1[product_id],Master_tbl!B519:B1520,Table1[competitor_price])</f>
        <v>2958.2974999999997</v>
      </c>
      <c r="N519" s="11">
        <f>IFERROR(Table5[[#This Row],[final_sale_price]]*Table5[[#This Row],[quantity_sold ]],0)</f>
        <v>35062.626000000004</v>
      </c>
      <c r="O519" s="11">
        <f>(Table5[[#This Row],[final_sale_price]]-Table5[[#This Row],[cost_price]])*Table5[[#This Row],[quantity_sold ]]</f>
        <v>12195.696000000005</v>
      </c>
      <c r="P519" s="11">
        <f>(Table5[final_sale_price]-Table5[[#This Row],[avg_comp_price]])</f>
        <v>-2103.1114999999995</v>
      </c>
      <c r="Q519" s="15">
        <f>(Table5[[#This Row],[final_sale_price]]-Table5[[#This Row],[avg_comp_price]])/Table5[[#This Row],[avg_comp_price]]</f>
        <v>-0.71091954071556351</v>
      </c>
      <c r="R519" s="11">
        <f>Table5[[#This Row],[Profit]]/Table5[[#This Row],[Revenue]]</f>
        <v>0.34782608695652184</v>
      </c>
    </row>
    <row r="520" spans="1:18" x14ac:dyDescent="0.2">
      <c r="A520" s="4">
        <v>519</v>
      </c>
      <c r="B520" s="4">
        <v>5</v>
      </c>
      <c r="C520" s="6">
        <v>45517</v>
      </c>
      <c r="D520" s="4">
        <v>26</v>
      </c>
      <c r="E520" s="4">
        <v>4</v>
      </c>
      <c r="F520" s="12">
        <f t="shared" si="8"/>
        <v>797.04</v>
      </c>
      <c r="G520" t="str">
        <f>VLOOKUP(B520,product_tbl[],2,FALSE)</f>
        <v>Moisturizer 5</v>
      </c>
      <c r="H520" t="str">
        <f>VLOOKUP(B520,product_tbl[],3,FALSE)</f>
        <v>Beauty</v>
      </c>
      <c r="I520">
        <v>498.15</v>
      </c>
      <c r="J520">
        <f>VLOOKUP(B520,product_tbl[],5,FALSE)</f>
        <v>830.25</v>
      </c>
      <c r="K520">
        <f>VLOOKUP(B520,review_tbl[],3,FALSE)</f>
        <v>5</v>
      </c>
      <c r="L520" s="11">
        <v>845.09098355473998</v>
      </c>
      <c r="M520" s="11">
        <f>AVERAGEIF(Table1[product_id],Master_tbl!B520:B1521,Table1[competitor_price])</f>
        <v>7010.5333333333328</v>
      </c>
      <c r="N520" s="11">
        <f>IFERROR(Table5[[#This Row],[final_sale_price]]*Table5[[#This Row],[quantity_sold ]],0)</f>
        <v>20723.04</v>
      </c>
      <c r="O520" s="11">
        <f>(Table5[[#This Row],[final_sale_price]]-Table5[[#This Row],[cost_price]])*Table5[[#This Row],[quantity_sold ]]</f>
        <v>7771.1399999999994</v>
      </c>
      <c r="P520" s="11">
        <f>(Table5[final_sale_price]-Table5[[#This Row],[avg_comp_price]])</f>
        <v>-6213.4933333333329</v>
      </c>
      <c r="Q520" s="15">
        <f>(Table5[[#This Row],[final_sale_price]]-Table5[[#This Row],[avg_comp_price]])/Table5[[#This Row],[avg_comp_price]]</f>
        <v>-0.88630822191369174</v>
      </c>
      <c r="R520" s="11">
        <f>Table5[[#This Row],[Profit]]/Table5[[#This Row],[Revenue]]</f>
        <v>0.37499999999999994</v>
      </c>
    </row>
    <row r="521" spans="1:18" x14ac:dyDescent="0.2">
      <c r="A521" s="5">
        <v>520</v>
      </c>
      <c r="B521" s="5">
        <v>19</v>
      </c>
      <c r="C521" s="7">
        <v>45373</v>
      </c>
      <c r="D521" s="5">
        <v>4</v>
      </c>
      <c r="E521" s="4">
        <v>9</v>
      </c>
      <c r="F521" s="12">
        <f t="shared" si="8"/>
        <v>3103.8553000000002</v>
      </c>
      <c r="G521" t="str">
        <f>VLOOKUP(B521,product_tbl[],2,FALSE)</f>
        <v>Air Conditioner 19</v>
      </c>
      <c r="H521" t="str">
        <f>VLOOKUP(B521,product_tbl[],3,FALSE)</f>
        <v>Home Appliances</v>
      </c>
      <c r="I521">
        <v>2046.4979999999998</v>
      </c>
      <c r="J521">
        <f>VLOOKUP(B521,product_tbl[],5,FALSE)</f>
        <v>3410.83</v>
      </c>
      <c r="K521">
        <f>VLOOKUP(B521,review_tbl[],3,FALSE)</f>
        <v>2</v>
      </c>
      <c r="L521" s="11">
        <v>4356.9202021717256</v>
      </c>
      <c r="M521" s="11">
        <f>AVERAGEIF(Table1[product_id],Master_tbl!B521:B1522,Table1[competitor_price])</f>
        <v>1213.8383333333334</v>
      </c>
      <c r="N521" s="11">
        <f>IFERROR(Table5[[#This Row],[final_sale_price]]*Table5[[#This Row],[quantity_sold ]],0)</f>
        <v>12415.421200000001</v>
      </c>
      <c r="O521" s="11">
        <f>(Table5[[#This Row],[final_sale_price]]-Table5[[#This Row],[cost_price]])*Table5[[#This Row],[quantity_sold ]]</f>
        <v>4229.4292000000014</v>
      </c>
      <c r="P521" s="11">
        <f>(Table5[final_sale_price]-Table5[[#This Row],[avg_comp_price]])</f>
        <v>1890.0169666666668</v>
      </c>
      <c r="Q521" s="15">
        <f>(Table5[[#This Row],[final_sale_price]]-Table5[[#This Row],[avg_comp_price]])/Table5[[#This Row],[avg_comp_price]]</f>
        <v>1.557058229885089</v>
      </c>
      <c r="R521" s="11">
        <f>Table5[[#This Row],[Profit]]/Table5[[#This Row],[Revenue]]</f>
        <v>0.34065934065934073</v>
      </c>
    </row>
    <row r="522" spans="1:18" x14ac:dyDescent="0.2">
      <c r="A522" s="4">
        <v>521</v>
      </c>
      <c r="B522" s="4">
        <v>142</v>
      </c>
      <c r="C522" s="6">
        <v>46002</v>
      </c>
      <c r="D522" s="4">
        <v>25</v>
      </c>
      <c r="E522" s="4">
        <v>8</v>
      </c>
      <c r="F522" s="12">
        <f t="shared" si="8"/>
        <v>2743.7528000000002</v>
      </c>
      <c r="G522" t="str">
        <f>VLOOKUP(B522,product_tbl[],2,FALSE)</f>
        <v>Jeans 142</v>
      </c>
      <c r="H522" t="str">
        <f>VLOOKUP(B522,product_tbl[],3,FALSE)</f>
        <v>Fashion</v>
      </c>
      <c r="I522">
        <v>1789.404</v>
      </c>
      <c r="J522">
        <f>VLOOKUP(B522,product_tbl[],5,FALSE)</f>
        <v>2982.34</v>
      </c>
      <c r="K522">
        <f>VLOOKUP(B522,review_tbl[],3,FALSE)</f>
        <v>4</v>
      </c>
      <c r="L522" s="11">
        <v>3262.0405225933687</v>
      </c>
      <c r="M522" s="11">
        <f>AVERAGEIF(Table1[product_id],Master_tbl!B522:B1523,Table1[competitor_price])</f>
        <v>2210.1966666666667</v>
      </c>
      <c r="N522" s="11">
        <f>IFERROR(Table5[[#This Row],[final_sale_price]]*Table5[[#This Row],[quantity_sold ]],0)</f>
        <v>68593.820000000007</v>
      </c>
      <c r="O522" s="11">
        <f>(Table5[[#This Row],[final_sale_price]]-Table5[[#This Row],[cost_price]])*Table5[[#This Row],[quantity_sold ]]</f>
        <v>23858.720000000005</v>
      </c>
      <c r="P522" s="11">
        <f>(Table5[final_sale_price]-Table5[[#This Row],[avg_comp_price]])</f>
        <v>533.55613333333349</v>
      </c>
      <c r="Q522" s="15">
        <f>(Table5[[#This Row],[final_sale_price]]-Table5[[#This Row],[avg_comp_price]])/Table5[[#This Row],[avg_comp_price]]</f>
        <v>0.24140663198900858</v>
      </c>
      <c r="R522" s="11">
        <f>Table5[[#This Row],[Profit]]/Table5[[#This Row],[Revenue]]</f>
        <v>0.34782608695652178</v>
      </c>
    </row>
    <row r="523" spans="1:18" x14ac:dyDescent="0.2">
      <c r="A523" s="5">
        <v>522</v>
      </c>
      <c r="B523" s="5">
        <v>75</v>
      </c>
      <c r="C523" s="7">
        <v>45786</v>
      </c>
      <c r="D523" s="5">
        <v>16</v>
      </c>
      <c r="E523" s="4">
        <v>7</v>
      </c>
      <c r="F523" s="12">
        <f t="shared" si="8"/>
        <v>3509.2991999999999</v>
      </c>
      <c r="G523" t="str">
        <f>VLOOKUP(B523,product_tbl[],2,FALSE)</f>
        <v>Sneakers 75</v>
      </c>
      <c r="H523" t="str">
        <f>VLOOKUP(B523,product_tbl[],3,FALSE)</f>
        <v>Fashion</v>
      </c>
      <c r="I523">
        <v>2264.0639999999999</v>
      </c>
      <c r="J523">
        <f>VLOOKUP(B523,product_tbl[],5,FALSE)</f>
        <v>3773.44</v>
      </c>
      <c r="K523">
        <f>VLOOKUP(B523,review_tbl[],3,FALSE)</f>
        <v>4</v>
      </c>
      <c r="L523" s="11">
        <v>4732.6283510297771</v>
      </c>
      <c r="M523" s="11">
        <f>AVERAGEIF(Table1[product_id],Master_tbl!B523:B1524,Table1[competitor_price])</f>
        <v>3293.6366666666668</v>
      </c>
      <c r="N523" s="11">
        <f>IFERROR(Table5[[#This Row],[final_sale_price]]*Table5[[#This Row],[quantity_sold ]],0)</f>
        <v>56148.787199999999</v>
      </c>
      <c r="O523" s="11">
        <f>(Table5[[#This Row],[final_sale_price]]-Table5[[#This Row],[cost_price]])*Table5[[#This Row],[quantity_sold ]]</f>
        <v>19923.763200000001</v>
      </c>
      <c r="P523" s="11">
        <f>(Table5[final_sale_price]-Table5[[#This Row],[avg_comp_price]])</f>
        <v>215.66253333333316</v>
      </c>
      <c r="Q523" s="15">
        <f>(Table5[[#This Row],[final_sale_price]]-Table5[[#This Row],[avg_comp_price]])/Table5[[#This Row],[avg_comp_price]]</f>
        <v>6.5478543980260873E-2</v>
      </c>
      <c r="R523" s="11">
        <f>Table5[[#This Row],[Profit]]/Table5[[#This Row],[Revenue]]</f>
        <v>0.35483870967741937</v>
      </c>
    </row>
    <row r="524" spans="1:18" x14ac:dyDescent="0.2">
      <c r="A524" s="4">
        <v>523</v>
      </c>
      <c r="B524" s="4">
        <v>36</v>
      </c>
      <c r="C524" s="6">
        <v>45817</v>
      </c>
      <c r="D524" s="4">
        <v>50</v>
      </c>
      <c r="E524" s="4">
        <v>10</v>
      </c>
      <c r="F524" s="12">
        <f t="shared" si="8"/>
        <v>132.66</v>
      </c>
      <c r="G524" t="str">
        <f>VLOOKUP(B524,product_tbl[],2,FALSE)</f>
        <v>Refrigerator 36</v>
      </c>
      <c r="H524" t="str">
        <f>VLOOKUP(B524,product_tbl[],3,FALSE)</f>
        <v>Home Appliances</v>
      </c>
      <c r="I524">
        <v>88.44</v>
      </c>
      <c r="J524">
        <f>VLOOKUP(B524,product_tbl[],5,FALSE)</f>
        <v>147.4</v>
      </c>
      <c r="K524">
        <f>VLOOKUP(B524,review_tbl[],3,FALSE)</f>
        <v>3</v>
      </c>
      <c r="L524" s="11">
        <v>154.61215702586108</v>
      </c>
      <c r="M524" s="11">
        <f>AVERAGEIF(Table1[product_id],Master_tbl!B524:B1525,Table1[competitor_price])</f>
        <v>2726.4116666666664</v>
      </c>
      <c r="N524" s="11">
        <f>IFERROR(Table5[[#This Row],[final_sale_price]]*Table5[[#This Row],[quantity_sold ]],0)</f>
        <v>6633</v>
      </c>
      <c r="O524" s="11">
        <f>(Table5[[#This Row],[final_sale_price]]-Table5[[#This Row],[cost_price]])*Table5[[#This Row],[quantity_sold ]]</f>
        <v>2211</v>
      </c>
      <c r="P524" s="11">
        <f>(Table5[final_sale_price]-Table5[[#This Row],[avg_comp_price]])</f>
        <v>-2593.7516666666666</v>
      </c>
      <c r="Q524" s="15">
        <f>(Table5[[#This Row],[final_sale_price]]-Table5[[#This Row],[avg_comp_price]])/Table5[[#This Row],[avg_comp_price]]</f>
        <v>-0.95134263778947548</v>
      </c>
      <c r="R524" s="11">
        <f>Table5[[#This Row],[Profit]]/Table5[[#This Row],[Revenue]]</f>
        <v>0.33333333333333331</v>
      </c>
    </row>
    <row r="525" spans="1:18" x14ac:dyDescent="0.2">
      <c r="A525" s="5">
        <v>524</v>
      </c>
      <c r="B525" s="5">
        <v>87</v>
      </c>
      <c r="C525" s="7">
        <v>45252</v>
      </c>
      <c r="D525" s="5">
        <v>18</v>
      </c>
      <c r="E525" s="4">
        <v>4</v>
      </c>
      <c r="F525" s="12">
        <f t="shared" si="8"/>
        <v>3930.3552</v>
      </c>
      <c r="G525" t="str">
        <f>VLOOKUP(B525,product_tbl[],2,FALSE)</f>
        <v>Laptop 87</v>
      </c>
      <c r="H525" t="str">
        <f>VLOOKUP(B525,product_tbl[],3,FALSE)</f>
        <v>Electronics</v>
      </c>
      <c r="I525">
        <v>2456.4719999999998</v>
      </c>
      <c r="J525">
        <f>VLOOKUP(B525,product_tbl[],5,FALSE)</f>
        <v>4094.12</v>
      </c>
      <c r="K525">
        <f>VLOOKUP(B525,review_tbl[],3,FALSE)</f>
        <v>2</v>
      </c>
      <c r="L525" s="11">
        <v>4801.6170168544477</v>
      </c>
      <c r="M525" s="11">
        <f>AVERAGEIF(Table1[product_id],Master_tbl!B525:B1526,Table1[competitor_price])</f>
        <v>493.79250000000002</v>
      </c>
      <c r="N525" s="11">
        <f>IFERROR(Table5[[#This Row],[final_sale_price]]*Table5[[#This Row],[quantity_sold ]],0)</f>
        <v>70746.393599999996</v>
      </c>
      <c r="O525" s="11">
        <f>(Table5[[#This Row],[final_sale_price]]-Table5[[#This Row],[cost_price]])*Table5[[#This Row],[quantity_sold ]]</f>
        <v>26529.897600000004</v>
      </c>
      <c r="P525" s="11">
        <f>(Table5[final_sale_price]-Table5[[#This Row],[avg_comp_price]])</f>
        <v>3436.5626999999999</v>
      </c>
      <c r="Q525" s="15">
        <f>(Table5[[#This Row],[final_sale_price]]-Table5[[#This Row],[avg_comp_price]])/Table5[[#This Row],[avg_comp_price]]</f>
        <v>6.959527939367244</v>
      </c>
      <c r="R525" s="11">
        <f>Table5[[#This Row],[Profit]]/Table5[[#This Row],[Revenue]]</f>
        <v>0.37500000000000006</v>
      </c>
    </row>
    <row r="526" spans="1:18" x14ac:dyDescent="0.2">
      <c r="A526" s="4">
        <v>525</v>
      </c>
      <c r="B526" s="4">
        <v>82</v>
      </c>
      <c r="C526" s="6">
        <v>45880</v>
      </c>
      <c r="D526" s="4">
        <v>5</v>
      </c>
      <c r="E526" s="4">
        <v>4</v>
      </c>
      <c r="F526" s="12">
        <f t="shared" si="8"/>
        <v>1220.3712</v>
      </c>
      <c r="G526" t="str">
        <f>VLOOKUP(B526,product_tbl[],2,FALSE)</f>
        <v>Yoga Mat 82</v>
      </c>
      <c r="H526" t="str">
        <f>VLOOKUP(B526,product_tbl[],3,FALSE)</f>
        <v>Sports</v>
      </c>
      <c r="I526">
        <v>762.73199999999997</v>
      </c>
      <c r="J526">
        <f>VLOOKUP(B526,product_tbl[],5,FALSE)</f>
        <v>1271.22</v>
      </c>
      <c r="K526">
        <f>VLOOKUP(B526,review_tbl[],3,FALSE)</f>
        <v>2</v>
      </c>
      <c r="L526" s="11">
        <v>1453.9011665726555</v>
      </c>
      <c r="M526" s="11">
        <f>AVERAGEIF(Table1[product_id],Master_tbl!B526:B1527,Table1[competitor_price])</f>
        <v>2617.7080000000001</v>
      </c>
      <c r="N526" s="11">
        <f>IFERROR(Table5[[#This Row],[final_sale_price]]*Table5[[#This Row],[quantity_sold ]],0)</f>
        <v>6101.8559999999998</v>
      </c>
      <c r="O526" s="11">
        <f>(Table5[[#This Row],[final_sale_price]]-Table5[[#This Row],[cost_price]])*Table5[[#This Row],[quantity_sold ]]</f>
        <v>2288.1960000000004</v>
      </c>
      <c r="P526" s="11">
        <f>(Table5[final_sale_price]-Table5[[#This Row],[avg_comp_price]])</f>
        <v>-1397.3368</v>
      </c>
      <c r="Q526" s="15">
        <f>(Table5[[#This Row],[final_sale_price]]-Table5[[#This Row],[avg_comp_price]])/Table5[[#This Row],[avg_comp_price]]</f>
        <v>-0.53380163104517386</v>
      </c>
      <c r="R526" s="11">
        <f>Table5[[#This Row],[Profit]]/Table5[[#This Row],[Revenue]]</f>
        <v>0.37500000000000006</v>
      </c>
    </row>
    <row r="527" spans="1:18" x14ac:dyDescent="0.2">
      <c r="A527" s="5">
        <v>526</v>
      </c>
      <c r="B527" s="5">
        <v>77</v>
      </c>
      <c r="C527" s="7">
        <v>45888</v>
      </c>
      <c r="D527" s="5">
        <v>41</v>
      </c>
      <c r="E527" s="4">
        <v>2</v>
      </c>
      <c r="F527" s="12">
        <f t="shared" si="8"/>
        <v>1965.8604</v>
      </c>
      <c r="G527" t="str">
        <f>VLOOKUP(B527,product_tbl[],2,FALSE)</f>
        <v>Coffee Beans 77</v>
      </c>
      <c r="H527" t="str">
        <f>VLOOKUP(B527,product_tbl[],3,FALSE)</f>
        <v>Grocery</v>
      </c>
      <c r="I527">
        <v>1203.588</v>
      </c>
      <c r="J527">
        <f>VLOOKUP(B527,product_tbl[],5,FALSE)</f>
        <v>2005.98</v>
      </c>
      <c r="K527">
        <f>VLOOKUP(B527,review_tbl[],3,FALSE)</f>
        <v>1</v>
      </c>
      <c r="L527" s="11">
        <v>2329.6392484422881</v>
      </c>
      <c r="M527" s="11">
        <f>AVERAGEIF(Table1[product_id],Master_tbl!B527:B1528,Table1[competitor_price])</f>
        <v>4139.2699999999995</v>
      </c>
      <c r="N527" s="11">
        <f>IFERROR(Table5[[#This Row],[final_sale_price]]*Table5[[#This Row],[quantity_sold ]],0)</f>
        <v>80600.276400000002</v>
      </c>
      <c r="O527" s="11">
        <f>(Table5[[#This Row],[final_sale_price]]-Table5[[#This Row],[cost_price]])*Table5[[#This Row],[quantity_sold ]]</f>
        <v>31253.168400000002</v>
      </c>
      <c r="P527" s="11">
        <f>(Table5[final_sale_price]-Table5[[#This Row],[avg_comp_price]])</f>
        <v>-2173.4095999999995</v>
      </c>
      <c r="Q527" s="15">
        <f>(Table5[[#This Row],[final_sale_price]]-Table5[[#This Row],[avg_comp_price]])/Table5[[#This Row],[avg_comp_price]]</f>
        <v>-0.52507074919007457</v>
      </c>
      <c r="R527" s="11">
        <f>Table5[[#This Row],[Profit]]/Table5[[#This Row],[Revenue]]</f>
        <v>0.38775510204081637</v>
      </c>
    </row>
    <row r="528" spans="1:18" x14ac:dyDescent="0.2">
      <c r="A528" s="4">
        <v>527</v>
      </c>
      <c r="B528" s="4">
        <v>80</v>
      </c>
      <c r="C528" s="6">
        <v>45257</v>
      </c>
      <c r="D528" s="4">
        <v>34</v>
      </c>
      <c r="E528" s="4">
        <v>4</v>
      </c>
      <c r="F528" s="12">
        <f t="shared" si="8"/>
        <v>959.10720000000003</v>
      </c>
      <c r="G528" t="str">
        <f>VLOOKUP(B528,product_tbl[],2,FALSE)</f>
        <v>Washing Machine 80</v>
      </c>
      <c r="H528" t="str">
        <f>VLOOKUP(B528,product_tbl[],3,FALSE)</f>
        <v>Home Appliances</v>
      </c>
      <c r="I528">
        <v>599.44200000000001</v>
      </c>
      <c r="J528">
        <f>VLOOKUP(B528,product_tbl[],5,FALSE)</f>
        <v>999.07</v>
      </c>
      <c r="K528">
        <f>VLOOKUP(B528,review_tbl[],3,FALSE)</f>
        <v>5</v>
      </c>
      <c r="L528" s="11">
        <v>1055.9021807200243</v>
      </c>
      <c r="M528" s="11">
        <f>AVERAGEIF(Table1[product_id],Master_tbl!B528:B1529,Table1[competitor_price])</f>
        <v>4319.1966666666667</v>
      </c>
      <c r="N528" s="11">
        <f>IFERROR(Table5[[#This Row],[final_sale_price]]*Table5[[#This Row],[quantity_sold ]],0)</f>
        <v>32609.644800000002</v>
      </c>
      <c r="O528" s="11">
        <f>(Table5[[#This Row],[final_sale_price]]-Table5[[#This Row],[cost_price]])*Table5[[#This Row],[quantity_sold ]]</f>
        <v>12228.616800000002</v>
      </c>
      <c r="P528" s="11">
        <f>(Table5[final_sale_price]-Table5[[#This Row],[avg_comp_price]])</f>
        <v>-3360.0894666666668</v>
      </c>
      <c r="Q528" s="15">
        <f>(Table5[[#This Row],[final_sale_price]]-Table5[[#This Row],[avg_comp_price]])/Table5[[#This Row],[avg_comp_price]]</f>
        <v>-0.77794315146566606</v>
      </c>
      <c r="R528" s="11">
        <f>Table5[[#This Row],[Profit]]/Table5[[#This Row],[Revenue]]</f>
        <v>0.37500000000000006</v>
      </c>
    </row>
    <row r="529" spans="1:18" x14ac:dyDescent="0.2">
      <c r="A529" s="5">
        <v>528</v>
      </c>
      <c r="B529" s="5">
        <v>41</v>
      </c>
      <c r="C529" s="7">
        <v>45952</v>
      </c>
      <c r="D529" s="5">
        <v>13</v>
      </c>
      <c r="E529" s="4">
        <v>5</v>
      </c>
      <c r="F529" s="12">
        <f t="shared" si="8"/>
        <v>2927.3964999999998</v>
      </c>
      <c r="G529" t="str">
        <f>VLOOKUP(B529,product_tbl[],2,FALSE)</f>
        <v>Olive Oil 41</v>
      </c>
      <c r="H529" t="str">
        <f>VLOOKUP(B529,product_tbl[],3,FALSE)</f>
        <v>Grocery</v>
      </c>
      <c r="I529">
        <v>1848.8819999999998</v>
      </c>
      <c r="J529">
        <f>VLOOKUP(B529,product_tbl[],5,FALSE)</f>
        <v>3081.47</v>
      </c>
      <c r="K529">
        <f>VLOOKUP(B529,review_tbl[],3,FALSE)</f>
        <v>1</v>
      </c>
      <c r="L529" s="11">
        <v>3194.9765577181579</v>
      </c>
      <c r="M529" s="11">
        <f>AVERAGEIF(Table1[product_id],Master_tbl!B529:B1530,Table1[competitor_price])</f>
        <v>1589.1249999999998</v>
      </c>
      <c r="N529" s="11">
        <f>IFERROR(Table5[[#This Row],[final_sale_price]]*Table5[[#This Row],[quantity_sold ]],0)</f>
        <v>38056.154499999997</v>
      </c>
      <c r="O529" s="11">
        <f>(Table5[[#This Row],[final_sale_price]]-Table5[[#This Row],[cost_price]])*Table5[[#This Row],[quantity_sold ]]</f>
        <v>14020.6885</v>
      </c>
      <c r="P529" s="11">
        <f>(Table5[final_sale_price]-Table5[[#This Row],[avg_comp_price]])</f>
        <v>1338.2715000000001</v>
      </c>
      <c r="Q529" s="15">
        <f>(Table5[[#This Row],[final_sale_price]]-Table5[[#This Row],[avg_comp_price]])/Table5[[#This Row],[avg_comp_price]]</f>
        <v>0.84214363250216329</v>
      </c>
      <c r="R529" s="11">
        <f>Table5[[#This Row],[Profit]]/Table5[[#This Row],[Revenue]]</f>
        <v>0.36842105263157898</v>
      </c>
    </row>
    <row r="530" spans="1:18" x14ac:dyDescent="0.2">
      <c r="A530" s="4">
        <v>529</v>
      </c>
      <c r="B530" s="4">
        <v>130</v>
      </c>
      <c r="C530" s="6">
        <v>45988</v>
      </c>
      <c r="D530" s="4">
        <v>4</v>
      </c>
      <c r="E530" s="4">
        <v>7</v>
      </c>
      <c r="F530" s="12">
        <f t="shared" si="8"/>
        <v>2962.5056999999997</v>
      </c>
      <c r="G530" t="str">
        <f>VLOOKUP(B530,product_tbl[],2,FALSE)</f>
        <v>Gym Gloves 130</v>
      </c>
      <c r="H530" t="str">
        <f>VLOOKUP(B530,product_tbl[],3,FALSE)</f>
        <v>Sports</v>
      </c>
      <c r="I530">
        <v>1911.2939999999999</v>
      </c>
      <c r="J530">
        <f>VLOOKUP(B530,product_tbl[],5,FALSE)</f>
        <v>3185.49</v>
      </c>
      <c r="K530">
        <f>VLOOKUP(B530,review_tbl[],3,FALSE)</f>
        <v>5</v>
      </c>
      <c r="L530" s="11">
        <v>3591.1613390169268</v>
      </c>
      <c r="M530" s="11">
        <f>AVERAGEIF(Table1[product_id],Master_tbl!B530:B1531,Table1[competitor_price])</f>
        <v>3865.1374999999998</v>
      </c>
      <c r="N530" s="11">
        <f>IFERROR(Table5[[#This Row],[final_sale_price]]*Table5[[#This Row],[quantity_sold ]],0)</f>
        <v>11850.022799999999</v>
      </c>
      <c r="O530" s="11">
        <f>(Table5[[#This Row],[final_sale_price]]-Table5[[#This Row],[cost_price]])*Table5[[#This Row],[quantity_sold ]]</f>
        <v>4204.8467999999993</v>
      </c>
      <c r="P530" s="11">
        <f>(Table5[final_sale_price]-Table5[[#This Row],[avg_comp_price]])</f>
        <v>-902.63180000000011</v>
      </c>
      <c r="Q530" s="15">
        <f>(Table5[[#This Row],[final_sale_price]]-Table5[[#This Row],[avg_comp_price]])/Table5[[#This Row],[avg_comp_price]]</f>
        <v>-0.2335316143345483</v>
      </c>
      <c r="R530" s="11">
        <f>Table5[[#This Row],[Profit]]/Table5[[#This Row],[Revenue]]</f>
        <v>0.35483870967741932</v>
      </c>
    </row>
    <row r="531" spans="1:18" x14ac:dyDescent="0.2">
      <c r="A531" s="5">
        <v>530</v>
      </c>
      <c r="B531" s="5">
        <v>39</v>
      </c>
      <c r="C531" s="7">
        <v>45424</v>
      </c>
      <c r="D531" s="5">
        <v>37</v>
      </c>
      <c r="E531" s="4">
        <v>2</v>
      </c>
      <c r="F531" s="12">
        <f t="shared" si="8"/>
        <v>3143.4283999999998</v>
      </c>
      <c r="G531" t="str">
        <f>VLOOKUP(B531,product_tbl[],2,FALSE)</f>
        <v>Perfume 39</v>
      </c>
      <c r="H531" t="str">
        <f>VLOOKUP(B531,product_tbl[],3,FALSE)</f>
        <v>Beauty</v>
      </c>
      <c r="I531">
        <v>1924.5479999999998</v>
      </c>
      <c r="J531">
        <f>VLOOKUP(B531,product_tbl[],5,FALSE)</f>
        <v>3207.58</v>
      </c>
      <c r="K531">
        <f>VLOOKUP(B531,review_tbl[],3,FALSE)</f>
        <v>1</v>
      </c>
      <c r="L531" s="11">
        <v>3373.6782399538465</v>
      </c>
      <c r="M531" s="11">
        <f>AVERAGEIF(Table1[product_id],Master_tbl!B531:B1532,Table1[competitor_price])</f>
        <v>9555.6079999999984</v>
      </c>
      <c r="N531" s="11">
        <f>IFERROR(Table5[[#This Row],[final_sale_price]]*Table5[[#This Row],[quantity_sold ]],0)</f>
        <v>116306.85079999999</v>
      </c>
      <c r="O531" s="11">
        <f>(Table5[[#This Row],[final_sale_price]]-Table5[[#This Row],[cost_price]])*Table5[[#This Row],[quantity_sold ]]</f>
        <v>45098.574800000002</v>
      </c>
      <c r="P531" s="11">
        <f>(Table5[final_sale_price]-Table5[[#This Row],[avg_comp_price]])</f>
        <v>-6412.1795999999986</v>
      </c>
      <c r="Q531" s="15">
        <f>(Table5[[#This Row],[final_sale_price]]-Table5[[#This Row],[avg_comp_price]])/Table5[[#This Row],[avg_comp_price]]</f>
        <v>-0.671038368254537</v>
      </c>
      <c r="R531" s="11">
        <f>Table5[[#This Row],[Profit]]/Table5[[#This Row],[Revenue]]</f>
        <v>0.38775510204081637</v>
      </c>
    </row>
    <row r="532" spans="1:18" x14ac:dyDescent="0.2">
      <c r="A532" s="4">
        <v>531</v>
      </c>
      <c r="B532" s="4">
        <v>100</v>
      </c>
      <c r="C532" s="6">
        <v>45433</v>
      </c>
      <c r="D532" s="4">
        <v>15</v>
      </c>
      <c r="E532" s="4">
        <v>9</v>
      </c>
      <c r="F532" s="12">
        <f t="shared" si="8"/>
        <v>3716.3126000000002</v>
      </c>
      <c r="G532" t="str">
        <f>VLOOKUP(B532,product_tbl[],2,FALSE)</f>
        <v>T-Shirt 100</v>
      </c>
      <c r="H532" t="str">
        <f>VLOOKUP(B532,product_tbl[],3,FALSE)</f>
        <v>Fashion</v>
      </c>
      <c r="I532">
        <v>2450.3159999999998</v>
      </c>
      <c r="J532">
        <f>VLOOKUP(B532,product_tbl[],5,FALSE)</f>
        <v>4083.86</v>
      </c>
      <c r="K532">
        <f>VLOOKUP(B532,review_tbl[],3,FALSE)</f>
        <v>3</v>
      </c>
      <c r="L532" s="11">
        <v>4831.7140729670446</v>
      </c>
      <c r="M532" s="11">
        <f>AVERAGEIF(Table1[product_id],Master_tbl!B532:B1533,Table1[competitor_price])</f>
        <v>3659.5875000000001</v>
      </c>
      <c r="N532" s="11">
        <f>IFERROR(Table5[[#This Row],[final_sale_price]]*Table5[[#This Row],[quantity_sold ]],0)</f>
        <v>55744.689000000006</v>
      </c>
      <c r="O532" s="11">
        <f>(Table5[[#This Row],[final_sale_price]]-Table5[[#This Row],[cost_price]])*Table5[[#This Row],[quantity_sold ]]</f>
        <v>18989.949000000008</v>
      </c>
      <c r="P532" s="11">
        <f>(Table5[final_sale_price]-Table5[[#This Row],[avg_comp_price]])</f>
        <v>56.725100000000111</v>
      </c>
      <c r="Q532" s="15">
        <f>(Table5[[#This Row],[final_sale_price]]-Table5[[#This Row],[avg_comp_price]])/Table5[[#This Row],[avg_comp_price]]</f>
        <v>1.5500408174418594E-2</v>
      </c>
      <c r="R532" s="11">
        <f>Table5[[#This Row],[Profit]]/Table5[[#This Row],[Revenue]]</f>
        <v>0.34065934065934078</v>
      </c>
    </row>
    <row r="533" spans="1:18" x14ac:dyDescent="0.2">
      <c r="A533" s="5">
        <v>532</v>
      </c>
      <c r="B533" s="5">
        <v>17</v>
      </c>
      <c r="C533" s="7">
        <v>45648</v>
      </c>
      <c r="D533" s="5">
        <v>17</v>
      </c>
      <c r="E533" s="4">
        <v>9</v>
      </c>
      <c r="F533" s="12">
        <f t="shared" si="8"/>
        <v>2711.0447000000004</v>
      </c>
      <c r="G533" t="str">
        <f>VLOOKUP(B533,product_tbl[],2,FALSE)</f>
        <v>Yoga Mat 17</v>
      </c>
      <c r="H533" t="str">
        <f>VLOOKUP(B533,product_tbl[],3,FALSE)</f>
        <v>Sports</v>
      </c>
      <c r="I533">
        <v>1787.502</v>
      </c>
      <c r="J533">
        <f>VLOOKUP(B533,product_tbl[],5,FALSE)</f>
        <v>2979.17</v>
      </c>
      <c r="K533">
        <f>VLOOKUP(B533,review_tbl[],3,FALSE)</f>
        <v>2</v>
      </c>
      <c r="L533" s="11">
        <v>3289.3637165586019</v>
      </c>
      <c r="M533" s="11">
        <f>AVERAGEIF(Table1[product_id],Master_tbl!B533:B1534,Table1[competitor_price])</f>
        <v>1105.6675</v>
      </c>
      <c r="N533" s="11">
        <f>IFERROR(Table5[[#This Row],[final_sale_price]]*Table5[[#This Row],[quantity_sold ]],0)</f>
        <v>46087.759900000005</v>
      </c>
      <c r="O533" s="11">
        <f>(Table5[[#This Row],[final_sale_price]]-Table5[[#This Row],[cost_price]])*Table5[[#This Row],[quantity_sold ]]</f>
        <v>15700.225900000007</v>
      </c>
      <c r="P533" s="11">
        <f>(Table5[final_sale_price]-Table5[[#This Row],[avg_comp_price]])</f>
        <v>1605.3772000000004</v>
      </c>
      <c r="Q533" s="15">
        <f>(Table5[[#This Row],[final_sale_price]]-Table5[[#This Row],[avg_comp_price]])/Table5[[#This Row],[avg_comp_price]]</f>
        <v>1.4519529605419355</v>
      </c>
      <c r="R533" s="11">
        <f>Table5[[#This Row],[Profit]]/Table5[[#This Row],[Revenue]]</f>
        <v>0.34065934065934078</v>
      </c>
    </row>
    <row r="534" spans="1:18" x14ac:dyDescent="0.2">
      <c r="A534" s="4">
        <v>533</v>
      </c>
      <c r="B534" s="4">
        <v>2</v>
      </c>
      <c r="C534" s="6">
        <v>45584</v>
      </c>
      <c r="D534" s="4">
        <v>50</v>
      </c>
      <c r="E534" s="4">
        <v>9</v>
      </c>
      <c r="F534" s="12">
        <f t="shared" si="8"/>
        <v>4026.5497999999998</v>
      </c>
      <c r="G534" t="str">
        <f>VLOOKUP(B534,product_tbl[],2,FALSE)</f>
        <v>Air Conditioner 2</v>
      </c>
      <c r="H534" t="str">
        <f>VLOOKUP(B534,product_tbl[],3,FALSE)</f>
        <v>Home Appliances</v>
      </c>
      <c r="I534">
        <v>2654.8679999999999</v>
      </c>
      <c r="J534">
        <f>VLOOKUP(B534,product_tbl[],5,FALSE)</f>
        <v>4424.78</v>
      </c>
      <c r="K534">
        <f>VLOOKUP(B534,review_tbl[],3,FALSE)</f>
        <v>4</v>
      </c>
      <c r="L534" s="11">
        <v>5483.1460859908975</v>
      </c>
      <c r="M534" s="11">
        <f>AVERAGEIF(Table1[product_id],Master_tbl!B534:B1535,Table1[competitor_price])</f>
        <v>1807.3</v>
      </c>
      <c r="N534" s="11">
        <f>IFERROR(Table5[[#This Row],[final_sale_price]]*Table5[[#This Row],[quantity_sold ]],0)</f>
        <v>201327.49</v>
      </c>
      <c r="O534" s="11">
        <f>(Table5[[#This Row],[final_sale_price]]-Table5[[#This Row],[cost_price]])*Table5[[#This Row],[quantity_sold ]]</f>
        <v>68584.09</v>
      </c>
      <c r="P534" s="11">
        <f>(Table5[final_sale_price]-Table5[[#This Row],[avg_comp_price]])</f>
        <v>2219.2497999999996</v>
      </c>
      <c r="Q534" s="15">
        <f>(Table5[[#This Row],[final_sale_price]]-Table5[[#This Row],[avg_comp_price]])/Table5[[#This Row],[avg_comp_price]]</f>
        <v>1.2279365904941071</v>
      </c>
      <c r="R534" s="11">
        <f>Table5[[#This Row],[Profit]]/Table5[[#This Row],[Revenue]]</f>
        <v>0.34065934065934067</v>
      </c>
    </row>
    <row r="535" spans="1:18" x14ac:dyDescent="0.2">
      <c r="A535" s="5">
        <v>534</v>
      </c>
      <c r="B535" s="5">
        <v>36</v>
      </c>
      <c r="C535" s="7">
        <v>45998</v>
      </c>
      <c r="D535" s="5">
        <v>42</v>
      </c>
      <c r="E535" s="4">
        <v>5</v>
      </c>
      <c r="F535" s="12">
        <f t="shared" si="8"/>
        <v>140.03</v>
      </c>
      <c r="G535" t="str">
        <f>VLOOKUP(B535,product_tbl[],2,FALSE)</f>
        <v>Refrigerator 36</v>
      </c>
      <c r="H535" t="str">
        <f>VLOOKUP(B535,product_tbl[],3,FALSE)</f>
        <v>Home Appliances</v>
      </c>
      <c r="I535">
        <v>88.44</v>
      </c>
      <c r="J535">
        <f>VLOOKUP(B535,product_tbl[],5,FALSE)</f>
        <v>147.4</v>
      </c>
      <c r="K535">
        <f>VLOOKUP(B535,review_tbl[],3,FALSE)</f>
        <v>3</v>
      </c>
      <c r="L535" s="11">
        <v>166.54056527299011</v>
      </c>
      <c r="M535" s="11">
        <f>AVERAGEIF(Table1[product_id],Master_tbl!B535:B1536,Table1[competitor_price])</f>
        <v>2726.4116666666664</v>
      </c>
      <c r="N535" s="11">
        <f>IFERROR(Table5[[#This Row],[final_sale_price]]*Table5[[#This Row],[quantity_sold ]],0)</f>
        <v>5881.26</v>
      </c>
      <c r="O535" s="11">
        <f>(Table5[[#This Row],[final_sale_price]]-Table5[[#This Row],[cost_price]])*Table5[[#This Row],[quantity_sold ]]</f>
        <v>2166.7800000000002</v>
      </c>
      <c r="P535" s="11">
        <f>(Table5[final_sale_price]-Table5[[#This Row],[avg_comp_price]])</f>
        <v>-2586.3816666666662</v>
      </c>
      <c r="Q535" s="15">
        <f>(Table5[[#This Row],[final_sale_price]]-Table5[[#This Row],[avg_comp_price]])/Table5[[#This Row],[avg_comp_price]]</f>
        <v>-0.9486394510000018</v>
      </c>
      <c r="R535" s="11">
        <f>Table5[[#This Row],[Profit]]/Table5[[#This Row],[Revenue]]</f>
        <v>0.36842105263157898</v>
      </c>
    </row>
    <row r="536" spans="1:18" x14ac:dyDescent="0.2">
      <c r="A536" s="4">
        <v>535</v>
      </c>
      <c r="B536" s="4">
        <v>88</v>
      </c>
      <c r="C536" s="6">
        <v>44952</v>
      </c>
      <c r="D536" s="4">
        <v>36</v>
      </c>
      <c r="E536" s="4">
        <v>8</v>
      </c>
      <c r="F536" s="12">
        <f t="shared" si="8"/>
        <v>5737.4236000000001</v>
      </c>
      <c r="G536" t="str">
        <f>VLOOKUP(B536,product_tbl[],2,FALSE)</f>
        <v>Tablet 88</v>
      </c>
      <c r="H536" t="str">
        <f>VLOOKUP(B536,product_tbl[],3,FALSE)</f>
        <v>Electronics</v>
      </c>
      <c r="I536">
        <v>3741.7979999999998</v>
      </c>
      <c r="J536">
        <f>VLOOKUP(B536,product_tbl[],5,FALSE)</f>
        <v>6236.33</v>
      </c>
      <c r="K536">
        <f>VLOOKUP(B536,review_tbl[],3,FALSE)</f>
        <v>5</v>
      </c>
      <c r="L536" s="11">
        <v>8107.0245585838493</v>
      </c>
      <c r="M536" s="11">
        <f>AVERAGEIF(Table1[product_id],Master_tbl!B536:B1537,Table1[competitor_price])</f>
        <v>4981.5050000000001</v>
      </c>
      <c r="N536" s="11">
        <f>IFERROR(Table5[[#This Row],[final_sale_price]]*Table5[[#This Row],[quantity_sold ]],0)</f>
        <v>206547.24960000001</v>
      </c>
      <c r="O536" s="11">
        <f>(Table5[[#This Row],[final_sale_price]]-Table5[[#This Row],[cost_price]])*Table5[[#This Row],[quantity_sold ]]</f>
        <v>71842.521600000007</v>
      </c>
      <c r="P536" s="11">
        <f>(Table5[final_sale_price]-Table5[[#This Row],[avg_comp_price]])</f>
        <v>755.91859999999997</v>
      </c>
      <c r="Q536" s="15">
        <f>(Table5[[#This Row],[final_sale_price]]-Table5[[#This Row],[avg_comp_price]])/Table5[[#This Row],[avg_comp_price]]</f>
        <v>0.15174502484690872</v>
      </c>
      <c r="R536" s="11">
        <f>Table5[[#This Row],[Profit]]/Table5[[#This Row],[Revenue]]</f>
        <v>0.34782608695652178</v>
      </c>
    </row>
    <row r="537" spans="1:18" x14ac:dyDescent="0.2">
      <c r="A537" s="5">
        <v>536</v>
      </c>
      <c r="B537" s="5">
        <v>65</v>
      </c>
      <c r="C537" s="7">
        <v>45020</v>
      </c>
      <c r="D537" s="5">
        <v>30</v>
      </c>
      <c r="E537" s="4">
        <v>6</v>
      </c>
      <c r="F537" s="12">
        <f t="shared" si="8"/>
        <v>4240.6783999999998</v>
      </c>
      <c r="G537" t="str">
        <f>VLOOKUP(B537,product_tbl[],2,FALSE)</f>
        <v>Biography 65</v>
      </c>
      <c r="H537" t="str">
        <f>VLOOKUP(B537,product_tbl[],3,FALSE)</f>
        <v>Books</v>
      </c>
      <c r="I537">
        <v>2706.8159999999998</v>
      </c>
      <c r="J537">
        <f>VLOOKUP(B537,product_tbl[],5,FALSE)</f>
        <v>4511.3599999999997</v>
      </c>
      <c r="K537">
        <f>VLOOKUP(B537,review_tbl[],3,FALSE)</f>
        <v>1</v>
      </c>
      <c r="L537" s="11">
        <v>5822.1565859556267</v>
      </c>
      <c r="M537" s="11">
        <f>AVERAGEIF(Table1[product_id],Master_tbl!B537:B1538,Table1[competitor_price])</f>
        <v>1786.8475000000001</v>
      </c>
      <c r="N537" s="11">
        <f>IFERROR(Table5[[#This Row],[final_sale_price]]*Table5[[#This Row],[quantity_sold ]],0)</f>
        <v>127220.352</v>
      </c>
      <c r="O537" s="11">
        <f>(Table5[[#This Row],[final_sale_price]]-Table5[[#This Row],[cost_price]])*Table5[[#This Row],[quantity_sold ]]</f>
        <v>46015.872000000003</v>
      </c>
      <c r="P537" s="11">
        <f>(Table5[final_sale_price]-Table5[[#This Row],[avg_comp_price]])</f>
        <v>2453.8308999999999</v>
      </c>
      <c r="Q537" s="15">
        <f>(Table5[[#This Row],[final_sale_price]]-Table5[[#This Row],[avg_comp_price]])/Table5[[#This Row],[avg_comp_price]]</f>
        <v>1.3732738244310159</v>
      </c>
      <c r="R537" s="11">
        <f>Table5[[#This Row],[Profit]]/Table5[[#This Row],[Revenue]]</f>
        <v>0.36170212765957449</v>
      </c>
    </row>
    <row r="538" spans="1:18" x14ac:dyDescent="0.2">
      <c r="A538" s="4">
        <v>537</v>
      </c>
      <c r="B538" s="4">
        <v>92</v>
      </c>
      <c r="C538" s="6">
        <v>45326</v>
      </c>
      <c r="D538" s="4">
        <v>25</v>
      </c>
      <c r="E538" s="4">
        <v>4</v>
      </c>
      <c r="F538" s="12">
        <f t="shared" si="8"/>
        <v>3434.8991999999998</v>
      </c>
      <c r="G538" t="str">
        <f>VLOOKUP(B538,product_tbl[],2,FALSE)</f>
        <v>Puzzle Set 92</v>
      </c>
      <c r="H538" t="str">
        <f>VLOOKUP(B538,product_tbl[],3,FALSE)</f>
        <v>Toys</v>
      </c>
      <c r="I538">
        <v>2146.8119999999999</v>
      </c>
      <c r="J538">
        <f>VLOOKUP(B538,product_tbl[],5,FALSE)</f>
        <v>3578.02</v>
      </c>
      <c r="K538">
        <f>VLOOKUP(B538,review_tbl[],3,FALSE)</f>
        <v>5</v>
      </c>
      <c r="L538" s="11">
        <v>4267.5033549857499</v>
      </c>
      <c r="M538" s="11">
        <f>AVERAGEIF(Table1[product_id],Master_tbl!B538:B1539,Table1[competitor_price])</f>
        <v>5387.83</v>
      </c>
      <c r="N538" s="11">
        <f>IFERROR(Table5[[#This Row],[final_sale_price]]*Table5[[#This Row],[quantity_sold ]],0)</f>
        <v>85872.48</v>
      </c>
      <c r="O538" s="11">
        <f>(Table5[[#This Row],[final_sale_price]]-Table5[[#This Row],[cost_price]])*Table5[[#This Row],[quantity_sold ]]</f>
        <v>32202.18</v>
      </c>
      <c r="P538" s="11">
        <f>(Table5[final_sale_price]-Table5[[#This Row],[avg_comp_price]])</f>
        <v>-1952.9308000000001</v>
      </c>
      <c r="Q538" s="15">
        <f>(Table5[[#This Row],[final_sale_price]]-Table5[[#This Row],[avg_comp_price]])/Table5[[#This Row],[avg_comp_price]]</f>
        <v>-0.36247075353157027</v>
      </c>
      <c r="R538" s="11">
        <f>Table5[[#This Row],[Profit]]/Table5[[#This Row],[Revenue]]</f>
        <v>0.375</v>
      </c>
    </row>
    <row r="539" spans="1:18" x14ac:dyDescent="0.2">
      <c r="A539" s="5">
        <v>538</v>
      </c>
      <c r="B539" s="5">
        <v>26</v>
      </c>
      <c r="C539" s="7">
        <v>45956</v>
      </c>
      <c r="D539" s="5">
        <v>37</v>
      </c>
      <c r="E539" s="4">
        <v>6</v>
      </c>
      <c r="F539" s="12">
        <f t="shared" si="8"/>
        <v>5298.7047999999995</v>
      </c>
      <c r="G539" t="str">
        <f>VLOOKUP(B539,product_tbl[],2,FALSE)</f>
        <v>Rice Pack 26</v>
      </c>
      <c r="H539" t="str">
        <f>VLOOKUP(B539,product_tbl[],3,FALSE)</f>
        <v>Grocery</v>
      </c>
      <c r="I539">
        <v>3382.152</v>
      </c>
      <c r="J539">
        <f>VLOOKUP(B539,product_tbl[],5,FALSE)</f>
        <v>5636.92</v>
      </c>
      <c r="K539">
        <f>VLOOKUP(B539,review_tbl[],3,FALSE)</f>
        <v>4</v>
      </c>
      <c r="L539" s="11">
        <v>6209.629452565573</v>
      </c>
      <c r="M539" s="11">
        <f>AVERAGEIF(Table1[product_id],Master_tbl!B539:B1540,Table1[competitor_price])</f>
        <v>3474.7766666666666</v>
      </c>
      <c r="N539" s="11">
        <f>IFERROR(Table5[[#This Row],[final_sale_price]]*Table5[[#This Row],[quantity_sold ]],0)</f>
        <v>196052.07759999999</v>
      </c>
      <c r="O539" s="11">
        <f>(Table5[[#This Row],[final_sale_price]]-Table5[[#This Row],[cost_price]])*Table5[[#This Row],[quantity_sold ]]</f>
        <v>70912.453599999979</v>
      </c>
      <c r="P539" s="11">
        <f>(Table5[final_sale_price]-Table5[[#This Row],[avg_comp_price]])</f>
        <v>1823.9281333333329</v>
      </c>
      <c r="Q539" s="15">
        <f>(Table5[[#This Row],[final_sale_price]]-Table5[[#This Row],[avg_comp_price]])/Table5[[#This Row],[avg_comp_price]]</f>
        <v>0.5249051401864675</v>
      </c>
      <c r="R539" s="11">
        <f>Table5[[#This Row],[Profit]]/Table5[[#This Row],[Revenue]]</f>
        <v>0.36170212765957438</v>
      </c>
    </row>
    <row r="540" spans="1:18" x14ac:dyDescent="0.2">
      <c r="A540" s="4">
        <v>539</v>
      </c>
      <c r="B540" s="4">
        <v>118</v>
      </c>
      <c r="C540" s="6">
        <v>45025</v>
      </c>
      <c r="D540" s="4">
        <v>41</v>
      </c>
      <c r="E540" s="4">
        <v>2</v>
      </c>
      <c r="F540" s="12">
        <f t="shared" si="8"/>
        <v>3086.2649999999999</v>
      </c>
      <c r="G540" t="str">
        <f>VLOOKUP(B540,product_tbl[],2,FALSE)</f>
        <v>Doll 118</v>
      </c>
      <c r="H540" t="str">
        <f>VLOOKUP(B540,product_tbl[],3,FALSE)</f>
        <v>Toys</v>
      </c>
      <c r="I540">
        <v>1889.55</v>
      </c>
      <c r="J540">
        <f>VLOOKUP(B540,product_tbl[],5,FALSE)</f>
        <v>3149.25</v>
      </c>
      <c r="K540">
        <f>VLOOKUP(B540,review_tbl[],3,FALSE)</f>
        <v>5</v>
      </c>
      <c r="L540" s="11">
        <v>3700.3995500681235</v>
      </c>
      <c r="M540" s="11">
        <f>AVERAGEIF(Table1[product_id],Master_tbl!B540:B1541,Table1[competitor_price])</f>
        <v>224.52399999999997</v>
      </c>
      <c r="N540" s="11">
        <f>IFERROR(Table5[[#This Row],[final_sale_price]]*Table5[[#This Row],[quantity_sold ]],0)</f>
        <v>126536.86499999999</v>
      </c>
      <c r="O540" s="11">
        <f>(Table5[[#This Row],[final_sale_price]]-Table5[[#This Row],[cost_price]])*Table5[[#This Row],[quantity_sold ]]</f>
        <v>49065.314999999995</v>
      </c>
      <c r="P540" s="11">
        <f>(Table5[final_sale_price]-Table5[[#This Row],[avg_comp_price]])</f>
        <v>2861.741</v>
      </c>
      <c r="Q540" s="15">
        <f>(Table5[[#This Row],[final_sale_price]]-Table5[[#This Row],[avg_comp_price]])/Table5[[#This Row],[avg_comp_price]]</f>
        <v>12.745813365163636</v>
      </c>
      <c r="R540" s="11">
        <f>Table5[[#This Row],[Profit]]/Table5[[#This Row],[Revenue]]</f>
        <v>0.38775510204081631</v>
      </c>
    </row>
    <row r="541" spans="1:18" x14ac:dyDescent="0.2">
      <c r="A541" s="5">
        <v>540</v>
      </c>
      <c r="B541" s="5">
        <v>59</v>
      </c>
      <c r="C541" s="7">
        <v>46004</v>
      </c>
      <c r="D541" s="5">
        <v>36</v>
      </c>
      <c r="E541" s="4">
        <v>7</v>
      </c>
      <c r="F541" s="12">
        <f t="shared" si="8"/>
        <v>3859.9742999999999</v>
      </c>
      <c r="G541" t="str">
        <f>VLOOKUP(B541,product_tbl[],2,FALSE)</f>
        <v>Smartwatch 59</v>
      </c>
      <c r="H541" t="str">
        <f>VLOOKUP(B541,product_tbl[],3,FALSE)</f>
        <v>Electronics</v>
      </c>
      <c r="I541">
        <v>2490.306</v>
      </c>
      <c r="J541">
        <f>VLOOKUP(B541,product_tbl[],5,FALSE)</f>
        <v>4150.51</v>
      </c>
      <c r="K541">
        <f>VLOOKUP(B541,review_tbl[],3,FALSE)</f>
        <v>3</v>
      </c>
      <c r="L541" s="11">
        <v>4753.9770787904545</v>
      </c>
      <c r="M541" s="11">
        <f>AVERAGEIF(Table1[product_id],Master_tbl!B541:B1542,Table1[competitor_price])</f>
        <v>6105.9674999999997</v>
      </c>
      <c r="N541" s="11">
        <f>IFERROR(Table5[[#This Row],[final_sale_price]]*Table5[[#This Row],[quantity_sold ]],0)</f>
        <v>138959.0748</v>
      </c>
      <c r="O541" s="11">
        <f>(Table5[[#This Row],[final_sale_price]]-Table5[[#This Row],[cost_price]])*Table5[[#This Row],[quantity_sold ]]</f>
        <v>49308.058799999992</v>
      </c>
      <c r="P541" s="11">
        <f>(Table5[final_sale_price]-Table5[[#This Row],[avg_comp_price]])</f>
        <v>-2245.9931999999999</v>
      </c>
      <c r="Q541" s="15">
        <f>(Table5[[#This Row],[final_sale_price]]-Table5[[#This Row],[avg_comp_price]])/Table5[[#This Row],[avg_comp_price]]</f>
        <v>-0.36783576067183454</v>
      </c>
      <c r="R541" s="11">
        <f>Table5[[#This Row],[Profit]]/Table5[[#This Row],[Revenue]]</f>
        <v>0.35483870967741926</v>
      </c>
    </row>
    <row r="542" spans="1:18" x14ac:dyDescent="0.2">
      <c r="A542" s="4">
        <v>541</v>
      </c>
      <c r="B542" s="4">
        <v>98</v>
      </c>
      <c r="C542" s="6">
        <v>44929</v>
      </c>
      <c r="D542" s="4">
        <v>9</v>
      </c>
      <c r="E542" s="4">
        <v>10</v>
      </c>
      <c r="F542" s="12">
        <f t="shared" si="8"/>
        <v>7026.9120000000003</v>
      </c>
      <c r="G542" t="str">
        <f>VLOOKUP(B542,product_tbl[],2,FALSE)</f>
        <v>Puzzle Set 98</v>
      </c>
      <c r="H542" t="str">
        <f>VLOOKUP(B542,product_tbl[],3,FALSE)</f>
        <v>Toys</v>
      </c>
      <c r="I542">
        <v>4684.6080000000002</v>
      </c>
      <c r="J542">
        <f>VLOOKUP(B542,product_tbl[],5,FALSE)</f>
        <v>7807.68</v>
      </c>
      <c r="K542">
        <f>VLOOKUP(B542,review_tbl[],3,FALSE)</f>
        <v>3</v>
      </c>
      <c r="L542" s="11">
        <v>9394.8444427656996</v>
      </c>
      <c r="M542" s="11">
        <f>AVERAGEIF(Table1[product_id],Master_tbl!B542:B1543,Table1[competitor_price])</f>
        <v>6533.69</v>
      </c>
      <c r="N542" s="11">
        <f>IFERROR(Table5[[#This Row],[final_sale_price]]*Table5[[#This Row],[quantity_sold ]],0)</f>
        <v>63242.207999999999</v>
      </c>
      <c r="O542" s="11">
        <f>(Table5[[#This Row],[final_sale_price]]-Table5[[#This Row],[cost_price]])*Table5[[#This Row],[quantity_sold ]]</f>
        <v>21080.736000000001</v>
      </c>
      <c r="P542" s="11">
        <f>(Table5[final_sale_price]-Table5[[#This Row],[avg_comp_price]])</f>
        <v>493.22200000000066</v>
      </c>
      <c r="Q542" s="15">
        <f>(Table5[[#This Row],[final_sale_price]]-Table5[[#This Row],[avg_comp_price]])/Table5[[#This Row],[avg_comp_price]]</f>
        <v>7.5489042179840288E-2</v>
      </c>
      <c r="R542" s="11">
        <f>Table5[[#This Row],[Profit]]/Table5[[#This Row],[Revenue]]</f>
        <v>0.33333333333333337</v>
      </c>
    </row>
    <row r="543" spans="1:18" x14ac:dyDescent="0.2">
      <c r="A543" s="5">
        <v>542</v>
      </c>
      <c r="B543" s="5">
        <v>78</v>
      </c>
      <c r="C543" s="7">
        <v>45534</v>
      </c>
      <c r="D543" s="5">
        <v>8</v>
      </c>
      <c r="E543" s="4">
        <v>5</v>
      </c>
      <c r="F543" s="12">
        <f t="shared" si="8"/>
        <v>822.45299999999997</v>
      </c>
      <c r="G543" t="str">
        <f>VLOOKUP(B543,product_tbl[],2,FALSE)</f>
        <v>Biography 78</v>
      </c>
      <c r="H543" t="str">
        <f>VLOOKUP(B543,product_tbl[],3,FALSE)</f>
        <v>Books</v>
      </c>
      <c r="I543">
        <v>519.44399999999996</v>
      </c>
      <c r="J543">
        <f>VLOOKUP(B543,product_tbl[],5,FALSE)</f>
        <v>865.74</v>
      </c>
      <c r="K543">
        <f>VLOOKUP(B543,review_tbl[],3,FALSE)</f>
        <v>4</v>
      </c>
      <c r="L543" s="11">
        <v>925.23995365532778</v>
      </c>
      <c r="M543" s="11">
        <f>AVERAGEIF(Table1[product_id],Master_tbl!B543:B1544,Table1[competitor_price])</f>
        <v>398.392</v>
      </c>
      <c r="N543" s="11">
        <f>IFERROR(Table5[[#This Row],[final_sale_price]]*Table5[[#This Row],[quantity_sold ]],0)</f>
        <v>6579.6239999999998</v>
      </c>
      <c r="O543" s="11">
        <f>(Table5[[#This Row],[final_sale_price]]-Table5[[#This Row],[cost_price]])*Table5[[#This Row],[quantity_sold ]]</f>
        <v>2424.0720000000001</v>
      </c>
      <c r="P543" s="11">
        <f>(Table5[final_sale_price]-Table5[[#This Row],[avg_comp_price]])</f>
        <v>424.06099999999998</v>
      </c>
      <c r="Q543" s="15">
        <f>(Table5[[#This Row],[final_sale_price]]-Table5[[#This Row],[avg_comp_price]])/Table5[[#This Row],[avg_comp_price]]</f>
        <v>1.06443151468905</v>
      </c>
      <c r="R543" s="11">
        <f>Table5[[#This Row],[Profit]]/Table5[[#This Row],[Revenue]]</f>
        <v>0.36842105263157898</v>
      </c>
    </row>
    <row r="544" spans="1:18" x14ac:dyDescent="0.2">
      <c r="A544" s="4">
        <v>543</v>
      </c>
      <c r="B544" s="4">
        <v>42</v>
      </c>
      <c r="C544" s="6">
        <v>45508</v>
      </c>
      <c r="D544" s="4">
        <v>31</v>
      </c>
      <c r="E544" s="4">
        <v>5</v>
      </c>
      <c r="F544" s="12">
        <f t="shared" si="8"/>
        <v>406.22</v>
      </c>
      <c r="G544" t="str">
        <f>VLOOKUP(B544,product_tbl[],2,FALSE)</f>
        <v>Action Figure 42</v>
      </c>
      <c r="H544" t="str">
        <f>VLOOKUP(B544,product_tbl[],3,FALSE)</f>
        <v>Toys</v>
      </c>
      <c r="I544">
        <v>256.56</v>
      </c>
      <c r="J544">
        <f>VLOOKUP(B544,product_tbl[],5,FALSE)</f>
        <v>427.6</v>
      </c>
      <c r="K544">
        <f>VLOOKUP(B544,review_tbl[],3,FALSE)</f>
        <v>2</v>
      </c>
      <c r="L544" s="11">
        <v>443.54900614723215</v>
      </c>
      <c r="M544" s="11">
        <f>AVERAGEIF(Table1[product_id],Master_tbl!B544:B1545,Table1[competitor_price])</f>
        <v>513.45666666666671</v>
      </c>
      <c r="N544" s="11">
        <f>IFERROR(Table5[[#This Row],[final_sale_price]]*Table5[[#This Row],[quantity_sold ]],0)</f>
        <v>12592.820000000002</v>
      </c>
      <c r="O544" s="11">
        <f>(Table5[[#This Row],[final_sale_price]]-Table5[[#This Row],[cost_price]])*Table5[[#This Row],[quantity_sold ]]</f>
        <v>4639.4600000000009</v>
      </c>
      <c r="P544" s="11">
        <f>(Table5[final_sale_price]-Table5[[#This Row],[avg_comp_price]])</f>
        <v>-107.23666666666668</v>
      </c>
      <c r="Q544" s="15">
        <f>(Table5[[#This Row],[final_sale_price]]-Table5[[#This Row],[avg_comp_price]])/Table5[[#This Row],[avg_comp_price]]</f>
        <v>-0.20885241857475803</v>
      </c>
      <c r="R544" s="11">
        <f>Table5[[#This Row],[Profit]]/Table5[[#This Row],[Revenue]]</f>
        <v>0.36842105263157898</v>
      </c>
    </row>
    <row r="545" spans="1:18" x14ac:dyDescent="0.2">
      <c r="A545" s="5">
        <v>544</v>
      </c>
      <c r="B545" s="5">
        <v>149</v>
      </c>
      <c r="C545" s="7">
        <v>45908</v>
      </c>
      <c r="D545" s="5">
        <v>43</v>
      </c>
      <c r="E545" s="4">
        <v>10</v>
      </c>
      <c r="F545" s="12">
        <f t="shared" si="8"/>
        <v>5515.0019999999995</v>
      </c>
      <c r="G545" t="str">
        <f>VLOOKUP(B545,product_tbl[],2,FALSE)</f>
        <v>Smartphone 149</v>
      </c>
      <c r="H545" t="str">
        <f>VLOOKUP(B545,product_tbl[],3,FALSE)</f>
        <v>Electronics</v>
      </c>
      <c r="I545">
        <v>3676.6679999999997</v>
      </c>
      <c r="J545">
        <f>VLOOKUP(B545,product_tbl[],5,FALSE)</f>
        <v>6127.78</v>
      </c>
      <c r="K545">
        <f>VLOOKUP(B545,review_tbl[],3,FALSE)</f>
        <v>4</v>
      </c>
      <c r="L545" s="11">
        <v>6324.2103430783154</v>
      </c>
      <c r="M545" s="11">
        <f>AVERAGEIF(Table1[product_id],Master_tbl!B545:B1546,Table1[competitor_price])</f>
        <v>3159.4639999999999</v>
      </c>
      <c r="N545" s="11">
        <f>IFERROR(Table5[[#This Row],[final_sale_price]]*Table5[[#This Row],[quantity_sold ]],0)</f>
        <v>237145.08599999998</v>
      </c>
      <c r="O545" s="11">
        <f>(Table5[[#This Row],[final_sale_price]]-Table5[[#This Row],[cost_price]])*Table5[[#This Row],[quantity_sold ]]</f>
        <v>79048.361999999994</v>
      </c>
      <c r="P545" s="11">
        <f>(Table5[final_sale_price]-Table5[[#This Row],[avg_comp_price]])</f>
        <v>2355.5379999999996</v>
      </c>
      <c r="Q545" s="15">
        <f>(Table5[[#This Row],[final_sale_price]]-Table5[[#This Row],[avg_comp_price]])/Table5[[#This Row],[avg_comp_price]]</f>
        <v>0.7455498780805857</v>
      </c>
      <c r="R545" s="11">
        <f>Table5[[#This Row],[Profit]]/Table5[[#This Row],[Revenue]]</f>
        <v>0.33333333333333331</v>
      </c>
    </row>
    <row r="546" spans="1:18" x14ac:dyDescent="0.2">
      <c r="A546" s="4">
        <v>545</v>
      </c>
      <c r="B546" s="4">
        <v>150</v>
      </c>
      <c r="C546" s="6">
        <v>45435</v>
      </c>
      <c r="D546" s="4">
        <v>10</v>
      </c>
      <c r="E546" s="4">
        <v>5</v>
      </c>
      <c r="F546" s="12">
        <f t="shared" si="8"/>
        <v>2175.2339999999999</v>
      </c>
      <c r="G546" t="str">
        <f>VLOOKUP(B546,product_tbl[],2,FALSE)</f>
        <v>Puzzle Set 150</v>
      </c>
      <c r="H546" t="str">
        <f>VLOOKUP(B546,product_tbl[],3,FALSE)</f>
        <v>Toys</v>
      </c>
      <c r="I546">
        <v>1373.8319999999999</v>
      </c>
      <c r="J546">
        <f>VLOOKUP(B546,product_tbl[],5,FALSE)</f>
        <v>2289.7199999999998</v>
      </c>
      <c r="K546">
        <f>VLOOKUP(B546,review_tbl[],3,FALSE)</f>
        <v>3</v>
      </c>
      <c r="L546" s="11">
        <v>2809.8304760530887</v>
      </c>
      <c r="M546" s="11">
        <f>AVERAGEIF(Table1[product_id],Master_tbl!B546:B1547,Table1[competitor_price])</f>
        <v>1810.3166666666666</v>
      </c>
      <c r="N546" s="11">
        <f>IFERROR(Table5[[#This Row],[final_sale_price]]*Table5[[#This Row],[quantity_sold ]],0)</f>
        <v>21752.34</v>
      </c>
      <c r="O546" s="11">
        <f>(Table5[[#This Row],[final_sale_price]]-Table5[[#This Row],[cost_price]])*Table5[[#This Row],[quantity_sold ]]</f>
        <v>8014.02</v>
      </c>
      <c r="P546" s="11">
        <f>(Table5[final_sale_price]-Table5[[#This Row],[avg_comp_price]])</f>
        <v>364.91733333333332</v>
      </c>
      <c r="Q546" s="15">
        <f>(Table5[[#This Row],[final_sale_price]]-Table5[[#This Row],[avg_comp_price]])/Table5[[#This Row],[avg_comp_price]]</f>
        <v>0.20157651976173596</v>
      </c>
      <c r="R546" s="11">
        <f>Table5[[#This Row],[Profit]]/Table5[[#This Row],[Revenue]]</f>
        <v>0.36842105263157898</v>
      </c>
    </row>
    <row r="547" spans="1:18" x14ac:dyDescent="0.2">
      <c r="A547" s="5">
        <v>546</v>
      </c>
      <c r="B547" s="5">
        <v>91</v>
      </c>
      <c r="C547" s="7">
        <v>45707</v>
      </c>
      <c r="D547" s="5">
        <v>45</v>
      </c>
      <c r="E547" s="4">
        <v>7</v>
      </c>
      <c r="F547" s="12">
        <f t="shared" si="8"/>
        <v>2941.5899999999997</v>
      </c>
      <c r="G547" t="str">
        <f>VLOOKUP(B547,product_tbl[],2,FALSE)</f>
        <v>Sunglasses 91</v>
      </c>
      <c r="H547" t="str">
        <f>VLOOKUP(B547,product_tbl[],3,FALSE)</f>
        <v>Fashion</v>
      </c>
      <c r="I547">
        <v>1897.8</v>
      </c>
      <c r="J547">
        <f>VLOOKUP(B547,product_tbl[],5,FALSE)</f>
        <v>3163</v>
      </c>
      <c r="K547">
        <f>VLOOKUP(B547,review_tbl[],3,FALSE)</f>
        <v>2</v>
      </c>
      <c r="L547" s="11">
        <v>3970.3310068021278</v>
      </c>
      <c r="M547" s="11">
        <f>AVERAGEIF(Table1[product_id],Master_tbl!B547:B1548,Table1[competitor_price])</f>
        <v>4782.2433333333329</v>
      </c>
      <c r="N547" s="11">
        <f>IFERROR(Table5[[#This Row],[final_sale_price]]*Table5[[#This Row],[quantity_sold ]],0)</f>
        <v>132371.54999999999</v>
      </c>
      <c r="O547" s="11">
        <f>(Table5[[#This Row],[final_sale_price]]-Table5[[#This Row],[cost_price]])*Table5[[#This Row],[quantity_sold ]]</f>
        <v>46970.549999999988</v>
      </c>
      <c r="P547" s="11">
        <f>(Table5[final_sale_price]-Table5[[#This Row],[avg_comp_price]])</f>
        <v>-1840.6533333333332</v>
      </c>
      <c r="Q547" s="15">
        <f>(Table5[[#This Row],[final_sale_price]]-Table5[[#This Row],[avg_comp_price]])/Table5[[#This Row],[avg_comp_price]]</f>
        <v>-0.38489328230196013</v>
      </c>
      <c r="R547" s="11">
        <f>Table5[[#This Row],[Profit]]/Table5[[#This Row],[Revenue]]</f>
        <v>0.35483870967741932</v>
      </c>
    </row>
    <row r="548" spans="1:18" x14ac:dyDescent="0.2">
      <c r="A548" s="4">
        <v>547</v>
      </c>
      <c r="B548" s="4">
        <v>31</v>
      </c>
      <c r="C548" s="6">
        <v>45466</v>
      </c>
      <c r="D548" s="4">
        <v>45</v>
      </c>
      <c r="E548" s="4">
        <v>9</v>
      </c>
      <c r="F548" s="12">
        <f t="shared" si="8"/>
        <v>931.14840000000004</v>
      </c>
      <c r="G548" t="str">
        <f>VLOOKUP(B548,product_tbl[],2,FALSE)</f>
        <v>Bluetooth Speaker 31</v>
      </c>
      <c r="H548" t="str">
        <f>VLOOKUP(B548,product_tbl[],3,FALSE)</f>
        <v>Electronics</v>
      </c>
      <c r="I548">
        <v>613.94399999999996</v>
      </c>
      <c r="J548">
        <f>VLOOKUP(B548,product_tbl[],5,FALSE)</f>
        <v>1023.24</v>
      </c>
      <c r="K548">
        <f>VLOOKUP(B548,review_tbl[],3,FALSE)</f>
        <v>2</v>
      </c>
      <c r="L548" s="11">
        <v>1029.5776524954524</v>
      </c>
      <c r="M548" s="11">
        <f>AVERAGEIF(Table1[product_id],Master_tbl!B548:B1549,Table1[competitor_price])</f>
        <v>1065.8219999999999</v>
      </c>
      <c r="N548" s="11">
        <f>IFERROR(Table5[[#This Row],[final_sale_price]]*Table5[[#This Row],[quantity_sold ]],0)</f>
        <v>41901.678</v>
      </c>
      <c r="O548" s="11">
        <f>(Table5[[#This Row],[final_sale_price]]-Table5[[#This Row],[cost_price]])*Table5[[#This Row],[quantity_sold ]]</f>
        <v>14274.198000000004</v>
      </c>
      <c r="P548" s="11">
        <f>(Table5[final_sale_price]-Table5[[#This Row],[avg_comp_price]])</f>
        <v>-134.67359999999985</v>
      </c>
      <c r="Q548" s="15">
        <f>(Table5[[#This Row],[final_sale_price]]-Table5[[#This Row],[avg_comp_price]])/Table5[[#This Row],[avg_comp_price]]</f>
        <v>-0.12635655859984113</v>
      </c>
      <c r="R548" s="11">
        <f>Table5[[#This Row],[Profit]]/Table5[[#This Row],[Revenue]]</f>
        <v>0.34065934065934078</v>
      </c>
    </row>
    <row r="549" spans="1:18" x14ac:dyDescent="0.2">
      <c r="A549" s="5">
        <v>548</v>
      </c>
      <c r="B549" s="5">
        <v>24</v>
      </c>
      <c r="C549" s="7">
        <v>45816</v>
      </c>
      <c r="D549" s="5">
        <v>45</v>
      </c>
      <c r="E549" s="4">
        <v>9</v>
      </c>
      <c r="F549" s="12">
        <f t="shared" si="8"/>
        <v>3636.8332</v>
      </c>
      <c r="G549" t="str">
        <f>VLOOKUP(B549,product_tbl[],2,FALSE)</f>
        <v>Rice Pack 24</v>
      </c>
      <c r="H549" t="str">
        <f>VLOOKUP(B549,product_tbl[],3,FALSE)</f>
        <v>Grocery</v>
      </c>
      <c r="I549">
        <v>2397.9119999999998</v>
      </c>
      <c r="J549">
        <f>VLOOKUP(B549,product_tbl[],5,FALSE)</f>
        <v>3996.52</v>
      </c>
      <c r="K549">
        <f>VLOOKUP(B549,review_tbl[],3,FALSE)</f>
        <v>4</v>
      </c>
      <c r="L549" s="11">
        <v>4333.4809387888399</v>
      </c>
      <c r="M549" s="11">
        <f>AVERAGEIF(Table1[product_id],Master_tbl!B549:B1550,Table1[competitor_price])</f>
        <v>3028.7733333333331</v>
      </c>
      <c r="N549" s="11">
        <f>IFERROR(Table5[[#This Row],[final_sale_price]]*Table5[[#This Row],[quantity_sold ]],0)</f>
        <v>163657.49400000001</v>
      </c>
      <c r="O549" s="11">
        <f>(Table5[[#This Row],[final_sale_price]]-Table5[[#This Row],[cost_price]])*Table5[[#This Row],[quantity_sold ]]</f>
        <v>55751.454000000012</v>
      </c>
      <c r="P549" s="11">
        <f>(Table5[final_sale_price]-Table5[[#This Row],[avg_comp_price]])</f>
        <v>608.05986666666695</v>
      </c>
      <c r="Q549" s="15">
        <f>(Table5[[#This Row],[final_sale_price]]-Table5[[#This Row],[avg_comp_price]])/Table5[[#This Row],[avg_comp_price]]</f>
        <v>0.20076110020338278</v>
      </c>
      <c r="R549" s="11">
        <f>Table5[[#This Row],[Profit]]/Table5[[#This Row],[Revenue]]</f>
        <v>0.34065934065934073</v>
      </c>
    </row>
    <row r="550" spans="1:18" x14ac:dyDescent="0.2">
      <c r="A550" s="4">
        <v>549</v>
      </c>
      <c r="B550" s="4">
        <v>102</v>
      </c>
      <c r="C550" s="6">
        <v>45521</v>
      </c>
      <c r="D550" s="4">
        <v>50</v>
      </c>
      <c r="E550" s="4">
        <v>8</v>
      </c>
      <c r="F550" s="12">
        <f t="shared" si="8"/>
        <v>3812.4247999999998</v>
      </c>
      <c r="G550" t="str">
        <f>VLOOKUP(B550,product_tbl[],2,FALSE)</f>
        <v>Action Figure 102</v>
      </c>
      <c r="H550" t="str">
        <f>VLOOKUP(B550,product_tbl[],3,FALSE)</f>
        <v>Toys</v>
      </c>
      <c r="I550">
        <v>2486.3639999999996</v>
      </c>
      <c r="J550">
        <f>VLOOKUP(B550,product_tbl[],5,FALSE)</f>
        <v>4143.9399999999996</v>
      </c>
      <c r="K550">
        <f>VLOOKUP(B550,review_tbl[],3,FALSE)</f>
        <v>4</v>
      </c>
      <c r="L550" s="11">
        <v>4864.6278860442335</v>
      </c>
      <c r="M550" s="11">
        <f>AVERAGEIF(Table1[product_id],Master_tbl!B550:B1551,Table1[competitor_price])</f>
        <v>2740.84</v>
      </c>
      <c r="N550" s="11">
        <f>IFERROR(Table5[[#This Row],[final_sale_price]]*Table5[[#This Row],[quantity_sold ]],0)</f>
        <v>190621.24</v>
      </c>
      <c r="O550" s="11">
        <f>(Table5[[#This Row],[final_sale_price]]-Table5[[#This Row],[cost_price]])*Table5[[#This Row],[quantity_sold ]]</f>
        <v>66303.040000000008</v>
      </c>
      <c r="P550" s="11">
        <f>(Table5[final_sale_price]-Table5[[#This Row],[avg_comp_price]])</f>
        <v>1071.5847999999996</v>
      </c>
      <c r="Q550" s="15">
        <f>(Table5[[#This Row],[final_sale_price]]-Table5[[#This Row],[avg_comp_price]])/Table5[[#This Row],[avg_comp_price]]</f>
        <v>0.39096948380788354</v>
      </c>
      <c r="R550" s="11">
        <f>Table5[[#This Row],[Profit]]/Table5[[#This Row],[Revenue]]</f>
        <v>0.34782608695652178</v>
      </c>
    </row>
    <row r="551" spans="1:18" x14ac:dyDescent="0.2">
      <c r="A551" s="5">
        <v>550</v>
      </c>
      <c r="B551" s="5">
        <v>99</v>
      </c>
      <c r="C551" s="7">
        <v>45123</v>
      </c>
      <c r="D551" s="5">
        <v>19</v>
      </c>
      <c r="E551" s="4">
        <v>5</v>
      </c>
      <c r="F551" s="12">
        <f t="shared" si="8"/>
        <v>1941.7809999999999</v>
      </c>
      <c r="G551" t="str">
        <f>VLOOKUP(B551,product_tbl[],2,FALSE)</f>
        <v>Sneakers 99</v>
      </c>
      <c r="H551" t="str">
        <f>VLOOKUP(B551,product_tbl[],3,FALSE)</f>
        <v>Fashion</v>
      </c>
      <c r="I551">
        <v>1226.3879999999999</v>
      </c>
      <c r="J551">
        <f>VLOOKUP(B551,product_tbl[],5,FALSE)</f>
        <v>2043.98</v>
      </c>
      <c r="K551">
        <f>VLOOKUP(B551,review_tbl[],3,FALSE)</f>
        <v>2</v>
      </c>
      <c r="L551" s="11">
        <v>2398.9539234799372</v>
      </c>
      <c r="M551" s="11">
        <f>AVERAGEIF(Table1[product_id],Master_tbl!B551:B1552,Table1[competitor_price])</f>
        <v>958.76666666666654</v>
      </c>
      <c r="N551" s="11">
        <f>IFERROR(Table5[[#This Row],[final_sale_price]]*Table5[[#This Row],[quantity_sold ]],0)</f>
        <v>36893.839</v>
      </c>
      <c r="O551" s="11">
        <f>(Table5[[#This Row],[final_sale_price]]-Table5[[#This Row],[cost_price]])*Table5[[#This Row],[quantity_sold ]]</f>
        <v>13592.467000000001</v>
      </c>
      <c r="P551" s="11">
        <f>(Table5[final_sale_price]-Table5[[#This Row],[avg_comp_price]])</f>
        <v>983.01433333333341</v>
      </c>
      <c r="Q551" s="15">
        <f>(Table5[[#This Row],[final_sale_price]]-Table5[[#This Row],[avg_comp_price]])/Table5[[#This Row],[avg_comp_price]]</f>
        <v>1.0252904773493727</v>
      </c>
      <c r="R551" s="11">
        <f>Table5[[#This Row],[Profit]]/Table5[[#This Row],[Revenue]]</f>
        <v>0.36842105263157898</v>
      </c>
    </row>
    <row r="552" spans="1:18" x14ac:dyDescent="0.2">
      <c r="A552" s="4">
        <v>551</v>
      </c>
      <c r="B552" s="4">
        <v>86</v>
      </c>
      <c r="C552" s="6">
        <v>45740</v>
      </c>
      <c r="D552" s="4">
        <v>29</v>
      </c>
      <c r="E552" s="4">
        <v>9</v>
      </c>
      <c r="F552" s="12">
        <f t="shared" si="8"/>
        <v>2841.8481000000002</v>
      </c>
      <c r="G552" t="str">
        <f>VLOOKUP(B552,product_tbl[],2,FALSE)</f>
        <v>Building Blocks 86</v>
      </c>
      <c r="H552" t="str">
        <f>VLOOKUP(B552,product_tbl[],3,FALSE)</f>
        <v>Toys</v>
      </c>
      <c r="I552">
        <v>1873.7459999999999</v>
      </c>
      <c r="J552">
        <f>VLOOKUP(B552,product_tbl[],5,FALSE)</f>
        <v>3122.91</v>
      </c>
      <c r="K552">
        <f>VLOOKUP(B552,review_tbl[],3,FALSE)</f>
        <v>4</v>
      </c>
      <c r="L552" s="11">
        <v>3143.4719278045072</v>
      </c>
      <c r="M552" s="11">
        <f>AVERAGEIF(Table1[product_id],Master_tbl!B552:B1553,Table1[competitor_price])</f>
        <v>2919.076</v>
      </c>
      <c r="N552" s="11">
        <f>IFERROR(Table5[[#This Row],[final_sale_price]]*Table5[[#This Row],[quantity_sold ]],0)</f>
        <v>82413.594900000011</v>
      </c>
      <c r="O552" s="11">
        <f>(Table5[[#This Row],[final_sale_price]]-Table5[[#This Row],[cost_price]])*Table5[[#This Row],[quantity_sold ]]</f>
        <v>28074.960900000009</v>
      </c>
      <c r="P552" s="11">
        <f>(Table5[final_sale_price]-Table5[[#This Row],[avg_comp_price]])</f>
        <v>-77.227899999999863</v>
      </c>
      <c r="Q552" s="15">
        <f>(Table5[[#This Row],[final_sale_price]]-Table5[[#This Row],[avg_comp_price]])/Table5[[#This Row],[avg_comp_price]]</f>
        <v>-2.6456282741525009E-2</v>
      </c>
      <c r="R552" s="11">
        <f>Table5[[#This Row],[Profit]]/Table5[[#This Row],[Revenue]]</f>
        <v>0.34065934065934073</v>
      </c>
    </row>
    <row r="553" spans="1:18" x14ac:dyDescent="0.2">
      <c r="A553" s="5">
        <v>552</v>
      </c>
      <c r="B553" s="5">
        <v>47</v>
      </c>
      <c r="C553" s="7">
        <v>45336</v>
      </c>
      <c r="D553" s="5">
        <v>23</v>
      </c>
      <c r="E553" s="4">
        <v>5</v>
      </c>
      <c r="F553" s="12">
        <f t="shared" si="8"/>
        <v>3242.9009999999998</v>
      </c>
      <c r="G553" t="str">
        <f>VLOOKUP(B553,product_tbl[],2,FALSE)</f>
        <v>Cookbook 47</v>
      </c>
      <c r="H553" t="str">
        <f>VLOOKUP(B553,product_tbl[],3,FALSE)</f>
        <v>Books</v>
      </c>
      <c r="I553">
        <v>2048.1479999999997</v>
      </c>
      <c r="J553">
        <f>VLOOKUP(B553,product_tbl[],5,FALSE)</f>
        <v>3413.58</v>
      </c>
      <c r="K553">
        <f>VLOOKUP(B553,review_tbl[],3,FALSE)</f>
        <v>5</v>
      </c>
      <c r="L553" s="11">
        <v>4139.7700356505411</v>
      </c>
      <c r="M553" s="11">
        <f>AVERAGEIF(Table1[product_id],Master_tbl!B553:B1554,Table1[competitor_price])</f>
        <v>2051.0440000000003</v>
      </c>
      <c r="N553" s="11">
        <f>IFERROR(Table5[[#This Row],[final_sale_price]]*Table5[[#This Row],[quantity_sold ]],0)</f>
        <v>74586.722999999998</v>
      </c>
      <c r="O553" s="11">
        <f>(Table5[[#This Row],[final_sale_price]]-Table5[[#This Row],[cost_price]])*Table5[[#This Row],[quantity_sold ]]</f>
        <v>27479.319000000003</v>
      </c>
      <c r="P553" s="11">
        <f>(Table5[final_sale_price]-Table5[[#This Row],[avg_comp_price]])</f>
        <v>1191.8569999999995</v>
      </c>
      <c r="Q553" s="15">
        <f>(Table5[[#This Row],[final_sale_price]]-Table5[[#This Row],[avg_comp_price]])/Table5[[#This Row],[avg_comp_price]]</f>
        <v>0.58109772389085723</v>
      </c>
      <c r="R553" s="11">
        <f>Table5[[#This Row],[Profit]]/Table5[[#This Row],[Revenue]]</f>
        <v>0.36842105263157898</v>
      </c>
    </row>
    <row r="554" spans="1:18" x14ac:dyDescent="0.2">
      <c r="A554" s="4">
        <v>553</v>
      </c>
      <c r="B554" s="4">
        <v>70</v>
      </c>
      <c r="C554" s="6">
        <v>45700</v>
      </c>
      <c r="D554" s="4">
        <v>22</v>
      </c>
      <c r="E554" s="4">
        <v>7</v>
      </c>
      <c r="F554" s="12">
        <f t="shared" si="8"/>
        <v>3747.6674999999996</v>
      </c>
      <c r="G554" t="str">
        <f>VLOOKUP(B554,product_tbl[],2,FALSE)</f>
        <v>Green Tea 70</v>
      </c>
      <c r="H554" t="str">
        <f>VLOOKUP(B554,product_tbl[],3,FALSE)</f>
        <v>Grocery</v>
      </c>
      <c r="I554">
        <v>2417.85</v>
      </c>
      <c r="J554">
        <f>VLOOKUP(B554,product_tbl[],5,FALSE)</f>
        <v>4029.75</v>
      </c>
      <c r="K554">
        <f>VLOOKUP(B554,review_tbl[],3,FALSE)</f>
        <v>1</v>
      </c>
      <c r="L554" s="11">
        <v>4836.3663355884801</v>
      </c>
      <c r="M554" s="11">
        <f>AVERAGEIF(Table1[product_id],Master_tbl!B554:B1555,Table1[competitor_price])</f>
        <v>2158.7083333333335</v>
      </c>
      <c r="N554" s="11">
        <f>IFERROR(Table5[[#This Row],[final_sale_price]]*Table5[[#This Row],[quantity_sold ]],0)</f>
        <v>82448.684999999998</v>
      </c>
      <c r="O554" s="11">
        <f>(Table5[[#This Row],[final_sale_price]]-Table5[[#This Row],[cost_price]])*Table5[[#This Row],[quantity_sold ]]</f>
        <v>29255.984999999993</v>
      </c>
      <c r="P554" s="11">
        <f>(Table5[final_sale_price]-Table5[[#This Row],[avg_comp_price]])</f>
        <v>1588.9591666666661</v>
      </c>
      <c r="Q554" s="15">
        <f>(Table5[[#This Row],[final_sale_price]]-Table5[[#This Row],[avg_comp_price]])/Table5[[#This Row],[avg_comp_price]]</f>
        <v>0.73606940878997829</v>
      </c>
      <c r="R554" s="11">
        <f>Table5[[#This Row],[Profit]]/Table5[[#This Row],[Revenue]]</f>
        <v>0.35483870967741926</v>
      </c>
    </row>
    <row r="555" spans="1:18" x14ac:dyDescent="0.2">
      <c r="A555" s="5">
        <v>554</v>
      </c>
      <c r="B555" s="5">
        <v>59</v>
      </c>
      <c r="C555" s="7">
        <v>45187</v>
      </c>
      <c r="D555" s="5">
        <v>31</v>
      </c>
      <c r="E555" s="4">
        <v>9</v>
      </c>
      <c r="F555" s="12">
        <f t="shared" si="8"/>
        <v>3776.9641000000001</v>
      </c>
      <c r="G555" t="str">
        <f>VLOOKUP(B555,product_tbl[],2,FALSE)</f>
        <v>Smartwatch 59</v>
      </c>
      <c r="H555" t="str">
        <f>VLOOKUP(B555,product_tbl[],3,FALSE)</f>
        <v>Electronics</v>
      </c>
      <c r="I555">
        <v>2490.306</v>
      </c>
      <c r="J555">
        <f>VLOOKUP(B555,product_tbl[],5,FALSE)</f>
        <v>4150.51</v>
      </c>
      <c r="K555">
        <f>VLOOKUP(B555,review_tbl[],3,FALSE)</f>
        <v>3</v>
      </c>
      <c r="L555" s="11">
        <v>4461.0013059070907</v>
      </c>
      <c r="M555" s="11">
        <f>AVERAGEIF(Table1[product_id],Master_tbl!B555:B1556,Table1[competitor_price])</f>
        <v>6105.9674999999997</v>
      </c>
      <c r="N555" s="11">
        <f>IFERROR(Table5[[#This Row],[final_sale_price]]*Table5[[#This Row],[quantity_sold ]],0)</f>
        <v>117085.88710000001</v>
      </c>
      <c r="O555" s="11">
        <f>(Table5[[#This Row],[final_sale_price]]-Table5[[#This Row],[cost_price]])*Table5[[#This Row],[quantity_sold ]]</f>
        <v>39886.401100000003</v>
      </c>
      <c r="P555" s="11">
        <f>(Table5[final_sale_price]-Table5[[#This Row],[avg_comp_price]])</f>
        <v>-2329.0033999999996</v>
      </c>
      <c r="Q555" s="15">
        <f>(Table5[[#This Row],[final_sale_price]]-Table5[[#This Row],[avg_comp_price]])/Table5[[#This Row],[avg_comp_price]]</f>
        <v>-0.38143069054985956</v>
      </c>
      <c r="R555" s="11">
        <f>Table5[[#This Row],[Profit]]/Table5[[#This Row],[Revenue]]</f>
        <v>0.34065934065934067</v>
      </c>
    </row>
    <row r="556" spans="1:18" x14ac:dyDescent="0.2">
      <c r="A556" s="4">
        <v>555</v>
      </c>
      <c r="B556" s="4">
        <v>99</v>
      </c>
      <c r="C556" s="6">
        <v>45103</v>
      </c>
      <c r="D556" s="4">
        <v>28</v>
      </c>
      <c r="E556" s="4">
        <v>3</v>
      </c>
      <c r="F556" s="12">
        <f t="shared" si="8"/>
        <v>1982.6605999999999</v>
      </c>
      <c r="G556" t="str">
        <f>VLOOKUP(B556,product_tbl[],2,FALSE)</f>
        <v>Sneakers 99</v>
      </c>
      <c r="H556" t="str">
        <f>VLOOKUP(B556,product_tbl[],3,FALSE)</f>
        <v>Fashion</v>
      </c>
      <c r="I556">
        <v>1226.3879999999999</v>
      </c>
      <c r="J556">
        <f>VLOOKUP(B556,product_tbl[],5,FALSE)</f>
        <v>2043.98</v>
      </c>
      <c r="K556">
        <f>VLOOKUP(B556,review_tbl[],3,FALSE)</f>
        <v>2</v>
      </c>
      <c r="L556" s="11">
        <v>2599.61413502394</v>
      </c>
      <c r="M556" s="11">
        <f>AVERAGEIF(Table1[product_id],Master_tbl!B556:B1557,Table1[competitor_price])</f>
        <v>958.76666666666654</v>
      </c>
      <c r="N556" s="11">
        <f>IFERROR(Table5[[#This Row],[final_sale_price]]*Table5[[#This Row],[quantity_sold ]],0)</f>
        <v>55514.496800000001</v>
      </c>
      <c r="O556" s="11">
        <f>(Table5[[#This Row],[final_sale_price]]-Table5[[#This Row],[cost_price]])*Table5[[#This Row],[quantity_sold ]]</f>
        <v>21175.632799999999</v>
      </c>
      <c r="P556" s="11">
        <f>(Table5[final_sale_price]-Table5[[#This Row],[avg_comp_price]])</f>
        <v>1023.8939333333334</v>
      </c>
      <c r="Q556" s="15">
        <f>(Table5[[#This Row],[final_sale_price]]-Table5[[#This Row],[avg_comp_price]])/Table5[[#This Row],[avg_comp_price]]</f>
        <v>1.0679281716093594</v>
      </c>
      <c r="R556" s="11">
        <f>Table5[[#This Row],[Profit]]/Table5[[#This Row],[Revenue]]</f>
        <v>0.38144329896907214</v>
      </c>
    </row>
    <row r="557" spans="1:18" x14ac:dyDescent="0.2">
      <c r="A557" s="5">
        <v>556</v>
      </c>
      <c r="B557" s="5">
        <v>117</v>
      </c>
      <c r="C557" s="7">
        <v>45661</v>
      </c>
      <c r="D557" s="5">
        <v>30</v>
      </c>
      <c r="E557" s="4">
        <v>8</v>
      </c>
      <c r="F557" s="12">
        <f t="shared" si="8"/>
        <v>1957.0056</v>
      </c>
      <c r="G557" t="str">
        <f>VLOOKUP(B557,product_tbl[],2,FALSE)</f>
        <v>Refrigerator 117</v>
      </c>
      <c r="H557" t="str">
        <f>VLOOKUP(B557,product_tbl[],3,FALSE)</f>
        <v>Home Appliances</v>
      </c>
      <c r="I557">
        <v>1276.3079999999998</v>
      </c>
      <c r="J557">
        <f>VLOOKUP(B557,product_tbl[],5,FALSE)</f>
        <v>2127.1799999999998</v>
      </c>
      <c r="K557">
        <f>VLOOKUP(B557,review_tbl[],3,FALSE)</f>
        <v>1</v>
      </c>
      <c r="L557" s="11">
        <v>2188.3159059584873</v>
      </c>
      <c r="M557" s="11">
        <f>AVERAGEIF(Table1[product_id],Master_tbl!B557:B1558,Table1[competitor_price])</f>
        <v>892.9766666666668</v>
      </c>
      <c r="N557" s="11">
        <f>IFERROR(Table5[[#This Row],[final_sale_price]]*Table5[[#This Row],[quantity_sold ]],0)</f>
        <v>58710.167999999998</v>
      </c>
      <c r="O557" s="11">
        <f>(Table5[[#This Row],[final_sale_price]]-Table5[[#This Row],[cost_price]])*Table5[[#This Row],[quantity_sold ]]</f>
        <v>20420.928000000007</v>
      </c>
      <c r="P557" s="11">
        <f>(Table5[final_sale_price]-Table5[[#This Row],[avg_comp_price]])</f>
        <v>1064.028933333333</v>
      </c>
      <c r="Q557" s="15">
        <f>(Table5[[#This Row],[final_sale_price]]-Table5[[#This Row],[avg_comp_price]])/Table5[[#This Row],[avg_comp_price]]</f>
        <v>1.1915528961189723</v>
      </c>
      <c r="R557" s="11">
        <f>Table5[[#This Row],[Profit]]/Table5[[#This Row],[Revenue]]</f>
        <v>0.3478260869565219</v>
      </c>
    </row>
    <row r="558" spans="1:18" x14ac:dyDescent="0.2">
      <c r="A558" s="4">
        <v>557</v>
      </c>
      <c r="B558" s="4">
        <v>88</v>
      </c>
      <c r="C558" s="6">
        <v>45409</v>
      </c>
      <c r="D558" s="4">
        <v>9</v>
      </c>
      <c r="E558" s="4">
        <v>3</v>
      </c>
      <c r="F558" s="12">
        <f t="shared" si="8"/>
        <v>6049.2401</v>
      </c>
      <c r="G558" t="str">
        <f>VLOOKUP(B558,product_tbl[],2,FALSE)</f>
        <v>Tablet 88</v>
      </c>
      <c r="H558" t="str">
        <f>VLOOKUP(B558,product_tbl[],3,FALSE)</f>
        <v>Electronics</v>
      </c>
      <c r="I558">
        <v>3741.7979999999998</v>
      </c>
      <c r="J558">
        <f>VLOOKUP(B558,product_tbl[],5,FALSE)</f>
        <v>6236.33</v>
      </c>
      <c r="K558">
        <f>VLOOKUP(B558,review_tbl[],3,FALSE)</f>
        <v>5</v>
      </c>
      <c r="L558" s="11">
        <v>7896.1392629089778</v>
      </c>
      <c r="M558" s="11">
        <f>AVERAGEIF(Table1[product_id],Master_tbl!B558:B1559,Table1[competitor_price])</f>
        <v>4981.5050000000001</v>
      </c>
      <c r="N558" s="11">
        <f>IFERROR(Table5[[#This Row],[final_sale_price]]*Table5[[#This Row],[quantity_sold ]],0)</f>
        <v>54443.160900000003</v>
      </c>
      <c r="O558" s="11">
        <f>(Table5[[#This Row],[final_sale_price]]-Table5[[#This Row],[cost_price]])*Table5[[#This Row],[quantity_sold ]]</f>
        <v>20766.978900000002</v>
      </c>
      <c r="P558" s="11">
        <f>(Table5[final_sale_price]-Table5[[#This Row],[avg_comp_price]])</f>
        <v>1067.7350999999999</v>
      </c>
      <c r="Q558" s="15">
        <f>(Table5[[#This Row],[final_sale_price]]-Table5[[#This Row],[avg_comp_price]])/Table5[[#This Row],[avg_comp_price]]</f>
        <v>0.2143398631538059</v>
      </c>
      <c r="R558" s="11">
        <f>Table5[[#This Row],[Profit]]/Table5[[#This Row],[Revenue]]</f>
        <v>0.3814432989690722</v>
      </c>
    </row>
    <row r="559" spans="1:18" x14ac:dyDescent="0.2">
      <c r="A559" s="5">
        <v>558</v>
      </c>
      <c r="B559" s="5">
        <v>62</v>
      </c>
      <c r="C559" s="7">
        <v>45271</v>
      </c>
      <c r="D559" s="5">
        <v>31</v>
      </c>
      <c r="E559" s="4">
        <v>5</v>
      </c>
      <c r="F559" s="12">
        <f t="shared" si="8"/>
        <v>3285.0430000000001</v>
      </c>
      <c r="G559" t="str">
        <f>VLOOKUP(B559,product_tbl[],2,FALSE)</f>
        <v>Olive Oil 62</v>
      </c>
      <c r="H559" t="str">
        <f>VLOOKUP(B559,product_tbl[],3,FALSE)</f>
        <v>Grocery</v>
      </c>
      <c r="I559">
        <v>2074.7640000000001</v>
      </c>
      <c r="J559">
        <f>VLOOKUP(B559,product_tbl[],5,FALSE)</f>
        <v>3457.94</v>
      </c>
      <c r="K559">
        <f>VLOOKUP(B559,review_tbl[],3,FALSE)</f>
        <v>4</v>
      </c>
      <c r="L559" s="11">
        <v>4137.1465391663296</v>
      </c>
      <c r="M559" s="11">
        <f>AVERAGEIF(Table1[product_id],Master_tbl!B559:B1560,Table1[competitor_price])</f>
        <v>5560.3266666666668</v>
      </c>
      <c r="N559" s="11">
        <f>IFERROR(Table5[[#This Row],[final_sale_price]]*Table5[[#This Row],[quantity_sold ]],0)</f>
        <v>101836.333</v>
      </c>
      <c r="O559" s="11">
        <f>(Table5[[#This Row],[final_sale_price]]-Table5[[#This Row],[cost_price]])*Table5[[#This Row],[quantity_sold ]]</f>
        <v>37518.648999999998</v>
      </c>
      <c r="P559" s="11">
        <f>(Table5[final_sale_price]-Table5[[#This Row],[avg_comp_price]])</f>
        <v>-2275.2836666666667</v>
      </c>
      <c r="Q559" s="15">
        <f>(Table5[[#This Row],[final_sale_price]]-Table5[[#This Row],[avg_comp_price]])/Table5[[#This Row],[avg_comp_price]]</f>
        <v>-0.40919963934972647</v>
      </c>
      <c r="R559" s="11">
        <f>Table5[[#This Row],[Profit]]/Table5[[#This Row],[Revenue]]</f>
        <v>0.36842105263157893</v>
      </c>
    </row>
    <row r="560" spans="1:18" x14ac:dyDescent="0.2">
      <c r="A560" s="4">
        <v>559</v>
      </c>
      <c r="B560" s="4">
        <v>56</v>
      </c>
      <c r="C560" s="6">
        <v>45067</v>
      </c>
      <c r="D560" s="4">
        <v>29</v>
      </c>
      <c r="E560" s="4">
        <v>6</v>
      </c>
      <c r="F560" s="12">
        <f t="shared" si="8"/>
        <v>7502.8919999999998</v>
      </c>
      <c r="G560" t="str">
        <f>VLOOKUP(B560,product_tbl[],2,FALSE)</f>
        <v>Smartwatch 56</v>
      </c>
      <c r="H560" t="str">
        <f>VLOOKUP(B560,product_tbl[],3,FALSE)</f>
        <v>Electronics</v>
      </c>
      <c r="I560">
        <v>4789.08</v>
      </c>
      <c r="J560">
        <f>VLOOKUP(B560,product_tbl[],5,FALSE)</f>
        <v>7981.8</v>
      </c>
      <c r="K560">
        <f>VLOOKUP(B560,review_tbl[],3,FALSE)</f>
        <v>5</v>
      </c>
      <c r="L560" s="11">
        <v>9800.8466102398143</v>
      </c>
      <c r="M560" s="11">
        <f>AVERAGEIF(Table1[product_id],Master_tbl!B560:B1561,Table1[competitor_price])</f>
        <v>3458.9274999999998</v>
      </c>
      <c r="N560" s="11">
        <f>IFERROR(Table5[[#This Row],[final_sale_price]]*Table5[[#This Row],[quantity_sold ]],0)</f>
        <v>217583.86799999999</v>
      </c>
      <c r="O560" s="11">
        <f>(Table5[[#This Row],[final_sale_price]]-Table5[[#This Row],[cost_price]])*Table5[[#This Row],[quantity_sold ]]</f>
        <v>78700.547999999995</v>
      </c>
      <c r="P560" s="11">
        <f>(Table5[final_sale_price]-Table5[[#This Row],[avg_comp_price]])</f>
        <v>4043.9645</v>
      </c>
      <c r="Q560" s="15">
        <f>(Table5[[#This Row],[final_sale_price]]-Table5[[#This Row],[avg_comp_price]])/Table5[[#This Row],[avg_comp_price]]</f>
        <v>1.1691382661243985</v>
      </c>
      <c r="R560" s="11">
        <f>Table5[[#This Row],[Profit]]/Table5[[#This Row],[Revenue]]</f>
        <v>0.36170212765957449</v>
      </c>
    </row>
    <row r="561" spans="1:18" x14ac:dyDescent="0.2">
      <c r="A561" s="5">
        <v>560</v>
      </c>
      <c r="B561" s="5">
        <v>26</v>
      </c>
      <c r="C561" s="7">
        <v>45508</v>
      </c>
      <c r="D561" s="5">
        <v>32</v>
      </c>
      <c r="E561" s="4">
        <v>6</v>
      </c>
      <c r="F561" s="12">
        <f t="shared" si="8"/>
        <v>5298.7047999999995</v>
      </c>
      <c r="G561" t="str">
        <f>VLOOKUP(B561,product_tbl[],2,FALSE)</f>
        <v>Rice Pack 26</v>
      </c>
      <c r="H561" t="str">
        <f>VLOOKUP(B561,product_tbl[],3,FALSE)</f>
        <v>Grocery</v>
      </c>
      <c r="I561">
        <v>3382.152</v>
      </c>
      <c r="J561">
        <f>VLOOKUP(B561,product_tbl[],5,FALSE)</f>
        <v>5636.92</v>
      </c>
      <c r="K561">
        <f>VLOOKUP(B561,review_tbl[],3,FALSE)</f>
        <v>4</v>
      </c>
      <c r="L561" s="11">
        <v>6325.4600098761275</v>
      </c>
      <c r="M561" s="11">
        <f>AVERAGEIF(Table1[product_id],Master_tbl!B561:B1562,Table1[competitor_price])</f>
        <v>3474.7766666666666</v>
      </c>
      <c r="N561" s="11">
        <f>IFERROR(Table5[[#This Row],[final_sale_price]]*Table5[[#This Row],[quantity_sold ]],0)</f>
        <v>169558.55359999998</v>
      </c>
      <c r="O561" s="11">
        <f>(Table5[[#This Row],[final_sale_price]]-Table5[[#This Row],[cost_price]])*Table5[[#This Row],[quantity_sold ]]</f>
        <v>61329.689599999983</v>
      </c>
      <c r="P561" s="11">
        <f>(Table5[final_sale_price]-Table5[[#This Row],[avg_comp_price]])</f>
        <v>1823.9281333333329</v>
      </c>
      <c r="Q561" s="15">
        <f>(Table5[[#This Row],[final_sale_price]]-Table5[[#This Row],[avg_comp_price]])/Table5[[#This Row],[avg_comp_price]]</f>
        <v>0.5249051401864675</v>
      </c>
      <c r="R561" s="11">
        <f>Table5[[#This Row],[Profit]]/Table5[[#This Row],[Revenue]]</f>
        <v>0.36170212765957438</v>
      </c>
    </row>
    <row r="562" spans="1:18" x14ac:dyDescent="0.2">
      <c r="A562" s="4">
        <v>561</v>
      </c>
      <c r="B562" s="4">
        <v>85</v>
      </c>
      <c r="C562" s="6">
        <v>45280</v>
      </c>
      <c r="D562" s="4">
        <v>36</v>
      </c>
      <c r="E562" s="4">
        <v>8</v>
      </c>
      <c r="F562" s="12">
        <f t="shared" si="8"/>
        <v>3452.7876000000001</v>
      </c>
      <c r="G562" t="str">
        <f>VLOOKUP(B562,product_tbl[],2,FALSE)</f>
        <v>Handbag 85</v>
      </c>
      <c r="H562" t="str">
        <f>VLOOKUP(B562,product_tbl[],3,FALSE)</f>
        <v>Fashion</v>
      </c>
      <c r="I562">
        <v>2251.8180000000002</v>
      </c>
      <c r="J562">
        <f>VLOOKUP(B562,product_tbl[],5,FALSE)</f>
        <v>3753.03</v>
      </c>
      <c r="K562">
        <f>VLOOKUP(B562,review_tbl[],3,FALSE)</f>
        <v>1</v>
      </c>
      <c r="L562" s="11">
        <v>4295.4731420520584</v>
      </c>
      <c r="M562" s="11">
        <f>AVERAGEIF(Table1[product_id],Master_tbl!B562:B1563,Table1[competitor_price])</f>
        <v>3340.25</v>
      </c>
      <c r="N562" s="11">
        <f>IFERROR(Table5[[#This Row],[final_sale_price]]*Table5[[#This Row],[quantity_sold ]],0)</f>
        <v>124300.3536</v>
      </c>
      <c r="O562" s="11">
        <f>(Table5[[#This Row],[final_sale_price]]-Table5[[#This Row],[cost_price]])*Table5[[#This Row],[quantity_sold ]]</f>
        <v>43234.905599999998</v>
      </c>
      <c r="P562" s="11">
        <f>(Table5[final_sale_price]-Table5[[#This Row],[avg_comp_price]])</f>
        <v>112.53760000000011</v>
      </c>
      <c r="Q562" s="15">
        <f>(Table5[[#This Row],[final_sale_price]]-Table5[[#This Row],[avg_comp_price]])/Table5[[#This Row],[avg_comp_price]]</f>
        <v>3.369137040640674E-2</v>
      </c>
      <c r="R562" s="11">
        <f>Table5[[#This Row],[Profit]]/Table5[[#This Row],[Revenue]]</f>
        <v>0.34782608695652173</v>
      </c>
    </row>
    <row r="563" spans="1:18" x14ac:dyDescent="0.2">
      <c r="A563" s="5">
        <v>562</v>
      </c>
      <c r="B563" s="5">
        <v>87</v>
      </c>
      <c r="C563" s="7">
        <v>45878</v>
      </c>
      <c r="D563" s="5">
        <v>29</v>
      </c>
      <c r="E563" s="4">
        <v>4</v>
      </c>
      <c r="F563" s="12">
        <f t="shared" si="8"/>
        <v>3930.3552</v>
      </c>
      <c r="G563" t="str">
        <f>VLOOKUP(B563,product_tbl[],2,FALSE)</f>
        <v>Laptop 87</v>
      </c>
      <c r="H563" t="str">
        <f>VLOOKUP(B563,product_tbl[],3,FALSE)</f>
        <v>Electronics</v>
      </c>
      <c r="I563">
        <v>2456.4719999999998</v>
      </c>
      <c r="J563">
        <f>VLOOKUP(B563,product_tbl[],5,FALSE)</f>
        <v>4094.12</v>
      </c>
      <c r="K563">
        <f>VLOOKUP(B563,review_tbl[],3,FALSE)</f>
        <v>2</v>
      </c>
      <c r="L563" s="11">
        <v>5024.7708991089848</v>
      </c>
      <c r="M563" s="11">
        <f>AVERAGEIF(Table1[product_id],Master_tbl!B563:B1564,Table1[competitor_price])</f>
        <v>493.79250000000002</v>
      </c>
      <c r="N563" s="11">
        <f>IFERROR(Table5[[#This Row],[final_sale_price]]*Table5[[#This Row],[quantity_sold ]],0)</f>
        <v>113980.3008</v>
      </c>
      <c r="O563" s="11">
        <f>(Table5[[#This Row],[final_sale_price]]-Table5[[#This Row],[cost_price]])*Table5[[#This Row],[quantity_sold ]]</f>
        <v>42742.612800000003</v>
      </c>
      <c r="P563" s="11">
        <f>(Table5[final_sale_price]-Table5[[#This Row],[avg_comp_price]])</f>
        <v>3436.5626999999999</v>
      </c>
      <c r="Q563" s="15">
        <f>(Table5[[#This Row],[final_sale_price]]-Table5[[#This Row],[avg_comp_price]])/Table5[[#This Row],[avg_comp_price]]</f>
        <v>6.959527939367244</v>
      </c>
      <c r="R563" s="11">
        <f>Table5[[#This Row],[Profit]]/Table5[[#This Row],[Revenue]]</f>
        <v>0.37500000000000006</v>
      </c>
    </row>
    <row r="564" spans="1:18" x14ac:dyDescent="0.2">
      <c r="A564" s="4">
        <v>563</v>
      </c>
      <c r="B564" s="4">
        <v>58</v>
      </c>
      <c r="C564" s="6">
        <v>45080</v>
      </c>
      <c r="D564" s="4">
        <v>46</v>
      </c>
      <c r="E564" s="4">
        <v>7</v>
      </c>
      <c r="F564" s="12">
        <f t="shared" si="8"/>
        <v>1058.8793999999998</v>
      </c>
      <c r="G564" t="str">
        <f>VLOOKUP(B564,product_tbl[],2,FALSE)</f>
        <v>Wheat Flour 58</v>
      </c>
      <c r="H564" t="str">
        <f>VLOOKUP(B564,product_tbl[],3,FALSE)</f>
        <v>Grocery</v>
      </c>
      <c r="I564">
        <v>683.14799999999991</v>
      </c>
      <c r="J564">
        <f>VLOOKUP(B564,product_tbl[],5,FALSE)</f>
        <v>1138.58</v>
      </c>
      <c r="K564">
        <f>VLOOKUP(B564,review_tbl[],3,FALSE)</f>
        <v>2</v>
      </c>
      <c r="L564" s="11">
        <v>1210.4016659758163</v>
      </c>
      <c r="M564" s="11">
        <f>AVERAGEIF(Table1[product_id],Master_tbl!B564:B1565,Table1[competitor_price])</f>
        <v>1439.8525</v>
      </c>
      <c r="N564" s="11">
        <f>IFERROR(Table5[[#This Row],[final_sale_price]]*Table5[[#This Row],[quantity_sold ]],0)</f>
        <v>48708.452399999995</v>
      </c>
      <c r="O564" s="11">
        <f>(Table5[[#This Row],[final_sale_price]]-Table5[[#This Row],[cost_price]])*Table5[[#This Row],[quantity_sold ]]</f>
        <v>17283.644399999994</v>
      </c>
      <c r="P564" s="11">
        <f>(Table5[final_sale_price]-Table5[[#This Row],[avg_comp_price]])</f>
        <v>-380.97310000000016</v>
      </c>
      <c r="Q564" s="15">
        <f>(Table5[[#This Row],[final_sale_price]]-Table5[[#This Row],[avg_comp_price]])/Table5[[#This Row],[avg_comp_price]]</f>
        <v>-0.26459175505824395</v>
      </c>
      <c r="R564" s="11">
        <f>Table5[[#This Row],[Profit]]/Table5[[#This Row],[Revenue]]</f>
        <v>0.35483870967741926</v>
      </c>
    </row>
    <row r="565" spans="1:18" x14ac:dyDescent="0.2">
      <c r="A565" s="5">
        <v>564</v>
      </c>
      <c r="B565" s="5">
        <v>42</v>
      </c>
      <c r="C565" s="7">
        <v>44942</v>
      </c>
      <c r="D565" s="5">
        <v>1</v>
      </c>
      <c r="E565" s="4">
        <v>3</v>
      </c>
      <c r="F565" s="12">
        <f t="shared" si="8"/>
        <v>414.77199999999999</v>
      </c>
      <c r="G565" t="str">
        <f>VLOOKUP(B565,product_tbl[],2,FALSE)</f>
        <v>Action Figure 42</v>
      </c>
      <c r="H565" t="str">
        <f>VLOOKUP(B565,product_tbl[],3,FALSE)</f>
        <v>Toys</v>
      </c>
      <c r="I565">
        <v>256.56</v>
      </c>
      <c r="J565">
        <f>VLOOKUP(B565,product_tbl[],5,FALSE)</f>
        <v>427.6</v>
      </c>
      <c r="K565">
        <f>VLOOKUP(B565,review_tbl[],3,FALSE)</f>
        <v>2</v>
      </c>
      <c r="L565" s="11">
        <v>451.44925497845514</v>
      </c>
      <c r="M565" s="11">
        <f>AVERAGEIF(Table1[product_id],Master_tbl!B565:B1566,Table1[competitor_price])</f>
        <v>513.45666666666671</v>
      </c>
      <c r="N565" s="11">
        <f>IFERROR(Table5[[#This Row],[final_sale_price]]*Table5[[#This Row],[quantity_sold ]],0)</f>
        <v>414.77199999999999</v>
      </c>
      <c r="O565" s="11">
        <f>(Table5[[#This Row],[final_sale_price]]-Table5[[#This Row],[cost_price]])*Table5[[#This Row],[quantity_sold ]]</f>
        <v>158.21199999999999</v>
      </c>
      <c r="P565" s="11">
        <f>(Table5[final_sale_price]-Table5[[#This Row],[avg_comp_price]])</f>
        <v>-98.684666666666715</v>
      </c>
      <c r="Q565" s="15">
        <f>(Table5[[#This Row],[final_sale_price]]-Table5[[#This Row],[avg_comp_price]])/Table5[[#This Row],[avg_comp_price]]</f>
        <v>-0.1921966800184372</v>
      </c>
      <c r="R565" s="11">
        <f>Table5[[#This Row],[Profit]]/Table5[[#This Row],[Revenue]]</f>
        <v>0.38144329896907214</v>
      </c>
    </row>
    <row r="566" spans="1:18" x14ac:dyDescent="0.2">
      <c r="A566" s="4">
        <v>565</v>
      </c>
      <c r="B566" s="4">
        <v>89</v>
      </c>
      <c r="C566" s="6">
        <v>45834</v>
      </c>
      <c r="D566" s="4">
        <v>41</v>
      </c>
      <c r="E566" s="4">
        <v>10</v>
      </c>
      <c r="F566" s="12">
        <f t="shared" si="8"/>
        <v>907.53300000000002</v>
      </c>
      <c r="G566" t="str">
        <f>VLOOKUP(B566,product_tbl[],2,FALSE)</f>
        <v>Remote Car 89</v>
      </c>
      <c r="H566" t="str">
        <f>VLOOKUP(B566,product_tbl[],3,FALSE)</f>
        <v>Toys</v>
      </c>
      <c r="I566">
        <v>605.02199999999993</v>
      </c>
      <c r="J566">
        <f>VLOOKUP(B566,product_tbl[],5,FALSE)</f>
        <v>1008.37</v>
      </c>
      <c r="K566">
        <f>VLOOKUP(B566,review_tbl[],3,FALSE)</f>
        <v>4</v>
      </c>
      <c r="L566" s="11">
        <v>1104.0543261799555</v>
      </c>
      <c r="M566" s="11">
        <f>AVERAGEIF(Table1[product_id],Master_tbl!B566:B1567,Table1[competitor_price])</f>
        <v>913.02</v>
      </c>
      <c r="N566" s="11">
        <f>IFERROR(Table5[[#This Row],[final_sale_price]]*Table5[[#This Row],[quantity_sold ]],0)</f>
        <v>37208.853000000003</v>
      </c>
      <c r="O566" s="11">
        <f>(Table5[[#This Row],[final_sale_price]]-Table5[[#This Row],[cost_price]])*Table5[[#This Row],[quantity_sold ]]</f>
        <v>12402.951000000003</v>
      </c>
      <c r="P566" s="11">
        <f>(Table5[final_sale_price]-Table5[[#This Row],[avg_comp_price]])</f>
        <v>-5.4869999999999663</v>
      </c>
      <c r="Q566" s="15">
        <f>(Table5[[#This Row],[final_sale_price]]-Table5[[#This Row],[avg_comp_price]])/Table5[[#This Row],[avg_comp_price]]</f>
        <v>-6.0097259643819047E-3</v>
      </c>
      <c r="R566" s="11">
        <f>Table5[[#This Row],[Profit]]/Table5[[#This Row],[Revenue]]</f>
        <v>0.33333333333333337</v>
      </c>
    </row>
    <row r="567" spans="1:18" x14ac:dyDescent="0.2">
      <c r="A567" s="5">
        <v>566</v>
      </c>
      <c r="B567" s="5">
        <v>53</v>
      </c>
      <c r="C567" s="7">
        <v>45316</v>
      </c>
      <c r="D567" s="5">
        <v>49</v>
      </c>
      <c r="E567" s="4">
        <v>8</v>
      </c>
      <c r="F567" s="12">
        <f t="shared" si="8"/>
        <v>3187.2572</v>
      </c>
      <c r="G567" t="str">
        <f>VLOOKUP(B567,product_tbl[],2,FALSE)</f>
        <v>Cookbook 53</v>
      </c>
      <c r="H567" t="str">
        <f>VLOOKUP(B567,product_tbl[],3,FALSE)</f>
        <v>Books</v>
      </c>
      <c r="I567">
        <v>2078.6459999999997</v>
      </c>
      <c r="J567">
        <f>VLOOKUP(B567,product_tbl[],5,FALSE)</f>
        <v>3464.41</v>
      </c>
      <c r="K567">
        <f>VLOOKUP(B567,review_tbl[],3,FALSE)</f>
        <v>4</v>
      </c>
      <c r="L567" s="11">
        <v>4365.8942436632442</v>
      </c>
      <c r="M567" s="11">
        <f>AVERAGEIF(Table1[product_id],Master_tbl!B567:B1568,Table1[competitor_price])</f>
        <v>954.33000000000015</v>
      </c>
      <c r="N567" s="11">
        <f>IFERROR(Table5[[#This Row],[final_sale_price]]*Table5[[#This Row],[quantity_sold ]],0)</f>
        <v>156175.60279999999</v>
      </c>
      <c r="O567" s="11">
        <f>(Table5[[#This Row],[final_sale_price]]-Table5[[#This Row],[cost_price]])*Table5[[#This Row],[quantity_sold ]]</f>
        <v>54321.948800000013</v>
      </c>
      <c r="P567" s="11">
        <f>(Table5[final_sale_price]-Table5[[#This Row],[avg_comp_price]])</f>
        <v>2232.9272000000001</v>
      </c>
      <c r="Q567" s="15">
        <f>(Table5[[#This Row],[final_sale_price]]-Table5[[#This Row],[avg_comp_price]])/Table5[[#This Row],[avg_comp_price]]</f>
        <v>2.3397851896094641</v>
      </c>
      <c r="R567" s="11">
        <f>Table5[[#This Row],[Profit]]/Table5[[#This Row],[Revenue]]</f>
        <v>0.34782608695652184</v>
      </c>
    </row>
    <row r="568" spans="1:18" x14ac:dyDescent="0.2">
      <c r="A568" s="4">
        <v>567</v>
      </c>
      <c r="B568" s="4">
        <v>2</v>
      </c>
      <c r="C568" s="6">
        <v>45046</v>
      </c>
      <c r="D568" s="4">
        <v>35</v>
      </c>
      <c r="E568" s="4">
        <v>9</v>
      </c>
      <c r="F568" s="12">
        <f t="shared" si="8"/>
        <v>4026.5497999999998</v>
      </c>
      <c r="G568" t="str">
        <f>VLOOKUP(B568,product_tbl[],2,FALSE)</f>
        <v>Air Conditioner 2</v>
      </c>
      <c r="H568" t="str">
        <f>VLOOKUP(B568,product_tbl[],3,FALSE)</f>
        <v>Home Appliances</v>
      </c>
      <c r="I568">
        <v>2654.8679999999999</v>
      </c>
      <c r="J568">
        <f>VLOOKUP(B568,product_tbl[],5,FALSE)</f>
        <v>4424.78</v>
      </c>
      <c r="K568">
        <f>VLOOKUP(B568,review_tbl[],3,FALSE)</f>
        <v>4</v>
      </c>
      <c r="L568" s="11">
        <v>5428.9979693383857</v>
      </c>
      <c r="M568" s="11">
        <f>AVERAGEIF(Table1[product_id],Master_tbl!B568:B1569,Table1[competitor_price])</f>
        <v>1807.3</v>
      </c>
      <c r="N568" s="11">
        <f>IFERROR(Table5[[#This Row],[final_sale_price]]*Table5[[#This Row],[quantity_sold ]],0)</f>
        <v>140929.24299999999</v>
      </c>
      <c r="O568" s="11">
        <f>(Table5[[#This Row],[final_sale_price]]-Table5[[#This Row],[cost_price]])*Table5[[#This Row],[quantity_sold ]]</f>
        <v>48008.862999999998</v>
      </c>
      <c r="P568" s="11">
        <f>(Table5[final_sale_price]-Table5[[#This Row],[avg_comp_price]])</f>
        <v>2219.2497999999996</v>
      </c>
      <c r="Q568" s="15">
        <f>(Table5[[#This Row],[final_sale_price]]-Table5[[#This Row],[avg_comp_price]])/Table5[[#This Row],[avg_comp_price]]</f>
        <v>1.2279365904941071</v>
      </c>
      <c r="R568" s="11">
        <f>Table5[[#This Row],[Profit]]/Table5[[#This Row],[Revenue]]</f>
        <v>0.34065934065934067</v>
      </c>
    </row>
    <row r="569" spans="1:18" x14ac:dyDescent="0.2">
      <c r="A569" s="5">
        <v>568</v>
      </c>
      <c r="B569" s="5">
        <v>36</v>
      </c>
      <c r="C569" s="7">
        <v>45703</v>
      </c>
      <c r="D569" s="5">
        <v>40</v>
      </c>
      <c r="E569" s="4">
        <v>5</v>
      </c>
      <c r="F569" s="12">
        <f t="shared" si="8"/>
        <v>140.03</v>
      </c>
      <c r="G569" t="str">
        <f>VLOOKUP(B569,product_tbl[],2,FALSE)</f>
        <v>Refrigerator 36</v>
      </c>
      <c r="H569" t="str">
        <f>VLOOKUP(B569,product_tbl[],3,FALSE)</f>
        <v>Home Appliances</v>
      </c>
      <c r="I569">
        <v>88.44</v>
      </c>
      <c r="J569">
        <f>VLOOKUP(B569,product_tbl[],5,FALSE)</f>
        <v>147.4</v>
      </c>
      <c r="K569">
        <f>VLOOKUP(B569,review_tbl[],3,FALSE)</f>
        <v>3</v>
      </c>
      <c r="L569" s="11">
        <v>173.0638044826058</v>
      </c>
      <c r="M569" s="11">
        <f>AVERAGEIF(Table1[product_id],Master_tbl!B569:B1570,Table1[competitor_price])</f>
        <v>2726.4116666666664</v>
      </c>
      <c r="N569" s="11">
        <f>IFERROR(Table5[[#This Row],[final_sale_price]]*Table5[[#This Row],[quantity_sold ]],0)</f>
        <v>5601.2</v>
      </c>
      <c r="O569" s="11">
        <f>(Table5[[#This Row],[final_sale_price]]-Table5[[#This Row],[cost_price]])*Table5[[#This Row],[quantity_sold ]]</f>
        <v>2063.6000000000004</v>
      </c>
      <c r="P569" s="11">
        <f>(Table5[final_sale_price]-Table5[[#This Row],[avg_comp_price]])</f>
        <v>-2586.3816666666662</v>
      </c>
      <c r="Q569" s="15">
        <f>(Table5[[#This Row],[final_sale_price]]-Table5[[#This Row],[avg_comp_price]])/Table5[[#This Row],[avg_comp_price]]</f>
        <v>-0.9486394510000018</v>
      </c>
      <c r="R569" s="11">
        <f>Table5[[#This Row],[Profit]]/Table5[[#This Row],[Revenue]]</f>
        <v>0.36842105263157904</v>
      </c>
    </row>
    <row r="570" spans="1:18" x14ac:dyDescent="0.2">
      <c r="A570" s="4">
        <v>569</v>
      </c>
      <c r="B570" s="4">
        <v>133</v>
      </c>
      <c r="C570" s="6">
        <v>45114</v>
      </c>
      <c r="D570" s="4">
        <v>13</v>
      </c>
      <c r="E570" s="4">
        <v>8</v>
      </c>
      <c r="F570" s="12">
        <f t="shared" si="8"/>
        <v>6076.5079999999998</v>
      </c>
      <c r="G570" t="str">
        <f>VLOOKUP(B570,product_tbl[],2,FALSE)</f>
        <v>Puzzle Set 133</v>
      </c>
      <c r="H570" t="str">
        <f>VLOOKUP(B570,product_tbl[],3,FALSE)</f>
        <v>Toys</v>
      </c>
      <c r="I570">
        <v>3962.9399999999996</v>
      </c>
      <c r="J570">
        <f>VLOOKUP(B570,product_tbl[],5,FALSE)</f>
        <v>6604.9</v>
      </c>
      <c r="K570">
        <f>VLOOKUP(B570,review_tbl[],3,FALSE)</f>
        <v>4</v>
      </c>
      <c r="L570" s="11">
        <v>7252.1719004369088</v>
      </c>
      <c r="M570" s="11">
        <f>AVERAGEIF(Table1[product_id],Master_tbl!B570:B1571,Table1[competitor_price])</f>
        <v>4666.1933333333336</v>
      </c>
      <c r="N570" s="11">
        <f>IFERROR(Table5[[#This Row],[final_sale_price]]*Table5[[#This Row],[quantity_sold ]],0)</f>
        <v>78994.603999999992</v>
      </c>
      <c r="O570" s="11">
        <f>(Table5[[#This Row],[final_sale_price]]-Table5[[#This Row],[cost_price]])*Table5[[#This Row],[quantity_sold ]]</f>
        <v>27476.384000000002</v>
      </c>
      <c r="P570" s="11">
        <f>(Table5[final_sale_price]-Table5[[#This Row],[avg_comp_price]])</f>
        <v>1410.3146666666662</v>
      </c>
      <c r="Q570" s="15">
        <f>(Table5[[#This Row],[final_sale_price]]-Table5[[#This Row],[avg_comp_price]])/Table5[[#This Row],[avg_comp_price]]</f>
        <v>0.30224094158121739</v>
      </c>
      <c r="R570" s="11">
        <f>Table5[[#This Row],[Profit]]/Table5[[#This Row],[Revenue]]</f>
        <v>0.34782608695652178</v>
      </c>
    </row>
    <row r="571" spans="1:18" x14ac:dyDescent="0.2">
      <c r="A571" s="5">
        <v>570</v>
      </c>
      <c r="B571" s="5">
        <v>69</v>
      </c>
      <c r="C571" s="7">
        <v>45961</v>
      </c>
      <c r="D571" s="5">
        <v>37</v>
      </c>
      <c r="E571" s="4">
        <v>2</v>
      </c>
      <c r="F571" s="12">
        <f t="shared" si="8"/>
        <v>7309.5259999999998</v>
      </c>
      <c r="G571" t="str">
        <f>VLOOKUP(B571,product_tbl[],2,FALSE)</f>
        <v>Doll 69</v>
      </c>
      <c r="H571" t="str">
        <f>VLOOKUP(B571,product_tbl[],3,FALSE)</f>
        <v>Toys</v>
      </c>
      <c r="I571">
        <v>4475.2199999999993</v>
      </c>
      <c r="J571">
        <f>VLOOKUP(B571,product_tbl[],5,FALSE)</f>
        <v>7458.7</v>
      </c>
      <c r="K571">
        <f>VLOOKUP(B571,review_tbl[],3,FALSE)</f>
        <v>3</v>
      </c>
      <c r="L571" s="11">
        <v>9120.192515018025</v>
      </c>
      <c r="M571" s="11">
        <f>AVERAGEIF(Table1[product_id],Master_tbl!B571:B1572,Table1[competitor_price])</f>
        <v>809.57599999999991</v>
      </c>
      <c r="N571" s="11">
        <f>IFERROR(Table5[[#This Row],[final_sale_price]]*Table5[[#This Row],[quantity_sold ]],0)</f>
        <v>270452.462</v>
      </c>
      <c r="O571" s="11">
        <f>(Table5[[#This Row],[final_sale_price]]-Table5[[#This Row],[cost_price]])*Table5[[#This Row],[quantity_sold ]]</f>
        <v>104869.32200000001</v>
      </c>
      <c r="P571" s="11">
        <f>(Table5[final_sale_price]-Table5[[#This Row],[avg_comp_price]])</f>
        <v>6499.95</v>
      </c>
      <c r="Q571" s="15">
        <f>(Table5[[#This Row],[final_sale_price]]-Table5[[#This Row],[avg_comp_price]])/Table5[[#This Row],[avg_comp_price]]</f>
        <v>8.028832376453849</v>
      </c>
      <c r="R571" s="11">
        <f>Table5[[#This Row],[Profit]]/Table5[[#This Row],[Revenue]]</f>
        <v>0.38775510204081637</v>
      </c>
    </row>
    <row r="572" spans="1:18" x14ac:dyDescent="0.2">
      <c r="A572" s="4">
        <v>571</v>
      </c>
      <c r="B572" s="4">
        <v>79</v>
      </c>
      <c r="C572" s="6">
        <v>45587</v>
      </c>
      <c r="D572" s="4">
        <v>44</v>
      </c>
      <c r="E572" s="4">
        <v>4</v>
      </c>
      <c r="F572" s="12">
        <f t="shared" si="8"/>
        <v>2119.6127999999999</v>
      </c>
      <c r="G572" t="str">
        <f>VLOOKUP(B572,product_tbl[],2,FALSE)</f>
        <v>Biography 79</v>
      </c>
      <c r="H572" t="str">
        <f>VLOOKUP(B572,product_tbl[],3,FALSE)</f>
        <v>Books</v>
      </c>
      <c r="I572">
        <v>1324.7579999999998</v>
      </c>
      <c r="J572">
        <f>VLOOKUP(B572,product_tbl[],5,FALSE)</f>
        <v>2207.9299999999998</v>
      </c>
      <c r="K572">
        <f>VLOOKUP(B572,review_tbl[],3,FALSE)</f>
        <v>1</v>
      </c>
      <c r="L572" s="11">
        <v>2793.577907581996</v>
      </c>
      <c r="M572" s="11">
        <f>AVERAGEIF(Table1[product_id],Master_tbl!B572:B1573,Table1[competitor_price])</f>
        <v>197.005</v>
      </c>
      <c r="N572" s="11">
        <f>IFERROR(Table5[[#This Row],[final_sale_price]]*Table5[[#This Row],[quantity_sold ]],0)</f>
        <v>93262.963199999998</v>
      </c>
      <c r="O572" s="11">
        <f>(Table5[[#This Row],[final_sale_price]]-Table5[[#This Row],[cost_price]])*Table5[[#This Row],[quantity_sold ]]</f>
        <v>34973.611199999999</v>
      </c>
      <c r="P572" s="11">
        <f>(Table5[final_sale_price]-Table5[[#This Row],[avg_comp_price]])</f>
        <v>1922.6077999999998</v>
      </c>
      <c r="Q572" s="15">
        <f>(Table5[[#This Row],[final_sale_price]]-Table5[[#This Row],[avg_comp_price]])/Table5[[#This Row],[avg_comp_price]]</f>
        <v>9.7591827618588347</v>
      </c>
      <c r="R572" s="11">
        <f>Table5[[#This Row],[Profit]]/Table5[[#This Row],[Revenue]]</f>
        <v>0.375</v>
      </c>
    </row>
    <row r="573" spans="1:18" x14ac:dyDescent="0.2">
      <c r="A573" s="5">
        <v>572</v>
      </c>
      <c r="B573" s="5">
        <v>116</v>
      </c>
      <c r="C573" s="7">
        <v>44927</v>
      </c>
      <c r="D573" s="5">
        <v>1</v>
      </c>
      <c r="E573" s="4">
        <v>7</v>
      </c>
      <c r="F573" s="12">
        <f t="shared" si="8"/>
        <v>2197.7294999999999</v>
      </c>
      <c r="G573" t="str">
        <f>VLOOKUP(B573,product_tbl[],2,FALSE)</f>
        <v>Building Blocks 116</v>
      </c>
      <c r="H573" t="str">
        <f>VLOOKUP(B573,product_tbl[],3,FALSE)</f>
        <v>Toys</v>
      </c>
      <c r="I573">
        <v>1417.89</v>
      </c>
      <c r="J573">
        <f>VLOOKUP(B573,product_tbl[],5,FALSE)</f>
        <v>2363.15</v>
      </c>
      <c r="K573">
        <f>VLOOKUP(B573,review_tbl[],3,FALSE)</f>
        <v>5</v>
      </c>
      <c r="L573" s="11">
        <v>2515.7158855875973</v>
      </c>
      <c r="M573" s="11">
        <f>AVERAGEIF(Table1[product_id],Master_tbl!B573:B1574,Table1[competitor_price])</f>
        <v>4469.4999999999991</v>
      </c>
      <c r="N573" s="11">
        <f>IFERROR(Table5[[#This Row],[final_sale_price]]*Table5[[#This Row],[quantity_sold ]],0)</f>
        <v>2197.7294999999999</v>
      </c>
      <c r="O573" s="11">
        <f>(Table5[[#This Row],[final_sale_price]]-Table5[[#This Row],[cost_price]])*Table5[[#This Row],[quantity_sold ]]</f>
        <v>779.83949999999982</v>
      </c>
      <c r="P573" s="11">
        <f>(Table5[final_sale_price]-Table5[[#This Row],[avg_comp_price]])</f>
        <v>-2271.7704999999992</v>
      </c>
      <c r="Q573" s="15">
        <f>(Table5[[#This Row],[final_sale_price]]-Table5[[#This Row],[avg_comp_price]])/Table5[[#This Row],[avg_comp_price]]</f>
        <v>-0.50828291755229882</v>
      </c>
      <c r="R573" s="11">
        <f>Table5[[#This Row],[Profit]]/Table5[[#This Row],[Revenue]]</f>
        <v>0.35483870967741926</v>
      </c>
    </row>
    <row r="574" spans="1:18" x14ac:dyDescent="0.2">
      <c r="A574" s="4">
        <v>573</v>
      </c>
      <c r="B574" s="4">
        <v>141</v>
      </c>
      <c r="C574" s="6">
        <v>45459</v>
      </c>
      <c r="D574" s="4">
        <v>10</v>
      </c>
      <c r="E574" s="4">
        <v>3</v>
      </c>
      <c r="F574" s="12">
        <f t="shared" si="8"/>
        <v>7629.2342999999992</v>
      </c>
      <c r="G574" t="str">
        <f>VLOOKUP(B574,product_tbl[],2,FALSE)</f>
        <v>Puzzle Set 141</v>
      </c>
      <c r="H574" t="str">
        <f>VLOOKUP(B574,product_tbl[],3,FALSE)</f>
        <v>Toys</v>
      </c>
      <c r="I574">
        <v>4719.1139999999996</v>
      </c>
      <c r="J574">
        <f>VLOOKUP(B574,product_tbl[],5,FALSE)</f>
        <v>7865.19</v>
      </c>
      <c r="K574">
        <f>VLOOKUP(B574,review_tbl[],3,FALSE)</f>
        <v>5</v>
      </c>
      <c r="L574" s="11">
        <v>9972.5913841888578</v>
      </c>
      <c r="M574" s="11">
        <f>AVERAGEIF(Table1[product_id],Master_tbl!B574:B1575,Table1[competitor_price])</f>
        <v>7586.8133333333344</v>
      </c>
      <c r="N574" s="11">
        <f>IFERROR(Table5[[#This Row],[final_sale_price]]*Table5[[#This Row],[quantity_sold ]],0)</f>
        <v>76292.342999999993</v>
      </c>
      <c r="O574" s="11">
        <f>(Table5[[#This Row],[final_sale_price]]-Table5[[#This Row],[cost_price]])*Table5[[#This Row],[quantity_sold ]]</f>
        <v>29101.202999999994</v>
      </c>
      <c r="P574" s="11">
        <f>(Table5[final_sale_price]-Table5[[#This Row],[avg_comp_price]])</f>
        <v>42.420966666664754</v>
      </c>
      <c r="Q574" s="15">
        <f>(Table5[[#This Row],[final_sale_price]]-Table5[[#This Row],[avg_comp_price]])/Table5[[#This Row],[avg_comp_price]]</f>
        <v>5.5914077232247818E-3</v>
      </c>
      <c r="R574" s="11">
        <f>Table5[[#This Row],[Profit]]/Table5[[#This Row],[Revenue]]</f>
        <v>0.38144329896907214</v>
      </c>
    </row>
    <row r="575" spans="1:18" x14ac:dyDescent="0.2">
      <c r="A575" s="5">
        <v>574</v>
      </c>
      <c r="B575" s="5">
        <v>99</v>
      </c>
      <c r="C575" s="7">
        <v>45198</v>
      </c>
      <c r="D575" s="5">
        <v>18</v>
      </c>
      <c r="E575" s="4">
        <v>6</v>
      </c>
      <c r="F575" s="12">
        <f t="shared" si="8"/>
        <v>1921.3411999999998</v>
      </c>
      <c r="G575" t="str">
        <f>VLOOKUP(B575,product_tbl[],2,FALSE)</f>
        <v>Sneakers 99</v>
      </c>
      <c r="H575" t="str">
        <f>VLOOKUP(B575,product_tbl[],3,FALSE)</f>
        <v>Fashion</v>
      </c>
      <c r="I575">
        <v>1226.3879999999999</v>
      </c>
      <c r="J575">
        <f>VLOOKUP(B575,product_tbl[],5,FALSE)</f>
        <v>2043.98</v>
      </c>
      <c r="K575">
        <f>VLOOKUP(B575,review_tbl[],3,FALSE)</f>
        <v>2</v>
      </c>
      <c r="L575" s="11">
        <v>2546.8294644164421</v>
      </c>
      <c r="M575" s="11">
        <f>AVERAGEIF(Table1[product_id],Master_tbl!B575:B1576,Table1[competitor_price])</f>
        <v>958.76666666666654</v>
      </c>
      <c r="N575" s="11">
        <f>IFERROR(Table5[[#This Row],[final_sale_price]]*Table5[[#This Row],[quantity_sold ]],0)</f>
        <v>34584.141599999995</v>
      </c>
      <c r="O575" s="11">
        <f>(Table5[[#This Row],[final_sale_price]]-Table5[[#This Row],[cost_price]])*Table5[[#This Row],[quantity_sold ]]</f>
        <v>12509.157599999999</v>
      </c>
      <c r="P575" s="11">
        <f>(Table5[final_sale_price]-Table5[[#This Row],[avg_comp_price]])</f>
        <v>962.57453333333331</v>
      </c>
      <c r="Q575" s="15">
        <f>(Table5[[#This Row],[final_sale_price]]-Table5[[#This Row],[avg_comp_price]])/Table5[[#This Row],[avg_comp_price]]</f>
        <v>1.0039716302193791</v>
      </c>
      <c r="R575" s="11">
        <f>Table5[[#This Row],[Profit]]/Table5[[#This Row],[Revenue]]</f>
        <v>0.36170212765957449</v>
      </c>
    </row>
    <row r="576" spans="1:18" x14ac:dyDescent="0.2">
      <c r="A576" s="4">
        <v>575</v>
      </c>
      <c r="B576" s="4">
        <v>67</v>
      </c>
      <c r="C576" s="6">
        <v>45668</v>
      </c>
      <c r="D576" s="4">
        <v>9</v>
      </c>
      <c r="E576" s="4">
        <v>4</v>
      </c>
      <c r="F576" s="12">
        <f t="shared" si="8"/>
        <v>1104.6815999999999</v>
      </c>
      <c r="G576" t="str">
        <f>VLOOKUP(B576,product_tbl[],2,FALSE)</f>
        <v>Perfume 67</v>
      </c>
      <c r="H576" t="str">
        <f>VLOOKUP(B576,product_tbl[],3,FALSE)</f>
        <v>Beauty</v>
      </c>
      <c r="I576">
        <v>690.42600000000004</v>
      </c>
      <c r="J576">
        <f>VLOOKUP(B576,product_tbl[],5,FALSE)</f>
        <v>1150.71</v>
      </c>
      <c r="K576">
        <f>VLOOKUP(B576,review_tbl[],3,FALSE)</f>
        <v>4</v>
      </c>
      <c r="L576" s="11">
        <v>1485.0784000003778</v>
      </c>
      <c r="M576" s="11">
        <f>AVERAGEIF(Table1[product_id],Master_tbl!B576:B1577,Table1[competitor_price])</f>
        <v>7069.7</v>
      </c>
      <c r="N576" s="11">
        <f>IFERROR(Table5[[#This Row],[final_sale_price]]*Table5[[#This Row],[quantity_sold ]],0)</f>
        <v>9942.134399999999</v>
      </c>
      <c r="O576" s="11">
        <f>(Table5[[#This Row],[final_sale_price]]-Table5[[#This Row],[cost_price]])*Table5[[#This Row],[quantity_sold ]]</f>
        <v>3728.3003999999987</v>
      </c>
      <c r="P576" s="11">
        <f>(Table5[final_sale_price]-Table5[[#This Row],[avg_comp_price]])</f>
        <v>-5965.0183999999999</v>
      </c>
      <c r="Q576" s="15">
        <f>(Table5[[#This Row],[final_sale_price]]-Table5[[#This Row],[avg_comp_price]])/Table5[[#This Row],[avg_comp_price]]</f>
        <v>-0.84374420413878948</v>
      </c>
      <c r="R576" s="11">
        <f>Table5[[#This Row],[Profit]]/Table5[[#This Row],[Revenue]]</f>
        <v>0.37499999999999989</v>
      </c>
    </row>
    <row r="577" spans="1:18" x14ac:dyDescent="0.2">
      <c r="A577" s="5">
        <v>576</v>
      </c>
      <c r="B577" s="5">
        <v>35</v>
      </c>
      <c r="C577" s="7">
        <v>45800</v>
      </c>
      <c r="D577" s="5">
        <v>40</v>
      </c>
      <c r="E577" s="4">
        <v>8</v>
      </c>
      <c r="F577" s="12">
        <f t="shared" si="8"/>
        <v>124.37480000000001</v>
      </c>
      <c r="G577" t="str">
        <f>VLOOKUP(B577,product_tbl[],2,FALSE)</f>
        <v>Sneakers 35</v>
      </c>
      <c r="H577" t="str">
        <f>VLOOKUP(B577,product_tbl[],3,FALSE)</f>
        <v>Fashion</v>
      </c>
      <c r="I577">
        <v>81.11399999999999</v>
      </c>
      <c r="J577">
        <f>VLOOKUP(B577,product_tbl[],5,FALSE)</f>
        <v>135.19</v>
      </c>
      <c r="K577">
        <f>VLOOKUP(B577,review_tbl[],3,FALSE)</f>
        <v>3</v>
      </c>
      <c r="L577" s="11">
        <v>144.88120695496227</v>
      </c>
      <c r="M577" s="11">
        <f>AVERAGEIF(Table1[product_id],Master_tbl!B577:B1578,Table1[competitor_price])</f>
        <v>2089.5899999999997</v>
      </c>
      <c r="N577" s="11">
        <f>IFERROR(Table5[[#This Row],[final_sale_price]]*Table5[[#This Row],[quantity_sold ]],0)</f>
        <v>4974.9920000000002</v>
      </c>
      <c r="O577" s="11">
        <f>(Table5[[#This Row],[final_sale_price]]-Table5[[#This Row],[cost_price]])*Table5[[#This Row],[quantity_sold ]]</f>
        <v>1730.4320000000007</v>
      </c>
      <c r="P577" s="11">
        <f>(Table5[final_sale_price]-Table5[[#This Row],[avg_comp_price]])</f>
        <v>-1965.2151999999996</v>
      </c>
      <c r="Q577" s="15">
        <f>(Table5[[#This Row],[final_sale_price]]-Table5[[#This Row],[avg_comp_price]])/Table5[[#This Row],[avg_comp_price]]</f>
        <v>-0.94047884991792641</v>
      </c>
      <c r="R577" s="11">
        <f>Table5[[#This Row],[Profit]]/Table5[[#This Row],[Revenue]]</f>
        <v>0.34782608695652184</v>
      </c>
    </row>
    <row r="578" spans="1:18" x14ac:dyDescent="0.2">
      <c r="A578" s="4">
        <v>577</v>
      </c>
      <c r="B578" s="4">
        <v>19</v>
      </c>
      <c r="C578" s="6">
        <v>45112</v>
      </c>
      <c r="D578" s="4">
        <v>45</v>
      </c>
      <c r="E578" s="4">
        <v>5</v>
      </c>
      <c r="F578" s="12">
        <f t="shared" ref="F578:F641" si="9">J578*(1-E578/100)</f>
        <v>3240.2884999999997</v>
      </c>
      <c r="G578" t="str">
        <f>VLOOKUP(B578,product_tbl[],2,FALSE)</f>
        <v>Air Conditioner 19</v>
      </c>
      <c r="H578" t="str">
        <f>VLOOKUP(B578,product_tbl[],3,FALSE)</f>
        <v>Home Appliances</v>
      </c>
      <c r="I578">
        <v>2046.4979999999998</v>
      </c>
      <c r="J578">
        <f>VLOOKUP(B578,product_tbl[],5,FALSE)</f>
        <v>3410.83</v>
      </c>
      <c r="K578">
        <f>VLOOKUP(B578,review_tbl[],3,FALSE)</f>
        <v>2</v>
      </c>
      <c r="L578" s="11">
        <v>3435.0496129177063</v>
      </c>
      <c r="M578" s="11">
        <f>AVERAGEIF(Table1[product_id],Master_tbl!B578:B1579,Table1[competitor_price])</f>
        <v>1213.8383333333334</v>
      </c>
      <c r="N578" s="11">
        <f>IFERROR(Table5[[#This Row],[final_sale_price]]*Table5[[#This Row],[quantity_sold ]],0)</f>
        <v>145812.98249999998</v>
      </c>
      <c r="O578" s="11">
        <f>(Table5[[#This Row],[final_sale_price]]-Table5[[#This Row],[cost_price]])*Table5[[#This Row],[quantity_sold ]]</f>
        <v>53720.572499999995</v>
      </c>
      <c r="P578" s="11">
        <f>(Table5[final_sale_price]-Table5[[#This Row],[avg_comp_price]])</f>
        <v>2026.4501666666663</v>
      </c>
      <c r="Q578" s="15">
        <f>(Table5[[#This Row],[final_sale_price]]-Table5[[#This Row],[avg_comp_price]])/Table5[[#This Row],[avg_comp_price]]</f>
        <v>1.6694563938360816</v>
      </c>
      <c r="R578" s="11">
        <f>Table5[[#This Row],[Profit]]/Table5[[#This Row],[Revenue]]</f>
        <v>0.36842105263157893</v>
      </c>
    </row>
    <row r="579" spans="1:18" x14ac:dyDescent="0.2">
      <c r="A579" s="5">
        <v>578</v>
      </c>
      <c r="B579" s="5">
        <v>34</v>
      </c>
      <c r="C579" s="7">
        <v>45030</v>
      </c>
      <c r="D579" s="5">
        <v>48</v>
      </c>
      <c r="E579" s="4">
        <v>7</v>
      </c>
      <c r="F579" s="12">
        <f t="shared" si="9"/>
        <v>1212.1527000000001</v>
      </c>
      <c r="G579" t="str">
        <f>VLOOKUP(B579,product_tbl[],2,FALSE)</f>
        <v>Doll 34</v>
      </c>
      <c r="H579" t="str">
        <f>VLOOKUP(B579,product_tbl[],3,FALSE)</f>
        <v>Toys</v>
      </c>
      <c r="I579">
        <v>782.03399999999999</v>
      </c>
      <c r="J579">
        <f>VLOOKUP(B579,product_tbl[],5,FALSE)</f>
        <v>1303.3900000000001</v>
      </c>
      <c r="K579">
        <f>VLOOKUP(B579,review_tbl[],3,FALSE)</f>
        <v>2</v>
      </c>
      <c r="L579" s="11">
        <v>1336.4061253183895</v>
      </c>
      <c r="M579" s="11">
        <f>AVERAGEIF(Table1[product_id],Master_tbl!B579:B1580,Table1[competitor_price])</f>
        <v>4145.4440000000004</v>
      </c>
      <c r="N579" s="11">
        <f>IFERROR(Table5[[#This Row],[final_sale_price]]*Table5[[#This Row],[quantity_sold ]],0)</f>
        <v>58183.329600000005</v>
      </c>
      <c r="O579" s="11">
        <f>(Table5[[#This Row],[final_sale_price]]-Table5[[#This Row],[cost_price]])*Table5[[#This Row],[quantity_sold ]]</f>
        <v>20645.697600000007</v>
      </c>
      <c r="P579" s="11">
        <f>(Table5[final_sale_price]-Table5[[#This Row],[avg_comp_price]])</f>
        <v>-2933.2913000000003</v>
      </c>
      <c r="Q579" s="15">
        <f>(Table5[[#This Row],[final_sale_price]]-Table5[[#This Row],[avg_comp_price]])/Table5[[#This Row],[avg_comp_price]]</f>
        <v>-0.70759399958122704</v>
      </c>
      <c r="R579" s="11">
        <f>Table5[[#This Row],[Profit]]/Table5[[#This Row],[Revenue]]</f>
        <v>0.35483870967741943</v>
      </c>
    </row>
    <row r="580" spans="1:18" x14ac:dyDescent="0.2">
      <c r="A580" s="4">
        <v>579</v>
      </c>
      <c r="B580" s="4">
        <v>44</v>
      </c>
      <c r="C580" s="6">
        <v>45793</v>
      </c>
      <c r="D580" s="4">
        <v>41</v>
      </c>
      <c r="E580" s="4">
        <v>5</v>
      </c>
      <c r="F580" s="12">
        <f t="shared" si="9"/>
        <v>335.92</v>
      </c>
      <c r="G580" t="str">
        <f>VLOOKUP(B580,product_tbl[],2,FALSE)</f>
        <v>Coffee Beans 44</v>
      </c>
      <c r="H580" t="str">
        <f>VLOOKUP(B580,product_tbl[],3,FALSE)</f>
        <v>Grocery</v>
      </c>
      <c r="I580">
        <v>212.16</v>
      </c>
      <c r="J580">
        <f>VLOOKUP(B580,product_tbl[],5,FALSE)</f>
        <v>353.6</v>
      </c>
      <c r="K580">
        <f>VLOOKUP(B580,review_tbl[],3,FALSE)</f>
        <v>4</v>
      </c>
      <c r="L580" s="11">
        <v>420.5398757315312</v>
      </c>
      <c r="M580" s="11">
        <f>AVERAGEIF(Table1[product_id],Master_tbl!B580:B1581,Table1[competitor_price])</f>
        <v>4064.8233333333333</v>
      </c>
      <c r="N580" s="11">
        <f>IFERROR(Table5[[#This Row],[final_sale_price]]*Table5[[#This Row],[quantity_sold ]],0)</f>
        <v>13772.720000000001</v>
      </c>
      <c r="O580" s="11">
        <f>(Table5[[#This Row],[final_sale_price]]-Table5[[#This Row],[cost_price]])*Table5[[#This Row],[quantity_sold ]]</f>
        <v>5074.1600000000008</v>
      </c>
      <c r="P580" s="11">
        <f>(Table5[final_sale_price]-Table5[[#This Row],[avg_comp_price]])</f>
        <v>-3728.9033333333332</v>
      </c>
      <c r="Q580" s="15">
        <f>(Table5[[#This Row],[final_sale_price]]-Table5[[#This Row],[avg_comp_price]])/Table5[[#This Row],[avg_comp_price]]</f>
        <v>-0.91735926202614793</v>
      </c>
      <c r="R580" s="11">
        <f>Table5[[#This Row],[Profit]]/Table5[[#This Row],[Revenue]]</f>
        <v>0.36842105263157898</v>
      </c>
    </row>
    <row r="581" spans="1:18" x14ac:dyDescent="0.2">
      <c r="A581" s="5">
        <v>580</v>
      </c>
      <c r="B581" s="5">
        <v>66</v>
      </c>
      <c r="C581" s="7">
        <v>45869</v>
      </c>
      <c r="D581" s="5">
        <v>5</v>
      </c>
      <c r="E581" s="4">
        <v>2</v>
      </c>
      <c r="F581" s="12">
        <f t="shared" si="9"/>
        <v>5708.5097999999998</v>
      </c>
      <c r="G581" t="str">
        <f>VLOOKUP(B581,product_tbl[],2,FALSE)</f>
        <v>Olive Oil 66</v>
      </c>
      <c r="H581" t="str">
        <f>VLOOKUP(B581,product_tbl[],3,FALSE)</f>
        <v>Grocery</v>
      </c>
      <c r="I581">
        <v>3495.0059999999999</v>
      </c>
      <c r="J581">
        <f>VLOOKUP(B581,product_tbl[],5,FALSE)</f>
        <v>5825.01</v>
      </c>
      <c r="K581">
        <f>VLOOKUP(B581,review_tbl[],3,FALSE)</f>
        <v>1</v>
      </c>
      <c r="L581" s="11">
        <v>6717.4311117664438</v>
      </c>
      <c r="M581" s="11">
        <f>AVERAGEIF(Table1[product_id],Master_tbl!B581:B1582,Table1[competitor_price])</f>
        <v>6051.7379999999994</v>
      </c>
      <c r="N581" s="11">
        <f>IFERROR(Table5[[#This Row],[final_sale_price]]*Table5[[#This Row],[quantity_sold ]],0)</f>
        <v>28542.548999999999</v>
      </c>
      <c r="O581" s="11">
        <f>(Table5[[#This Row],[final_sale_price]]-Table5[[#This Row],[cost_price]])*Table5[[#This Row],[quantity_sold ]]</f>
        <v>11067.519</v>
      </c>
      <c r="P581" s="11">
        <f>(Table5[final_sale_price]-Table5[[#This Row],[avg_comp_price]])</f>
        <v>-343.22819999999956</v>
      </c>
      <c r="Q581" s="15">
        <f>(Table5[[#This Row],[final_sale_price]]-Table5[[#This Row],[avg_comp_price]])/Table5[[#This Row],[avg_comp_price]]</f>
        <v>-5.6715641027420487E-2</v>
      </c>
      <c r="R581" s="11">
        <f>Table5[[#This Row],[Profit]]/Table5[[#This Row],[Revenue]]</f>
        <v>0.38775510204081637</v>
      </c>
    </row>
    <row r="582" spans="1:18" x14ac:dyDescent="0.2">
      <c r="A582" s="4">
        <v>581</v>
      </c>
      <c r="B582" s="4">
        <v>44</v>
      </c>
      <c r="C582" s="6">
        <v>45952</v>
      </c>
      <c r="D582" s="4">
        <v>22</v>
      </c>
      <c r="E582" s="4">
        <v>10</v>
      </c>
      <c r="F582" s="12">
        <f t="shared" si="9"/>
        <v>318.24</v>
      </c>
      <c r="G582" t="str">
        <f>VLOOKUP(B582,product_tbl[],2,FALSE)</f>
        <v>Coffee Beans 44</v>
      </c>
      <c r="H582" t="str">
        <f>VLOOKUP(B582,product_tbl[],3,FALSE)</f>
        <v>Grocery</v>
      </c>
      <c r="I582">
        <v>212.16</v>
      </c>
      <c r="J582">
        <f>VLOOKUP(B582,product_tbl[],5,FALSE)</f>
        <v>353.6</v>
      </c>
      <c r="K582">
        <f>VLOOKUP(B582,review_tbl[],3,FALSE)</f>
        <v>4</v>
      </c>
      <c r="L582" s="11">
        <v>442.09466844437941</v>
      </c>
      <c r="M582" s="11">
        <f>AVERAGEIF(Table1[product_id],Master_tbl!B582:B1583,Table1[competitor_price])</f>
        <v>4064.8233333333333</v>
      </c>
      <c r="N582" s="11">
        <f>IFERROR(Table5[[#This Row],[final_sale_price]]*Table5[[#This Row],[quantity_sold ]],0)</f>
        <v>7001.2800000000007</v>
      </c>
      <c r="O582" s="11">
        <f>(Table5[[#This Row],[final_sale_price]]-Table5[[#This Row],[cost_price]])*Table5[[#This Row],[quantity_sold ]]</f>
        <v>2333.7600000000002</v>
      </c>
      <c r="P582" s="11">
        <f>(Table5[final_sale_price]-Table5[[#This Row],[avg_comp_price]])</f>
        <v>-3746.583333333333</v>
      </c>
      <c r="Q582" s="15">
        <f>(Table5[[#This Row],[final_sale_price]]-Table5[[#This Row],[avg_comp_price]])/Table5[[#This Row],[avg_comp_price]]</f>
        <v>-0.92170877455108746</v>
      </c>
      <c r="R582" s="11">
        <f>Table5[[#This Row],[Profit]]/Table5[[#This Row],[Revenue]]</f>
        <v>0.33333333333333331</v>
      </c>
    </row>
    <row r="583" spans="1:18" x14ac:dyDescent="0.2">
      <c r="A583" s="5">
        <v>582</v>
      </c>
      <c r="B583" s="5">
        <v>116</v>
      </c>
      <c r="C583" s="7">
        <v>45726</v>
      </c>
      <c r="D583" s="5">
        <v>37</v>
      </c>
      <c r="E583" s="4">
        <v>7</v>
      </c>
      <c r="F583" s="12">
        <f t="shared" si="9"/>
        <v>2197.7294999999999</v>
      </c>
      <c r="G583" t="str">
        <f>VLOOKUP(B583,product_tbl[],2,FALSE)</f>
        <v>Building Blocks 116</v>
      </c>
      <c r="H583" t="str">
        <f>VLOOKUP(B583,product_tbl[],3,FALSE)</f>
        <v>Toys</v>
      </c>
      <c r="I583">
        <v>1417.89</v>
      </c>
      <c r="J583">
        <f>VLOOKUP(B583,product_tbl[],5,FALSE)</f>
        <v>2363.15</v>
      </c>
      <c r="K583">
        <f>VLOOKUP(B583,review_tbl[],3,FALSE)</f>
        <v>5</v>
      </c>
      <c r="L583" s="11">
        <v>2568.8907863390168</v>
      </c>
      <c r="M583" s="11">
        <f>AVERAGEIF(Table1[product_id],Master_tbl!B583:B1584,Table1[competitor_price])</f>
        <v>4469.4999999999991</v>
      </c>
      <c r="N583" s="11">
        <f>IFERROR(Table5[[#This Row],[final_sale_price]]*Table5[[#This Row],[quantity_sold ]],0)</f>
        <v>81315.991500000004</v>
      </c>
      <c r="O583" s="11">
        <f>(Table5[[#This Row],[final_sale_price]]-Table5[[#This Row],[cost_price]])*Table5[[#This Row],[quantity_sold ]]</f>
        <v>28854.061499999993</v>
      </c>
      <c r="P583" s="11">
        <f>(Table5[final_sale_price]-Table5[[#This Row],[avg_comp_price]])</f>
        <v>-2271.7704999999992</v>
      </c>
      <c r="Q583" s="15">
        <f>(Table5[[#This Row],[final_sale_price]]-Table5[[#This Row],[avg_comp_price]])/Table5[[#This Row],[avg_comp_price]]</f>
        <v>-0.50828291755229882</v>
      </c>
      <c r="R583" s="11">
        <f>Table5[[#This Row],[Profit]]/Table5[[#This Row],[Revenue]]</f>
        <v>0.35483870967741926</v>
      </c>
    </row>
    <row r="584" spans="1:18" x14ac:dyDescent="0.2">
      <c r="A584" s="4">
        <v>583</v>
      </c>
      <c r="B584" s="4">
        <v>23</v>
      </c>
      <c r="C584" s="6">
        <v>45051</v>
      </c>
      <c r="D584" s="4">
        <v>8</v>
      </c>
      <c r="E584" s="4">
        <v>2</v>
      </c>
      <c r="F584" s="12">
        <f t="shared" si="9"/>
        <v>3884.1320000000001</v>
      </c>
      <c r="G584" t="str">
        <f>VLOOKUP(B584,product_tbl[],2,FALSE)</f>
        <v>Bluetooth Speaker 23</v>
      </c>
      <c r="H584" t="str">
        <f>VLOOKUP(B584,product_tbl[],3,FALSE)</f>
        <v>Electronics</v>
      </c>
      <c r="I584">
        <v>2378.04</v>
      </c>
      <c r="J584">
        <f>VLOOKUP(B584,product_tbl[],5,FALSE)</f>
        <v>3963.4</v>
      </c>
      <c r="K584">
        <f>VLOOKUP(B584,review_tbl[],3,FALSE)</f>
        <v>5</v>
      </c>
      <c r="L584" s="11">
        <v>4986.3578730001036</v>
      </c>
      <c r="M584" s="11">
        <f>AVERAGEIF(Table1[product_id],Master_tbl!B584:B1585,Table1[competitor_price])</f>
        <v>5343.3279999999995</v>
      </c>
      <c r="N584" s="11">
        <f>IFERROR(Table5[[#This Row],[final_sale_price]]*Table5[[#This Row],[quantity_sold ]],0)</f>
        <v>31073.056</v>
      </c>
      <c r="O584" s="11">
        <f>(Table5[[#This Row],[final_sale_price]]-Table5[[#This Row],[cost_price]])*Table5[[#This Row],[quantity_sold ]]</f>
        <v>12048.736000000001</v>
      </c>
      <c r="P584" s="11">
        <f>(Table5[final_sale_price]-Table5[[#This Row],[avg_comp_price]])</f>
        <v>-1459.1959999999995</v>
      </c>
      <c r="Q584" s="15">
        <f>(Table5[[#This Row],[final_sale_price]]-Table5[[#This Row],[avg_comp_price]])/Table5[[#This Row],[avg_comp_price]]</f>
        <v>-0.27308748405488109</v>
      </c>
      <c r="R584" s="11">
        <f>Table5[[#This Row],[Profit]]/Table5[[#This Row],[Revenue]]</f>
        <v>0.38775510204081637</v>
      </c>
    </row>
    <row r="585" spans="1:18" x14ac:dyDescent="0.2">
      <c r="A585" s="5">
        <v>584</v>
      </c>
      <c r="B585" s="5">
        <v>84</v>
      </c>
      <c r="C585" s="7">
        <v>45571</v>
      </c>
      <c r="D585" s="5">
        <v>3</v>
      </c>
      <c r="E585" s="4">
        <v>2</v>
      </c>
      <c r="F585" s="12">
        <f t="shared" si="9"/>
        <v>7604.9567999999999</v>
      </c>
      <c r="G585" t="str">
        <f>VLOOKUP(B585,product_tbl[],2,FALSE)</f>
        <v>Moisturizer 84</v>
      </c>
      <c r="H585" t="str">
        <f>VLOOKUP(B585,product_tbl[],3,FALSE)</f>
        <v>Beauty</v>
      </c>
      <c r="I585">
        <v>4656.0959999999995</v>
      </c>
      <c r="J585">
        <f>VLOOKUP(B585,product_tbl[],5,FALSE)</f>
        <v>7760.16</v>
      </c>
      <c r="K585">
        <f>VLOOKUP(B585,review_tbl[],3,FALSE)</f>
        <v>1</v>
      </c>
      <c r="L585" s="11">
        <v>7954.6773740981571</v>
      </c>
      <c r="M585" s="11">
        <f>AVERAGEIF(Table1[product_id],Master_tbl!B585:B1586,Table1[competitor_price])</f>
        <v>2588.9250000000002</v>
      </c>
      <c r="N585" s="11">
        <f>IFERROR(Table5[[#This Row],[final_sale_price]]*Table5[[#This Row],[quantity_sold ]],0)</f>
        <v>22814.8704</v>
      </c>
      <c r="O585" s="11">
        <f>(Table5[[#This Row],[final_sale_price]]-Table5[[#This Row],[cost_price]])*Table5[[#This Row],[quantity_sold ]]</f>
        <v>8846.5824000000011</v>
      </c>
      <c r="P585" s="11">
        <f>(Table5[final_sale_price]-Table5[[#This Row],[avg_comp_price]])</f>
        <v>5016.0317999999997</v>
      </c>
      <c r="Q585" s="15">
        <f>(Table5[[#This Row],[final_sale_price]]-Table5[[#This Row],[avg_comp_price]])/Table5[[#This Row],[avg_comp_price]]</f>
        <v>1.9374959877169093</v>
      </c>
      <c r="R585" s="11">
        <f>Table5[[#This Row],[Profit]]/Table5[[#This Row],[Revenue]]</f>
        <v>0.38775510204081637</v>
      </c>
    </row>
    <row r="586" spans="1:18" x14ac:dyDescent="0.2">
      <c r="A586" s="4">
        <v>585</v>
      </c>
      <c r="B586" s="4">
        <v>105</v>
      </c>
      <c r="C586" s="6">
        <v>45745</v>
      </c>
      <c r="D586" s="4">
        <v>39</v>
      </c>
      <c r="E586" s="4">
        <v>2</v>
      </c>
      <c r="F586" s="12">
        <f t="shared" si="9"/>
        <v>4060.2183999999997</v>
      </c>
      <c r="G586" t="str">
        <f>VLOOKUP(B586,product_tbl[],2,FALSE)</f>
        <v>Action Figure 105</v>
      </c>
      <c r="H586" t="str">
        <f>VLOOKUP(B586,product_tbl[],3,FALSE)</f>
        <v>Toys</v>
      </c>
      <c r="I586">
        <v>2485.848</v>
      </c>
      <c r="J586">
        <f>VLOOKUP(B586,product_tbl[],5,FALSE)</f>
        <v>4143.08</v>
      </c>
      <c r="K586">
        <f>VLOOKUP(B586,review_tbl[],3,FALSE)</f>
        <v>3</v>
      </c>
      <c r="L586" s="11">
        <v>5208.7747845172089</v>
      </c>
      <c r="M586" s="11">
        <f>AVERAGEIF(Table1[product_id],Master_tbl!B586:B1587,Table1[competitor_price])</f>
        <v>4778.8849999999993</v>
      </c>
      <c r="N586" s="11">
        <f>IFERROR(Table5[[#This Row],[final_sale_price]]*Table5[[#This Row],[quantity_sold ]],0)</f>
        <v>158348.51759999999</v>
      </c>
      <c r="O586" s="11">
        <f>(Table5[[#This Row],[final_sale_price]]-Table5[[#This Row],[cost_price]])*Table5[[#This Row],[quantity_sold ]]</f>
        <v>61400.445599999992</v>
      </c>
      <c r="P586" s="11">
        <f>(Table5[final_sale_price]-Table5[[#This Row],[avg_comp_price]])</f>
        <v>-718.66659999999956</v>
      </c>
      <c r="Q586" s="15">
        <f>(Table5[[#This Row],[final_sale_price]]-Table5[[#This Row],[avg_comp_price]])/Table5[[#This Row],[avg_comp_price]]</f>
        <v>-0.15038374014022093</v>
      </c>
      <c r="R586" s="11">
        <f>Table5[[#This Row],[Profit]]/Table5[[#This Row],[Revenue]]</f>
        <v>0.38775510204081631</v>
      </c>
    </row>
    <row r="587" spans="1:18" x14ac:dyDescent="0.2">
      <c r="A587" s="5">
        <v>586</v>
      </c>
      <c r="B587" s="5">
        <v>99</v>
      </c>
      <c r="C587" s="7">
        <v>45042</v>
      </c>
      <c r="D587" s="5">
        <v>21</v>
      </c>
      <c r="E587" s="4">
        <v>4</v>
      </c>
      <c r="F587" s="12">
        <f t="shared" si="9"/>
        <v>1962.2208000000001</v>
      </c>
      <c r="G587" t="str">
        <f>VLOOKUP(B587,product_tbl[],2,FALSE)</f>
        <v>Sneakers 99</v>
      </c>
      <c r="H587" t="str">
        <f>VLOOKUP(B587,product_tbl[],3,FALSE)</f>
        <v>Fashion</v>
      </c>
      <c r="I587">
        <v>1226.3879999999999</v>
      </c>
      <c r="J587">
        <f>VLOOKUP(B587,product_tbl[],5,FALSE)</f>
        <v>2043.98</v>
      </c>
      <c r="K587">
        <f>VLOOKUP(B587,review_tbl[],3,FALSE)</f>
        <v>2</v>
      </c>
      <c r="L587" s="11">
        <v>2351.0189844883425</v>
      </c>
      <c r="M587" s="11">
        <f>AVERAGEIF(Table1[product_id],Master_tbl!B587:B1588,Table1[competitor_price])</f>
        <v>958.76666666666654</v>
      </c>
      <c r="N587" s="11">
        <f>IFERROR(Table5[[#This Row],[final_sale_price]]*Table5[[#This Row],[quantity_sold ]],0)</f>
        <v>41206.6368</v>
      </c>
      <c r="O587" s="11">
        <f>(Table5[[#This Row],[final_sale_price]]-Table5[[#This Row],[cost_price]])*Table5[[#This Row],[quantity_sold ]]</f>
        <v>15452.488800000003</v>
      </c>
      <c r="P587" s="11">
        <f>(Table5[final_sale_price]-Table5[[#This Row],[avg_comp_price]])</f>
        <v>1003.4541333333335</v>
      </c>
      <c r="Q587" s="15">
        <f>(Table5[[#This Row],[final_sale_price]]-Table5[[#This Row],[avg_comp_price]])/Table5[[#This Row],[avg_comp_price]]</f>
        <v>1.0466093244793662</v>
      </c>
      <c r="R587" s="11">
        <f>Table5[[#This Row],[Profit]]/Table5[[#This Row],[Revenue]]</f>
        <v>0.37500000000000006</v>
      </c>
    </row>
    <row r="588" spans="1:18" x14ac:dyDescent="0.2">
      <c r="A588" s="4">
        <v>587</v>
      </c>
      <c r="B588" s="4">
        <v>75</v>
      </c>
      <c r="C588" s="6">
        <v>45455</v>
      </c>
      <c r="D588" s="4">
        <v>35</v>
      </c>
      <c r="E588" s="4">
        <v>2</v>
      </c>
      <c r="F588" s="12">
        <f t="shared" si="9"/>
        <v>3697.9712</v>
      </c>
      <c r="G588" t="str">
        <f>VLOOKUP(B588,product_tbl[],2,FALSE)</f>
        <v>Sneakers 75</v>
      </c>
      <c r="H588" t="str">
        <f>VLOOKUP(B588,product_tbl[],3,FALSE)</f>
        <v>Fashion</v>
      </c>
      <c r="I588">
        <v>2264.0639999999999</v>
      </c>
      <c r="J588">
        <f>VLOOKUP(B588,product_tbl[],5,FALSE)</f>
        <v>3773.44</v>
      </c>
      <c r="K588">
        <f>VLOOKUP(B588,review_tbl[],3,FALSE)</f>
        <v>4</v>
      </c>
      <c r="L588" s="11">
        <v>4207.7445132642833</v>
      </c>
      <c r="M588" s="11">
        <f>AVERAGEIF(Table1[product_id],Master_tbl!B588:B1589,Table1[competitor_price])</f>
        <v>3293.6366666666668</v>
      </c>
      <c r="N588" s="11">
        <f>IFERROR(Table5[[#This Row],[final_sale_price]]*Table5[[#This Row],[quantity_sold ]],0)</f>
        <v>129428.992</v>
      </c>
      <c r="O588" s="11">
        <f>(Table5[[#This Row],[final_sale_price]]-Table5[[#This Row],[cost_price]])*Table5[[#This Row],[quantity_sold ]]</f>
        <v>50186.752</v>
      </c>
      <c r="P588" s="11">
        <f>(Table5[final_sale_price]-Table5[[#This Row],[avg_comp_price]])</f>
        <v>404.33453333333318</v>
      </c>
      <c r="Q588" s="15">
        <f>(Table5[[#This Row],[final_sale_price]]-Table5[[#This Row],[avg_comp_price]])/Table5[[#This Row],[avg_comp_price]]</f>
        <v>0.12276233666737169</v>
      </c>
      <c r="R588" s="11">
        <f>Table5[[#This Row],[Profit]]/Table5[[#This Row],[Revenue]]</f>
        <v>0.38775510204081631</v>
      </c>
    </row>
    <row r="589" spans="1:18" x14ac:dyDescent="0.2">
      <c r="A589" s="5">
        <v>588</v>
      </c>
      <c r="B589" s="5">
        <v>150</v>
      </c>
      <c r="C589" s="7">
        <v>46014</v>
      </c>
      <c r="D589" s="5">
        <v>6</v>
      </c>
      <c r="E589" s="4">
        <v>8</v>
      </c>
      <c r="F589" s="12">
        <f t="shared" si="9"/>
        <v>2106.5423999999998</v>
      </c>
      <c r="G589" t="str">
        <f>VLOOKUP(B589,product_tbl[],2,FALSE)</f>
        <v>Puzzle Set 150</v>
      </c>
      <c r="H589" t="str">
        <f>VLOOKUP(B589,product_tbl[],3,FALSE)</f>
        <v>Toys</v>
      </c>
      <c r="I589">
        <v>1373.8319999999999</v>
      </c>
      <c r="J589">
        <f>VLOOKUP(B589,product_tbl[],5,FALSE)</f>
        <v>2289.7199999999998</v>
      </c>
      <c r="K589">
        <f>VLOOKUP(B589,review_tbl[],3,FALSE)</f>
        <v>3</v>
      </c>
      <c r="L589" s="11">
        <v>2632.5928977104932</v>
      </c>
      <c r="M589" s="11">
        <f>AVERAGEIF(Table1[product_id],Master_tbl!B589:B1590,Table1[competitor_price])</f>
        <v>1810.3166666666666</v>
      </c>
      <c r="N589" s="11">
        <f>IFERROR(Table5[[#This Row],[final_sale_price]]*Table5[[#This Row],[quantity_sold ]],0)</f>
        <v>12639.254399999998</v>
      </c>
      <c r="O589" s="11">
        <f>(Table5[[#This Row],[final_sale_price]]-Table5[[#This Row],[cost_price]])*Table5[[#This Row],[quantity_sold ]]</f>
        <v>4396.2623999999996</v>
      </c>
      <c r="P589" s="11">
        <f>(Table5[final_sale_price]-Table5[[#This Row],[avg_comp_price]])</f>
        <v>296.22573333333321</v>
      </c>
      <c r="Q589" s="15">
        <f>(Table5[[#This Row],[final_sale_price]]-Table5[[#This Row],[avg_comp_price]])/Table5[[#This Row],[avg_comp_price]]</f>
        <v>0.16363199808504952</v>
      </c>
      <c r="R589" s="11">
        <f>Table5[[#This Row],[Profit]]/Table5[[#This Row],[Revenue]]</f>
        <v>0.34782608695652178</v>
      </c>
    </row>
    <row r="590" spans="1:18" x14ac:dyDescent="0.2">
      <c r="A590" s="4">
        <v>589</v>
      </c>
      <c r="B590" s="4">
        <v>68</v>
      </c>
      <c r="C590" s="6">
        <v>45978</v>
      </c>
      <c r="D590" s="4">
        <v>40</v>
      </c>
      <c r="E590" s="4">
        <v>5</v>
      </c>
      <c r="F590" s="12">
        <f t="shared" si="9"/>
        <v>5741.3154999999997</v>
      </c>
      <c r="G590" t="str">
        <f>VLOOKUP(B590,product_tbl[],2,FALSE)</f>
        <v>Lipstick 68</v>
      </c>
      <c r="H590" t="str">
        <f>VLOOKUP(B590,product_tbl[],3,FALSE)</f>
        <v>Beauty</v>
      </c>
      <c r="I590">
        <v>3626.0939999999996</v>
      </c>
      <c r="J590">
        <f>VLOOKUP(B590,product_tbl[],5,FALSE)</f>
        <v>6043.49</v>
      </c>
      <c r="K590">
        <f>VLOOKUP(B590,review_tbl[],3,FALSE)</f>
        <v>2</v>
      </c>
      <c r="L590" s="11">
        <v>6257.4907697410754</v>
      </c>
      <c r="M590" s="11">
        <f>AVERAGEIF(Table1[product_id],Master_tbl!B590:B1591,Table1[competitor_price])</f>
        <v>796.21333333333325</v>
      </c>
      <c r="N590" s="11">
        <f>IFERROR(Table5[[#This Row],[final_sale_price]]*Table5[[#This Row],[quantity_sold ]],0)</f>
        <v>229652.62</v>
      </c>
      <c r="O590" s="11">
        <f>(Table5[[#This Row],[final_sale_price]]-Table5[[#This Row],[cost_price]])*Table5[[#This Row],[quantity_sold ]]</f>
        <v>84608.86</v>
      </c>
      <c r="P590" s="11">
        <f>(Table5[final_sale_price]-Table5[[#This Row],[avg_comp_price]])</f>
        <v>4945.1021666666666</v>
      </c>
      <c r="Q590" s="15">
        <f>(Table5[[#This Row],[final_sale_price]]-Table5[[#This Row],[avg_comp_price]])/Table5[[#This Row],[avg_comp_price]]</f>
        <v>6.2107753784580355</v>
      </c>
      <c r="R590" s="11">
        <f>Table5[[#This Row],[Profit]]/Table5[[#This Row],[Revenue]]</f>
        <v>0.36842105263157898</v>
      </c>
    </row>
    <row r="591" spans="1:18" x14ac:dyDescent="0.2">
      <c r="A591" s="5">
        <v>590</v>
      </c>
      <c r="B591" s="5">
        <v>135</v>
      </c>
      <c r="C591" s="7">
        <v>45912</v>
      </c>
      <c r="D591" s="5">
        <v>6</v>
      </c>
      <c r="E591" s="4">
        <v>3</v>
      </c>
      <c r="F591" s="12">
        <f t="shared" si="9"/>
        <v>7546.3186999999998</v>
      </c>
      <c r="G591" t="str">
        <f>VLOOKUP(B591,product_tbl[],2,FALSE)</f>
        <v>Water Purifier 135</v>
      </c>
      <c r="H591" t="str">
        <f>VLOOKUP(B591,product_tbl[],3,FALSE)</f>
        <v>Home Appliances</v>
      </c>
      <c r="I591">
        <v>4667.826</v>
      </c>
      <c r="J591">
        <f>VLOOKUP(B591,product_tbl[],5,FALSE)</f>
        <v>7779.71</v>
      </c>
      <c r="K591">
        <f>VLOOKUP(B591,review_tbl[],3,FALSE)</f>
        <v>5</v>
      </c>
      <c r="L591" s="11">
        <v>8715.634760524712</v>
      </c>
      <c r="M591" s="11">
        <f>AVERAGEIF(Table1[product_id],Master_tbl!B591:B1592,Table1[competitor_price])</f>
        <v>4172.7833333333338</v>
      </c>
      <c r="N591" s="11">
        <f>IFERROR(Table5[[#This Row],[final_sale_price]]*Table5[[#This Row],[quantity_sold ]],0)</f>
        <v>45277.912199999999</v>
      </c>
      <c r="O591" s="11">
        <f>(Table5[[#This Row],[final_sale_price]]-Table5[[#This Row],[cost_price]])*Table5[[#This Row],[quantity_sold ]]</f>
        <v>17270.956200000001</v>
      </c>
      <c r="P591" s="11">
        <f>(Table5[final_sale_price]-Table5[[#This Row],[avg_comp_price]])</f>
        <v>3373.5353666666661</v>
      </c>
      <c r="Q591" s="15">
        <f>(Table5[[#This Row],[final_sale_price]]-Table5[[#This Row],[avg_comp_price]])/Table5[[#This Row],[avg_comp_price]]</f>
        <v>0.8084616662739097</v>
      </c>
      <c r="R591" s="11">
        <f>Table5[[#This Row],[Profit]]/Table5[[#This Row],[Revenue]]</f>
        <v>0.3814432989690722</v>
      </c>
    </row>
    <row r="592" spans="1:18" x14ac:dyDescent="0.2">
      <c r="A592" s="4">
        <v>591</v>
      </c>
      <c r="B592" s="4">
        <v>8</v>
      </c>
      <c r="C592" s="6">
        <v>45667</v>
      </c>
      <c r="D592" s="4">
        <v>39</v>
      </c>
      <c r="E592" s="4">
        <v>9</v>
      </c>
      <c r="F592" s="12">
        <f t="shared" si="9"/>
        <v>5135.9853999999996</v>
      </c>
      <c r="G592" t="str">
        <f>VLOOKUP(B592,product_tbl[],2,FALSE)</f>
        <v>Puzzle Set 8</v>
      </c>
      <c r="H592" t="str">
        <f>VLOOKUP(B592,product_tbl[],3,FALSE)</f>
        <v>Toys</v>
      </c>
      <c r="I592">
        <v>3386.3639999999996</v>
      </c>
      <c r="J592">
        <f>VLOOKUP(B592,product_tbl[],5,FALSE)</f>
        <v>5643.94</v>
      </c>
      <c r="K592">
        <f>VLOOKUP(B592,review_tbl[],3,FALSE)</f>
        <v>2</v>
      </c>
      <c r="L592" s="11">
        <v>6314.9231893732476</v>
      </c>
      <c r="M592" s="11">
        <f>AVERAGEIF(Table1[product_id],Master_tbl!B592:B1593,Table1[competitor_price])</f>
        <v>2853.6650000000004</v>
      </c>
      <c r="N592" s="11">
        <f>IFERROR(Table5[[#This Row],[final_sale_price]]*Table5[[#This Row],[quantity_sold ]],0)</f>
        <v>200303.43059999999</v>
      </c>
      <c r="O592" s="11">
        <f>(Table5[[#This Row],[final_sale_price]]-Table5[[#This Row],[cost_price]])*Table5[[#This Row],[quantity_sold ]]</f>
        <v>68235.234599999996</v>
      </c>
      <c r="P592" s="11">
        <f>(Table5[final_sale_price]-Table5[[#This Row],[avg_comp_price]])</f>
        <v>2282.3203999999992</v>
      </c>
      <c r="Q592" s="15">
        <f>(Table5[[#This Row],[final_sale_price]]-Table5[[#This Row],[avg_comp_price]])/Table5[[#This Row],[avg_comp_price]]</f>
        <v>0.79978567911790588</v>
      </c>
      <c r="R592" s="11">
        <f>Table5[[#This Row],[Profit]]/Table5[[#This Row],[Revenue]]</f>
        <v>0.34065934065934067</v>
      </c>
    </row>
    <row r="593" spans="1:18" x14ac:dyDescent="0.2">
      <c r="A593" s="5">
        <v>592</v>
      </c>
      <c r="B593" s="5">
        <v>97</v>
      </c>
      <c r="C593" s="7">
        <v>45355</v>
      </c>
      <c r="D593" s="5">
        <v>47</v>
      </c>
      <c r="E593" s="4">
        <v>7</v>
      </c>
      <c r="F593" s="12">
        <f t="shared" si="9"/>
        <v>857.12519999999995</v>
      </c>
      <c r="G593" t="str">
        <f>VLOOKUP(B593,product_tbl[],2,FALSE)</f>
        <v>Washing Machine 97</v>
      </c>
      <c r="H593" t="str">
        <f>VLOOKUP(B593,product_tbl[],3,FALSE)</f>
        <v>Home Appliances</v>
      </c>
      <c r="I593">
        <v>552.98399999999992</v>
      </c>
      <c r="J593">
        <f>VLOOKUP(B593,product_tbl[],5,FALSE)</f>
        <v>921.64</v>
      </c>
      <c r="K593">
        <f>VLOOKUP(B593,review_tbl[],3,FALSE)</f>
        <v>3</v>
      </c>
      <c r="L593" s="11">
        <v>985.60419833827984</v>
      </c>
      <c r="M593" s="11">
        <f>AVERAGEIF(Table1[product_id],Master_tbl!B593:B1594,Table1[competitor_price])</f>
        <v>2464.87</v>
      </c>
      <c r="N593" s="11">
        <f>IFERROR(Table5[[#This Row],[final_sale_price]]*Table5[[#This Row],[quantity_sold ]],0)</f>
        <v>40284.884399999995</v>
      </c>
      <c r="O593" s="11">
        <f>(Table5[[#This Row],[final_sale_price]]-Table5[[#This Row],[cost_price]])*Table5[[#This Row],[quantity_sold ]]</f>
        <v>14294.636400000001</v>
      </c>
      <c r="P593" s="11">
        <f>(Table5[final_sale_price]-Table5[[#This Row],[avg_comp_price]])</f>
        <v>-1607.7447999999999</v>
      </c>
      <c r="Q593" s="15">
        <f>(Table5[[#This Row],[final_sale_price]]-Table5[[#This Row],[avg_comp_price]])/Table5[[#This Row],[avg_comp_price]]</f>
        <v>-0.65226352708256419</v>
      </c>
      <c r="R593" s="11">
        <f>Table5[[#This Row],[Profit]]/Table5[[#This Row],[Revenue]]</f>
        <v>0.35483870967741943</v>
      </c>
    </row>
    <row r="594" spans="1:18" x14ac:dyDescent="0.2">
      <c r="A594" s="4">
        <v>593</v>
      </c>
      <c r="B594" s="4">
        <v>47</v>
      </c>
      <c r="C594" s="6">
        <v>45823</v>
      </c>
      <c r="D594" s="4">
        <v>18</v>
      </c>
      <c r="E594" s="4">
        <v>5</v>
      </c>
      <c r="F594" s="12">
        <f t="shared" si="9"/>
        <v>3242.9009999999998</v>
      </c>
      <c r="G594" t="str">
        <f>VLOOKUP(B594,product_tbl[],2,FALSE)</f>
        <v>Cookbook 47</v>
      </c>
      <c r="H594" t="str">
        <f>VLOOKUP(B594,product_tbl[],3,FALSE)</f>
        <v>Books</v>
      </c>
      <c r="I594">
        <v>2048.1479999999997</v>
      </c>
      <c r="J594">
        <f>VLOOKUP(B594,product_tbl[],5,FALSE)</f>
        <v>3413.58</v>
      </c>
      <c r="K594">
        <f>VLOOKUP(B594,review_tbl[],3,FALSE)</f>
        <v>5</v>
      </c>
      <c r="L594" s="11">
        <v>4226.286377791389</v>
      </c>
      <c r="M594" s="11">
        <f>AVERAGEIF(Table1[product_id],Master_tbl!B594:B1595,Table1[competitor_price])</f>
        <v>2051.0440000000003</v>
      </c>
      <c r="N594" s="11">
        <f>IFERROR(Table5[[#This Row],[final_sale_price]]*Table5[[#This Row],[quantity_sold ]],0)</f>
        <v>58372.217999999993</v>
      </c>
      <c r="O594" s="11">
        <f>(Table5[[#This Row],[final_sale_price]]-Table5[[#This Row],[cost_price]])*Table5[[#This Row],[quantity_sold ]]</f>
        <v>21505.554000000004</v>
      </c>
      <c r="P594" s="11">
        <f>(Table5[final_sale_price]-Table5[[#This Row],[avg_comp_price]])</f>
        <v>1191.8569999999995</v>
      </c>
      <c r="Q594" s="15">
        <f>(Table5[[#This Row],[final_sale_price]]-Table5[[#This Row],[avg_comp_price]])/Table5[[#This Row],[avg_comp_price]]</f>
        <v>0.58109772389085723</v>
      </c>
      <c r="R594" s="11">
        <f>Table5[[#This Row],[Profit]]/Table5[[#This Row],[Revenue]]</f>
        <v>0.36842105263157904</v>
      </c>
    </row>
    <row r="595" spans="1:18" x14ac:dyDescent="0.2">
      <c r="A595" s="5">
        <v>594</v>
      </c>
      <c r="B595" s="5">
        <v>144</v>
      </c>
      <c r="C595" s="7">
        <v>45620</v>
      </c>
      <c r="D595" s="5">
        <v>36</v>
      </c>
      <c r="E595" s="4">
        <v>6</v>
      </c>
      <c r="F595" s="12">
        <f t="shared" si="9"/>
        <v>1483.5267999999999</v>
      </c>
      <c r="G595" t="str">
        <f>VLOOKUP(B595,product_tbl[],2,FALSE)</f>
        <v>Air Conditioner 144</v>
      </c>
      <c r="H595" t="str">
        <f>VLOOKUP(B595,product_tbl[],3,FALSE)</f>
        <v>Home Appliances</v>
      </c>
      <c r="I595">
        <v>946.93200000000002</v>
      </c>
      <c r="J595">
        <f>VLOOKUP(B595,product_tbl[],5,FALSE)</f>
        <v>1578.22</v>
      </c>
      <c r="K595">
        <f>VLOOKUP(B595,review_tbl[],3,FALSE)</f>
        <v>2</v>
      </c>
      <c r="L595" s="11">
        <v>1859.8826134671824</v>
      </c>
      <c r="M595" s="11">
        <f>AVERAGEIF(Table1[product_id],Master_tbl!B595:B1596,Table1[competitor_price])</f>
        <v>6414.0239999999994</v>
      </c>
      <c r="N595" s="11">
        <f>IFERROR(Table5[[#This Row],[final_sale_price]]*Table5[[#This Row],[quantity_sold ]],0)</f>
        <v>53406.964799999994</v>
      </c>
      <c r="O595" s="11">
        <f>(Table5[[#This Row],[final_sale_price]]-Table5[[#This Row],[cost_price]])*Table5[[#This Row],[quantity_sold ]]</f>
        <v>19317.412799999995</v>
      </c>
      <c r="P595" s="11">
        <f>(Table5[final_sale_price]-Table5[[#This Row],[avg_comp_price]])</f>
        <v>-4930.4971999999998</v>
      </c>
      <c r="Q595" s="15">
        <f>(Table5[[#This Row],[final_sale_price]]-Table5[[#This Row],[avg_comp_price]])/Table5[[#This Row],[avg_comp_price]]</f>
        <v>-0.76870576100120613</v>
      </c>
      <c r="R595" s="11">
        <f>Table5[[#This Row],[Profit]]/Table5[[#This Row],[Revenue]]</f>
        <v>0.36170212765957438</v>
      </c>
    </row>
    <row r="596" spans="1:18" x14ac:dyDescent="0.2">
      <c r="A596" s="4">
        <v>595</v>
      </c>
      <c r="B596" s="4">
        <v>47</v>
      </c>
      <c r="C596" s="6">
        <v>45709</v>
      </c>
      <c r="D596" s="4">
        <v>34</v>
      </c>
      <c r="E596" s="4">
        <v>7</v>
      </c>
      <c r="F596" s="12">
        <f t="shared" si="9"/>
        <v>3174.6293999999998</v>
      </c>
      <c r="G596" t="str">
        <f>VLOOKUP(B596,product_tbl[],2,FALSE)</f>
        <v>Cookbook 47</v>
      </c>
      <c r="H596" t="str">
        <f>VLOOKUP(B596,product_tbl[],3,FALSE)</f>
        <v>Books</v>
      </c>
      <c r="I596">
        <v>2048.1479999999997</v>
      </c>
      <c r="J596">
        <f>VLOOKUP(B596,product_tbl[],5,FALSE)</f>
        <v>3413.58</v>
      </c>
      <c r="K596">
        <f>VLOOKUP(B596,review_tbl[],3,FALSE)</f>
        <v>5</v>
      </c>
      <c r="L596" s="11">
        <v>3470.9997152164729</v>
      </c>
      <c r="M596" s="11">
        <f>AVERAGEIF(Table1[product_id],Master_tbl!B596:B1597,Table1[competitor_price])</f>
        <v>2051.0440000000003</v>
      </c>
      <c r="N596" s="11">
        <f>IFERROR(Table5[[#This Row],[final_sale_price]]*Table5[[#This Row],[quantity_sold ]],0)</f>
        <v>107937.39959999999</v>
      </c>
      <c r="O596" s="11">
        <f>(Table5[[#This Row],[final_sale_price]]-Table5[[#This Row],[cost_price]])*Table5[[#This Row],[quantity_sold ]]</f>
        <v>38300.367600000005</v>
      </c>
      <c r="P596" s="11">
        <f>(Table5[final_sale_price]-Table5[[#This Row],[avg_comp_price]])</f>
        <v>1123.5853999999995</v>
      </c>
      <c r="Q596" s="15">
        <f>(Table5[[#This Row],[final_sale_price]]-Table5[[#This Row],[avg_comp_price]])/Table5[[#This Row],[avg_comp_price]]</f>
        <v>0.54781145601947068</v>
      </c>
      <c r="R596" s="11">
        <f>Table5[[#This Row],[Profit]]/Table5[[#This Row],[Revenue]]</f>
        <v>0.35483870967741943</v>
      </c>
    </row>
    <row r="597" spans="1:18" x14ac:dyDescent="0.2">
      <c r="A597" s="5">
        <v>596</v>
      </c>
      <c r="B597" s="5">
        <v>94</v>
      </c>
      <c r="C597" s="7">
        <v>45147</v>
      </c>
      <c r="D597" s="5">
        <v>23</v>
      </c>
      <c r="E597" s="4">
        <v>2</v>
      </c>
      <c r="F597" s="12">
        <f t="shared" si="9"/>
        <v>4559.7244000000001</v>
      </c>
      <c r="G597" t="str">
        <f>VLOOKUP(B597,product_tbl[],2,FALSE)</f>
        <v>Cricket Bat 94</v>
      </c>
      <c r="H597" t="str">
        <f>VLOOKUP(B597,product_tbl[],3,FALSE)</f>
        <v>Sports</v>
      </c>
      <c r="I597">
        <v>2791.6679999999997</v>
      </c>
      <c r="J597">
        <f>VLOOKUP(B597,product_tbl[],5,FALSE)</f>
        <v>4652.78</v>
      </c>
      <c r="K597">
        <f>VLOOKUP(B597,review_tbl[],3,FALSE)</f>
        <v>1</v>
      </c>
      <c r="L597" s="11">
        <v>4892.1824942036083</v>
      </c>
      <c r="M597" s="11">
        <f>AVERAGEIF(Table1[product_id],Master_tbl!B597:B1598,Table1[competitor_price])</f>
        <v>6485.5883333333331</v>
      </c>
      <c r="N597" s="11">
        <f>IFERROR(Table5[[#This Row],[final_sale_price]]*Table5[[#This Row],[quantity_sold ]],0)</f>
        <v>104873.6612</v>
      </c>
      <c r="O597" s="11">
        <f>(Table5[[#This Row],[final_sale_price]]-Table5[[#This Row],[cost_price]])*Table5[[#This Row],[quantity_sold ]]</f>
        <v>40665.297200000008</v>
      </c>
      <c r="P597" s="11">
        <f>(Table5[final_sale_price]-Table5[[#This Row],[avg_comp_price]])</f>
        <v>-1925.8639333333331</v>
      </c>
      <c r="Q597" s="15">
        <f>(Table5[[#This Row],[final_sale_price]]-Table5[[#This Row],[avg_comp_price]])/Table5[[#This Row],[avg_comp_price]]</f>
        <v>-0.29694513964680147</v>
      </c>
      <c r="R597" s="11">
        <f>Table5[[#This Row],[Profit]]/Table5[[#This Row],[Revenue]]</f>
        <v>0.38775510204081637</v>
      </c>
    </row>
    <row r="598" spans="1:18" x14ac:dyDescent="0.2">
      <c r="A598" s="4">
        <v>597</v>
      </c>
      <c r="B598" s="4">
        <v>114</v>
      </c>
      <c r="C598" s="6">
        <v>45160</v>
      </c>
      <c r="D598" s="4">
        <v>33</v>
      </c>
      <c r="E598" s="4">
        <v>2</v>
      </c>
      <c r="F598" s="12">
        <f t="shared" si="9"/>
        <v>7491.5217999999995</v>
      </c>
      <c r="G598" t="str">
        <f>VLOOKUP(B598,product_tbl[],2,FALSE)</f>
        <v>Smartwatch 114</v>
      </c>
      <c r="H598" t="str">
        <f>VLOOKUP(B598,product_tbl[],3,FALSE)</f>
        <v>Electronics</v>
      </c>
      <c r="I598">
        <v>4586.6459999999997</v>
      </c>
      <c r="J598">
        <f>VLOOKUP(B598,product_tbl[],5,FALSE)</f>
        <v>7644.41</v>
      </c>
      <c r="K598">
        <f>VLOOKUP(B598,review_tbl[],3,FALSE)</f>
        <v>2</v>
      </c>
      <c r="L598" s="11">
        <v>7758.8446407718866</v>
      </c>
      <c r="M598" s="11">
        <f>AVERAGEIF(Table1[product_id],Master_tbl!B598:B1599,Table1[competitor_price])</f>
        <v>6494.3074999999999</v>
      </c>
      <c r="N598" s="11">
        <f>IFERROR(Table5[[#This Row],[final_sale_price]]*Table5[[#This Row],[quantity_sold ]],0)</f>
        <v>247220.21939999997</v>
      </c>
      <c r="O598" s="11">
        <f>(Table5[[#This Row],[final_sale_price]]-Table5[[#This Row],[cost_price]])*Table5[[#This Row],[quantity_sold ]]</f>
        <v>95860.901399999988</v>
      </c>
      <c r="P598" s="11">
        <f>(Table5[final_sale_price]-Table5[[#This Row],[avg_comp_price]])</f>
        <v>997.21429999999964</v>
      </c>
      <c r="Q598" s="15">
        <f>(Table5[[#This Row],[final_sale_price]]-Table5[[#This Row],[avg_comp_price]])/Table5[[#This Row],[avg_comp_price]]</f>
        <v>0.15355206078554173</v>
      </c>
      <c r="R598" s="11">
        <f>Table5[[#This Row],[Profit]]/Table5[[#This Row],[Revenue]]</f>
        <v>0.38775510204081631</v>
      </c>
    </row>
    <row r="599" spans="1:18" x14ac:dyDescent="0.2">
      <c r="A599" s="5">
        <v>598</v>
      </c>
      <c r="B599" s="5">
        <v>139</v>
      </c>
      <c r="C599" s="7">
        <v>44980</v>
      </c>
      <c r="D599" s="5">
        <v>16</v>
      </c>
      <c r="E599" s="4">
        <v>8</v>
      </c>
      <c r="F599" s="12">
        <f t="shared" si="9"/>
        <v>2383.7936</v>
      </c>
      <c r="G599" t="str">
        <f>VLOOKUP(B599,product_tbl[],2,FALSE)</f>
        <v>Jacket 139</v>
      </c>
      <c r="H599" t="str">
        <f>VLOOKUP(B599,product_tbl[],3,FALSE)</f>
        <v>Fashion</v>
      </c>
      <c r="I599">
        <v>1554.6479999999999</v>
      </c>
      <c r="J599">
        <f>VLOOKUP(B599,product_tbl[],5,FALSE)</f>
        <v>2591.08</v>
      </c>
      <c r="K599">
        <f>VLOOKUP(B599,review_tbl[],3,FALSE)</f>
        <v>5</v>
      </c>
      <c r="L599" s="11">
        <v>3218.685462211085</v>
      </c>
      <c r="M599" s="11">
        <f>AVERAGEIF(Table1[product_id],Master_tbl!B599:B1600,Table1[competitor_price])</f>
        <v>2839.1733333333336</v>
      </c>
      <c r="N599" s="11">
        <f>IFERROR(Table5[[#This Row],[final_sale_price]]*Table5[[#This Row],[quantity_sold ]],0)</f>
        <v>38140.6976</v>
      </c>
      <c r="O599" s="11">
        <f>(Table5[[#This Row],[final_sale_price]]-Table5[[#This Row],[cost_price]])*Table5[[#This Row],[quantity_sold ]]</f>
        <v>13266.329600000001</v>
      </c>
      <c r="P599" s="11">
        <f>(Table5[final_sale_price]-Table5[[#This Row],[avg_comp_price]])</f>
        <v>-455.37973333333366</v>
      </c>
      <c r="Q599" s="15">
        <f>(Table5[[#This Row],[final_sale_price]]-Table5[[#This Row],[avg_comp_price]])/Table5[[#This Row],[avg_comp_price]]</f>
        <v>-0.16039166330105487</v>
      </c>
      <c r="R599" s="11">
        <f>Table5[[#This Row],[Profit]]/Table5[[#This Row],[Revenue]]</f>
        <v>0.34782608695652178</v>
      </c>
    </row>
    <row r="600" spans="1:18" x14ac:dyDescent="0.2">
      <c r="A600" s="4">
        <v>599</v>
      </c>
      <c r="B600" s="4">
        <v>82</v>
      </c>
      <c r="C600" s="6">
        <v>45180</v>
      </c>
      <c r="D600" s="4">
        <v>22</v>
      </c>
      <c r="E600" s="4">
        <v>4</v>
      </c>
      <c r="F600" s="12">
        <f t="shared" si="9"/>
        <v>1220.3712</v>
      </c>
      <c r="G600" t="str">
        <f>VLOOKUP(B600,product_tbl[],2,FALSE)</f>
        <v>Yoga Mat 82</v>
      </c>
      <c r="H600" t="str">
        <f>VLOOKUP(B600,product_tbl[],3,FALSE)</f>
        <v>Sports</v>
      </c>
      <c r="I600">
        <v>762.73199999999997</v>
      </c>
      <c r="J600">
        <f>VLOOKUP(B600,product_tbl[],5,FALSE)</f>
        <v>1271.22</v>
      </c>
      <c r="K600">
        <f>VLOOKUP(B600,review_tbl[],3,FALSE)</f>
        <v>2</v>
      </c>
      <c r="L600" s="11">
        <v>1361.5528770938088</v>
      </c>
      <c r="M600" s="11">
        <f>AVERAGEIF(Table1[product_id],Master_tbl!B600:B1601,Table1[competitor_price])</f>
        <v>2617.7080000000001</v>
      </c>
      <c r="N600" s="11">
        <f>IFERROR(Table5[[#This Row],[final_sale_price]]*Table5[[#This Row],[quantity_sold ]],0)</f>
        <v>26848.166400000002</v>
      </c>
      <c r="O600" s="11">
        <f>(Table5[[#This Row],[final_sale_price]]-Table5[[#This Row],[cost_price]])*Table5[[#This Row],[quantity_sold ]]</f>
        <v>10068.062400000003</v>
      </c>
      <c r="P600" s="11">
        <f>(Table5[final_sale_price]-Table5[[#This Row],[avg_comp_price]])</f>
        <v>-1397.3368</v>
      </c>
      <c r="Q600" s="15">
        <f>(Table5[[#This Row],[final_sale_price]]-Table5[[#This Row],[avg_comp_price]])/Table5[[#This Row],[avg_comp_price]]</f>
        <v>-0.53380163104517386</v>
      </c>
      <c r="R600" s="11">
        <f>Table5[[#This Row],[Profit]]/Table5[[#This Row],[Revenue]]</f>
        <v>0.37500000000000006</v>
      </c>
    </row>
    <row r="601" spans="1:18" x14ac:dyDescent="0.2">
      <c r="A601" s="5">
        <v>600</v>
      </c>
      <c r="B601" s="5">
        <v>26</v>
      </c>
      <c r="C601" s="7">
        <v>45726</v>
      </c>
      <c r="D601" s="5">
        <v>15</v>
      </c>
      <c r="E601" s="4">
        <v>9</v>
      </c>
      <c r="F601" s="12">
        <f t="shared" si="9"/>
        <v>5129.5972000000002</v>
      </c>
      <c r="G601" t="str">
        <f>VLOOKUP(B601,product_tbl[],2,FALSE)</f>
        <v>Rice Pack 26</v>
      </c>
      <c r="H601" t="str">
        <f>VLOOKUP(B601,product_tbl[],3,FALSE)</f>
        <v>Grocery</v>
      </c>
      <c r="I601">
        <v>3382.152</v>
      </c>
      <c r="J601">
        <f>VLOOKUP(B601,product_tbl[],5,FALSE)</f>
        <v>5636.92</v>
      </c>
      <c r="K601">
        <f>VLOOKUP(B601,review_tbl[],3,FALSE)</f>
        <v>4</v>
      </c>
      <c r="L601" s="11">
        <v>6684.5931832852011</v>
      </c>
      <c r="M601" s="11">
        <f>AVERAGEIF(Table1[product_id],Master_tbl!B601:B1602,Table1[competitor_price])</f>
        <v>3474.7766666666666</v>
      </c>
      <c r="N601" s="11">
        <f>IFERROR(Table5[[#This Row],[final_sale_price]]*Table5[[#This Row],[quantity_sold ]],0)</f>
        <v>76943.957999999999</v>
      </c>
      <c r="O601" s="11">
        <f>(Table5[[#This Row],[final_sale_price]]-Table5[[#This Row],[cost_price]])*Table5[[#This Row],[quantity_sold ]]</f>
        <v>26211.678</v>
      </c>
      <c r="P601" s="11">
        <f>(Table5[final_sale_price]-Table5[[#This Row],[avg_comp_price]])</f>
        <v>1654.8205333333335</v>
      </c>
      <c r="Q601" s="15">
        <f>(Table5[[#This Row],[final_sale_price]]-Table5[[#This Row],[avg_comp_price]])/Table5[[#This Row],[avg_comp_price]]</f>
        <v>0.47623795486136766</v>
      </c>
      <c r="R601" s="11">
        <f>Table5[[#This Row],[Profit]]/Table5[[#This Row],[Revenue]]</f>
        <v>0.34065934065934067</v>
      </c>
    </row>
    <row r="602" spans="1:18" x14ac:dyDescent="0.2">
      <c r="A602" s="4">
        <v>601</v>
      </c>
      <c r="B602" s="4">
        <v>50</v>
      </c>
      <c r="C602" s="6">
        <v>45926</v>
      </c>
      <c r="D602" s="4">
        <v>36</v>
      </c>
      <c r="E602" s="4">
        <v>9</v>
      </c>
      <c r="F602" s="12">
        <f t="shared" si="9"/>
        <v>1234.597</v>
      </c>
      <c r="G602" t="str">
        <f>VLOOKUP(B602,product_tbl[],2,FALSE)</f>
        <v>Doll 50</v>
      </c>
      <c r="H602" t="str">
        <f>VLOOKUP(B602,product_tbl[],3,FALSE)</f>
        <v>Toys</v>
      </c>
      <c r="I602">
        <v>814.02</v>
      </c>
      <c r="J602">
        <f>VLOOKUP(B602,product_tbl[],5,FALSE)</f>
        <v>1356.7</v>
      </c>
      <c r="K602">
        <f>VLOOKUP(B602,review_tbl[],3,FALSE)</f>
        <v>3</v>
      </c>
      <c r="L602" s="11">
        <v>1526.6589991769015</v>
      </c>
      <c r="M602" s="11">
        <f>AVERAGEIF(Table1[product_id],Master_tbl!B602:B1603,Table1[competitor_price])</f>
        <v>4909.6483333333335</v>
      </c>
      <c r="N602" s="11">
        <f>IFERROR(Table5[[#This Row],[final_sale_price]]*Table5[[#This Row],[quantity_sold ]],0)</f>
        <v>44445.491999999998</v>
      </c>
      <c r="O602" s="11">
        <f>(Table5[[#This Row],[final_sale_price]]-Table5[[#This Row],[cost_price]])*Table5[[#This Row],[quantity_sold ]]</f>
        <v>15140.772000000001</v>
      </c>
      <c r="P602" s="11">
        <f>(Table5[final_sale_price]-Table5[[#This Row],[avg_comp_price]])</f>
        <v>-3675.0513333333338</v>
      </c>
      <c r="Q602" s="15">
        <f>(Table5[[#This Row],[final_sale_price]]-Table5[[#This Row],[avg_comp_price]])/Table5[[#This Row],[avg_comp_price]]</f>
        <v>-0.74853657203553958</v>
      </c>
      <c r="R602" s="11">
        <f>Table5[[#This Row],[Profit]]/Table5[[#This Row],[Revenue]]</f>
        <v>0.34065934065934067</v>
      </c>
    </row>
    <row r="603" spans="1:18" x14ac:dyDescent="0.2">
      <c r="A603" s="5">
        <v>602</v>
      </c>
      <c r="B603" s="5">
        <v>49</v>
      </c>
      <c r="C603" s="7">
        <v>45523</v>
      </c>
      <c r="D603" s="5">
        <v>33</v>
      </c>
      <c r="E603" s="4">
        <v>7</v>
      </c>
      <c r="F603" s="12">
        <f t="shared" si="9"/>
        <v>3130.6961999999999</v>
      </c>
      <c r="G603" t="str">
        <f>VLOOKUP(B603,product_tbl[],2,FALSE)</f>
        <v>Foundation 49</v>
      </c>
      <c r="H603" t="str">
        <f>VLOOKUP(B603,product_tbl[],3,FALSE)</f>
        <v>Beauty</v>
      </c>
      <c r="I603">
        <v>2019.8040000000001</v>
      </c>
      <c r="J603">
        <f>VLOOKUP(B603,product_tbl[],5,FALSE)</f>
        <v>3366.34</v>
      </c>
      <c r="K603">
        <f>VLOOKUP(B603,review_tbl[],3,FALSE)</f>
        <v>4</v>
      </c>
      <c r="L603" s="11">
        <v>4270.994360212002</v>
      </c>
      <c r="M603" s="11">
        <f>AVERAGEIF(Table1[product_id],Master_tbl!B603:B1604,Table1[competitor_price])</f>
        <v>1635.5425</v>
      </c>
      <c r="N603" s="11">
        <f>IFERROR(Table5[[#This Row],[final_sale_price]]*Table5[[#This Row],[quantity_sold ]],0)</f>
        <v>103312.9746</v>
      </c>
      <c r="O603" s="11">
        <f>(Table5[[#This Row],[final_sale_price]]-Table5[[#This Row],[cost_price]])*Table5[[#This Row],[quantity_sold ]]</f>
        <v>36659.442599999995</v>
      </c>
      <c r="P603" s="11">
        <f>(Table5[final_sale_price]-Table5[[#This Row],[avg_comp_price]])</f>
        <v>1495.1536999999998</v>
      </c>
      <c r="Q603" s="15">
        <f>(Table5[[#This Row],[final_sale_price]]-Table5[[#This Row],[avg_comp_price]])/Table5[[#This Row],[avg_comp_price]]</f>
        <v>0.91416377134803883</v>
      </c>
      <c r="R603" s="11">
        <f>Table5[[#This Row],[Profit]]/Table5[[#This Row],[Revenue]]</f>
        <v>0.35483870967741932</v>
      </c>
    </row>
    <row r="604" spans="1:18" x14ac:dyDescent="0.2">
      <c r="A604" s="4">
        <v>603</v>
      </c>
      <c r="B604" s="4">
        <v>131</v>
      </c>
      <c r="C604" s="6">
        <v>45003</v>
      </c>
      <c r="D604" s="4">
        <v>7</v>
      </c>
      <c r="E604" s="4">
        <v>2</v>
      </c>
      <c r="F604" s="12">
        <f t="shared" si="9"/>
        <v>6068.7284</v>
      </c>
      <c r="G604" t="str">
        <f>VLOOKUP(B604,product_tbl[],2,FALSE)</f>
        <v>Lipstick 131</v>
      </c>
      <c r="H604" t="str">
        <f>VLOOKUP(B604,product_tbl[],3,FALSE)</f>
        <v>Beauty</v>
      </c>
      <c r="I604">
        <v>3715.5479999999998</v>
      </c>
      <c r="J604">
        <f>VLOOKUP(B604,product_tbl[],5,FALSE)</f>
        <v>6192.58</v>
      </c>
      <c r="K604">
        <f>VLOOKUP(B604,review_tbl[],3,FALSE)</f>
        <v>3</v>
      </c>
      <c r="L604" s="11">
        <v>7254.1668420536444</v>
      </c>
      <c r="M604" s="11">
        <f>AVERAGEIF(Table1[product_id],Master_tbl!B604:B1605,Table1[competitor_price])</f>
        <v>1795.3133333333335</v>
      </c>
      <c r="N604" s="11">
        <f>IFERROR(Table5[[#This Row],[final_sale_price]]*Table5[[#This Row],[quantity_sold ]],0)</f>
        <v>42481.0988</v>
      </c>
      <c r="O604" s="11">
        <f>(Table5[[#This Row],[final_sale_price]]-Table5[[#This Row],[cost_price]])*Table5[[#This Row],[quantity_sold ]]</f>
        <v>16472.2628</v>
      </c>
      <c r="P604" s="11">
        <f>(Table5[final_sale_price]-Table5[[#This Row],[avg_comp_price]])</f>
        <v>4273.4150666666665</v>
      </c>
      <c r="Q604" s="15">
        <f>(Table5[[#This Row],[final_sale_price]]-Table5[[#This Row],[avg_comp_price]])/Table5[[#This Row],[avg_comp_price]]</f>
        <v>2.3803171219879906</v>
      </c>
      <c r="R604" s="11">
        <f>Table5[[#This Row],[Profit]]/Table5[[#This Row],[Revenue]]</f>
        <v>0.38775510204081631</v>
      </c>
    </row>
    <row r="605" spans="1:18" x14ac:dyDescent="0.2">
      <c r="A605" s="5">
        <v>604</v>
      </c>
      <c r="B605" s="5">
        <v>56</v>
      </c>
      <c r="C605" s="7">
        <v>45453</v>
      </c>
      <c r="D605" s="5">
        <v>48</v>
      </c>
      <c r="E605" s="4">
        <v>6</v>
      </c>
      <c r="F605" s="12">
        <f t="shared" si="9"/>
        <v>7502.8919999999998</v>
      </c>
      <c r="G605" t="str">
        <f>VLOOKUP(B605,product_tbl[],2,FALSE)</f>
        <v>Smartwatch 56</v>
      </c>
      <c r="H605" t="str">
        <f>VLOOKUP(B605,product_tbl[],3,FALSE)</f>
        <v>Electronics</v>
      </c>
      <c r="I605">
        <v>4789.08</v>
      </c>
      <c r="J605">
        <f>VLOOKUP(B605,product_tbl[],5,FALSE)</f>
        <v>7981.8</v>
      </c>
      <c r="K605">
        <f>VLOOKUP(B605,review_tbl[],3,FALSE)</f>
        <v>5</v>
      </c>
      <c r="L605" s="11">
        <v>10303.480192886496</v>
      </c>
      <c r="M605" s="11">
        <f>AVERAGEIF(Table1[product_id],Master_tbl!B605:B1606,Table1[competitor_price])</f>
        <v>3458.9274999999998</v>
      </c>
      <c r="N605" s="11">
        <f>IFERROR(Table5[[#This Row],[final_sale_price]]*Table5[[#This Row],[quantity_sold ]],0)</f>
        <v>360138.81599999999</v>
      </c>
      <c r="O605" s="11">
        <f>(Table5[[#This Row],[final_sale_price]]-Table5[[#This Row],[cost_price]])*Table5[[#This Row],[quantity_sold ]]</f>
        <v>130262.976</v>
      </c>
      <c r="P605" s="11">
        <f>(Table5[final_sale_price]-Table5[[#This Row],[avg_comp_price]])</f>
        <v>4043.9645</v>
      </c>
      <c r="Q605" s="15">
        <f>(Table5[[#This Row],[final_sale_price]]-Table5[[#This Row],[avg_comp_price]])/Table5[[#This Row],[avg_comp_price]]</f>
        <v>1.1691382661243985</v>
      </c>
      <c r="R605" s="11">
        <f>Table5[[#This Row],[Profit]]/Table5[[#This Row],[Revenue]]</f>
        <v>0.36170212765957449</v>
      </c>
    </row>
    <row r="606" spans="1:18" x14ac:dyDescent="0.2">
      <c r="A606" s="4">
        <v>605</v>
      </c>
      <c r="B606" s="4">
        <v>76</v>
      </c>
      <c r="C606" s="6">
        <v>45029</v>
      </c>
      <c r="D606" s="4">
        <v>13</v>
      </c>
      <c r="E606" s="4">
        <v>3</v>
      </c>
      <c r="F606" s="12">
        <f t="shared" si="9"/>
        <v>2973.6028999999999</v>
      </c>
      <c r="G606" t="str">
        <f>VLOOKUP(B606,product_tbl[],2,FALSE)</f>
        <v>Laptop 76</v>
      </c>
      <c r="H606" t="str">
        <f>VLOOKUP(B606,product_tbl[],3,FALSE)</f>
        <v>Electronics</v>
      </c>
      <c r="I606">
        <v>1839.3420000000001</v>
      </c>
      <c r="J606">
        <f>VLOOKUP(B606,product_tbl[],5,FALSE)</f>
        <v>3065.57</v>
      </c>
      <c r="K606">
        <f>VLOOKUP(B606,review_tbl[],3,FALSE)</f>
        <v>1</v>
      </c>
      <c r="L606" s="11">
        <v>3364.8359915548062</v>
      </c>
      <c r="M606" s="11">
        <f>AVERAGEIF(Table1[product_id],Master_tbl!B606:B1607,Table1[competitor_price])</f>
        <v>831.92600000000004</v>
      </c>
      <c r="N606" s="11">
        <f>IFERROR(Table5[[#This Row],[final_sale_price]]*Table5[[#This Row],[quantity_sold ]],0)</f>
        <v>38656.837699999996</v>
      </c>
      <c r="O606" s="11">
        <f>(Table5[[#This Row],[final_sale_price]]-Table5[[#This Row],[cost_price]])*Table5[[#This Row],[quantity_sold ]]</f>
        <v>14745.391699999996</v>
      </c>
      <c r="P606" s="11">
        <f>(Table5[final_sale_price]-Table5[[#This Row],[avg_comp_price]])</f>
        <v>2141.6768999999999</v>
      </c>
      <c r="Q606" s="15">
        <f>(Table5[[#This Row],[final_sale_price]]-Table5[[#This Row],[avg_comp_price]])/Table5[[#This Row],[avg_comp_price]]</f>
        <v>2.5743598589297605</v>
      </c>
      <c r="R606" s="11">
        <f>Table5[[#This Row],[Profit]]/Table5[[#This Row],[Revenue]]</f>
        <v>0.38144329896907209</v>
      </c>
    </row>
    <row r="607" spans="1:18" x14ac:dyDescent="0.2">
      <c r="A607" s="5">
        <v>606</v>
      </c>
      <c r="B607" s="5">
        <v>144</v>
      </c>
      <c r="C607" s="7">
        <v>44974</v>
      </c>
      <c r="D607" s="5">
        <v>39</v>
      </c>
      <c r="E607" s="4">
        <v>2</v>
      </c>
      <c r="F607" s="12">
        <f t="shared" si="9"/>
        <v>1546.6556</v>
      </c>
      <c r="G607" t="str">
        <f>VLOOKUP(B607,product_tbl[],2,FALSE)</f>
        <v>Air Conditioner 144</v>
      </c>
      <c r="H607" t="str">
        <f>VLOOKUP(B607,product_tbl[],3,FALSE)</f>
        <v>Home Appliances</v>
      </c>
      <c r="I607">
        <v>946.93200000000002</v>
      </c>
      <c r="J607">
        <f>VLOOKUP(B607,product_tbl[],5,FALSE)</f>
        <v>1578.22</v>
      </c>
      <c r="K607">
        <f>VLOOKUP(B607,review_tbl[],3,FALSE)</f>
        <v>2</v>
      </c>
      <c r="L607" s="11">
        <v>1698.0931163040975</v>
      </c>
      <c r="M607" s="11">
        <f>AVERAGEIF(Table1[product_id],Master_tbl!B607:B1608,Table1[competitor_price])</f>
        <v>6414.0239999999994</v>
      </c>
      <c r="N607" s="11">
        <f>IFERROR(Table5[[#This Row],[final_sale_price]]*Table5[[#This Row],[quantity_sold ]],0)</f>
        <v>60319.568400000004</v>
      </c>
      <c r="O607" s="11">
        <f>(Table5[[#This Row],[final_sale_price]]-Table5[[#This Row],[cost_price]])*Table5[[#This Row],[quantity_sold ]]</f>
        <v>23389.220400000002</v>
      </c>
      <c r="P607" s="11">
        <f>(Table5[final_sale_price]-Table5[[#This Row],[avg_comp_price]])</f>
        <v>-4867.3683999999994</v>
      </c>
      <c r="Q607" s="15">
        <f>(Table5[[#This Row],[final_sale_price]]-Table5[[#This Row],[avg_comp_price]])/Table5[[#This Row],[avg_comp_price]]</f>
        <v>-0.75886345295870417</v>
      </c>
      <c r="R607" s="11">
        <f>Table5[[#This Row],[Profit]]/Table5[[#This Row],[Revenue]]</f>
        <v>0.38775510204081631</v>
      </c>
    </row>
    <row r="608" spans="1:18" x14ac:dyDescent="0.2">
      <c r="A608" s="4">
        <v>607</v>
      </c>
      <c r="B608" s="4">
        <v>91</v>
      </c>
      <c r="C608" s="6">
        <v>45453</v>
      </c>
      <c r="D608" s="4">
        <v>45</v>
      </c>
      <c r="E608" s="4">
        <v>10</v>
      </c>
      <c r="F608" s="12">
        <f t="shared" si="9"/>
        <v>2846.7000000000003</v>
      </c>
      <c r="G608" t="str">
        <f>VLOOKUP(B608,product_tbl[],2,FALSE)</f>
        <v>Sunglasses 91</v>
      </c>
      <c r="H608" t="str">
        <f>VLOOKUP(B608,product_tbl[],3,FALSE)</f>
        <v>Fashion</v>
      </c>
      <c r="I608">
        <v>1897.8</v>
      </c>
      <c r="J608">
        <f>VLOOKUP(B608,product_tbl[],5,FALSE)</f>
        <v>3163</v>
      </c>
      <c r="K608">
        <f>VLOOKUP(B608,review_tbl[],3,FALSE)</f>
        <v>2</v>
      </c>
      <c r="L608" s="11">
        <v>3255.6718868091416</v>
      </c>
      <c r="M608" s="11">
        <f>AVERAGEIF(Table1[product_id],Master_tbl!B608:B1609,Table1[competitor_price])</f>
        <v>4782.2433333333329</v>
      </c>
      <c r="N608" s="11">
        <f>IFERROR(Table5[[#This Row],[final_sale_price]]*Table5[[#This Row],[quantity_sold ]],0)</f>
        <v>128101.50000000001</v>
      </c>
      <c r="O608" s="11">
        <f>(Table5[[#This Row],[final_sale_price]]-Table5[[#This Row],[cost_price]])*Table5[[#This Row],[quantity_sold ]]</f>
        <v>42700.500000000015</v>
      </c>
      <c r="P608" s="11">
        <f>(Table5[final_sale_price]-Table5[[#This Row],[avg_comp_price]])</f>
        <v>-1935.5433333333326</v>
      </c>
      <c r="Q608" s="15">
        <f>(Table5[[#This Row],[final_sale_price]]-Table5[[#This Row],[avg_comp_price]])/Table5[[#This Row],[avg_comp_price]]</f>
        <v>-0.40473543448576771</v>
      </c>
      <c r="R608" s="11">
        <f>Table5[[#This Row],[Profit]]/Table5[[#This Row],[Revenue]]</f>
        <v>0.33333333333333343</v>
      </c>
    </row>
    <row r="609" spans="1:18" x14ac:dyDescent="0.2">
      <c r="A609" s="5">
        <v>608</v>
      </c>
      <c r="B609" s="5">
        <v>80</v>
      </c>
      <c r="C609" s="7">
        <v>45453</v>
      </c>
      <c r="D609" s="5">
        <v>45</v>
      </c>
      <c r="E609" s="4">
        <v>5</v>
      </c>
      <c r="F609" s="12">
        <f t="shared" si="9"/>
        <v>949.11649999999997</v>
      </c>
      <c r="G609" t="str">
        <f>VLOOKUP(B609,product_tbl[],2,FALSE)</f>
        <v>Washing Machine 80</v>
      </c>
      <c r="H609" t="str">
        <f>VLOOKUP(B609,product_tbl[],3,FALSE)</f>
        <v>Home Appliances</v>
      </c>
      <c r="I609">
        <v>599.44200000000001</v>
      </c>
      <c r="J609">
        <f>VLOOKUP(B609,product_tbl[],5,FALSE)</f>
        <v>999.07</v>
      </c>
      <c r="K609">
        <f>VLOOKUP(B609,review_tbl[],3,FALSE)</f>
        <v>5</v>
      </c>
      <c r="L609" s="11">
        <v>1197.2620321170702</v>
      </c>
      <c r="M609" s="11">
        <f>AVERAGEIF(Table1[product_id],Master_tbl!B609:B1610,Table1[competitor_price])</f>
        <v>4319.1966666666667</v>
      </c>
      <c r="N609" s="11">
        <f>IFERROR(Table5[[#This Row],[final_sale_price]]*Table5[[#This Row],[quantity_sold ]],0)</f>
        <v>42710.2425</v>
      </c>
      <c r="O609" s="11">
        <f>(Table5[[#This Row],[final_sale_price]]-Table5[[#This Row],[cost_price]])*Table5[[#This Row],[quantity_sold ]]</f>
        <v>15735.352499999999</v>
      </c>
      <c r="P609" s="11">
        <f>(Table5[final_sale_price]-Table5[[#This Row],[avg_comp_price]])</f>
        <v>-3370.0801666666666</v>
      </c>
      <c r="Q609" s="15">
        <f>(Table5[[#This Row],[final_sale_price]]-Table5[[#This Row],[avg_comp_price]])/Table5[[#This Row],[avg_comp_price]]</f>
        <v>-0.78025624363789869</v>
      </c>
      <c r="R609" s="11">
        <f>Table5[[#This Row],[Profit]]/Table5[[#This Row],[Revenue]]</f>
        <v>0.36842105263157893</v>
      </c>
    </row>
    <row r="610" spans="1:18" x14ac:dyDescent="0.2">
      <c r="A610" s="4">
        <v>609</v>
      </c>
      <c r="B610" s="4">
        <v>96</v>
      </c>
      <c r="C610" s="6">
        <v>45785</v>
      </c>
      <c r="D610" s="4">
        <v>41</v>
      </c>
      <c r="E610" s="4">
        <v>8</v>
      </c>
      <c r="F610" s="12">
        <f t="shared" si="9"/>
        <v>4953.6848</v>
      </c>
      <c r="G610" t="str">
        <f>VLOOKUP(B610,product_tbl[],2,FALSE)</f>
        <v>Gym Gloves 96</v>
      </c>
      <c r="H610" t="str">
        <f>VLOOKUP(B610,product_tbl[],3,FALSE)</f>
        <v>Sports</v>
      </c>
      <c r="I610">
        <v>3230.6639999999998</v>
      </c>
      <c r="J610">
        <f>VLOOKUP(B610,product_tbl[],5,FALSE)</f>
        <v>5384.44</v>
      </c>
      <c r="K610">
        <f>VLOOKUP(B610,review_tbl[],3,FALSE)</f>
        <v>3</v>
      </c>
      <c r="L610" s="11">
        <v>6408.8245725294018</v>
      </c>
      <c r="M610" s="11">
        <f>AVERAGEIF(Table1[product_id],Master_tbl!B610:B1611,Table1[competitor_price])</f>
        <v>3578.9180000000001</v>
      </c>
      <c r="N610" s="11">
        <f>IFERROR(Table5[[#This Row],[final_sale_price]]*Table5[[#This Row],[quantity_sold ]],0)</f>
        <v>203101.07680000001</v>
      </c>
      <c r="O610" s="11">
        <f>(Table5[[#This Row],[final_sale_price]]-Table5[[#This Row],[cost_price]])*Table5[[#This Row],[quantity_sold ]]</f>
        <v>70643.852800000008</v>
      </c>
      <c r="P610" s="11">
        <f>(Table5[final_sale_price]-Table5[[#This Row],[avg_comp_price]])</f>
        <v>1374.7667999999999</v>
      </c>
      <c r="Q610" s="15">
        <f>(Table5[[#This Row],[final_sale_price]]-Table5[[#This Row],[avg_comp_price]])/Table5[[#This Row],[avg_comp_price]]</f>
        <v>0.38412916976583422</v>
      </c>
      <c r="R610" s="11">
        <f>Table5[[#This Row],[Profit]]/Table5[[#This Row],[Revenue]]</f>
        <v>0.34782608695652178</v>
      </c>
    </row>
    <row r="611" spans="1:18" x14ac:dyDescent="0.2">
      <c r="A611" s="5">
        <v>610</v>
      </c>
      <c r="B611" s="5">
        <v>59</v>
      </c>
      <c r="C611" s="7">
        <v>45693</v>
      </c>
      <c r="D611" s="5">
        <v>21</v>
      </c>
      <c r="E611" s="4">
        <v>6</v>
      </c>
      <c r="F611" s="12">
        <f t="shared" si="9"/>
        <v>3901.4794000000002</v>
      </c>
      <c r="G611" t="str">
        <f>VLOOKUP(B611,product_tbl[],2,FALSE)</f>
        <v>Smartwatch 59</v>
      </c>
      <c r="H611" t="str">
        <f>VLOOKUP(B611,product_tbl[],3,FALSE)</f>
        <v>Electronics</v>
      </c>
      <c r="I611">
        <v>2490.306</v>
      </c>
      <c r="J611">
        <f>VLOOKUP(B611,product_tbl[],5,FALSE)</f>
        <v>4150.51</v>
      </c>
      <c r="K611">
        <f>VLOOKUP(B611,review_tbl[],3,FALSE)</f>
        <v>3</v>
      </c>
      <c r="L611" s="11">
        <v>4757.0230239354842</v>
      </c>
      <c r="M611" s="11">
        <f>AVERAGEIF(Table1[product_id],Master_tbl!B611:B1612,Table1[competitor_price])</f>
        <v>6105.9674999999997</v>
      </c>
      <c r="N611" s="11">
        <f>IFERROR(Table5[[#This Row],[final_sale_price]]*Table5[[#This Row],[quantity_sold ]],0)</f>
        <v>81931.0674</v>
      </c>
      <c r="O611" s="11">
        <f>(Table5[[#This Row],[final_sale_price]]-Table5[[#This Row],[cost_price]])*Table5[[#This Row],[quantity_sold ]]</f>
        <v>29634.641400000004</v>
      </c>
      <c r="P611" s="11">
        <f>(Table5[final_sale_price]-Table5[[#This Row],[avg_comp_price]])</f>
        <v>-2204.4880999999996</v>
      </c>
      <c r="Q611" s="15">
        <f>(Table5[[#This Row],[final_sale_price]]-Table5[[#This Row],[avg_comp_price]])/Table5[[#This Row],[avg_comp_price]]</f>
        <v>-0.36103829573282198</v>
      </c>
      <c r="R611" s="11">
        <f>Table5[[#This Row],[Profit]]/Table5[[#This Row],[Revenue]]</f>
        <v>0.36170212765957449</v>
      </c>
    </row>
    <row r="612" spans="1:18" x14ac:dyDescent="0.2">
      <c r="A612" s="4">
        <v>611</v>
      </c>
      <c r="B612" s="4">
        <v>91</v>
      </c>
      <c r="C612" s="6">
        <v>44959</v>
      </c>
      <c r="D612" s="4">
        <v>6</v>
      </c>
      <c r="E612" s="4">
        <v>6</v>
      </c>
      <c r="F612" s="12">
        <f t="shared" si="9"/>
        <v>2973.22</v>
      </c>
      <c r="G612" t="str">
        <f>VLOOKUP(B612,product_tbl[],2,FALSE)</f>
        <v>Sunglasses 91</v>
      </c>
      <c r="H612" t="str">
        <f>VLOOKUP(B612,product_tbl[],3,FALSE)</f>
        <v>Fashion</v>
      </c>
      <c r="I612">
        <v>1897.8</v>
      </c>
      <c r="J612">
        <f>VLOOKUP(B612,product_tbl[],5,FALSE)</f>
        <v>3163</v>
      </c>
      <c r="K612">
        <f>VLOOKUP(B612,review_tbl[],3,FALSE)</f>
        <v>2</v>
      </c>
      <c r="L612" s="11">
        <v>3711.512918600371</v>
      </c>
      <c r="M612" s="11">
        <f>AVERAGEIF(Table1[product_id],Master_tbl!B612:B1613,Table1[competitor_price])</f>
        <v>4782.2433333333329</v>
      </c>
      <c r="N612" s="11">
        <f>IFERROR(Table5[[#This Row],[final_sale_price]]*Table5[[#This Row],[quantity_sold ]],0)</f>
        <v>17839.32</v>
      </c>
      <c r="O612" s="11">
        <f>(Table5[[#This Row],[final_sale_price]]-Table5[[#This Row],[cost_price]])*Table5[[#This Row],[quantity_sold ]]</f>
        <v>6452.5199999999986</v>
      </c>
      <c r="P612" s="11">
        <f>(Table5[final_sale_price]-Table5[[#This Row],[avg_comp_price]])</f>
        <v>-1809.0233333333331</v>
      </c>
      <c r="Q612" s="15">
        <f>(Table5[[#This Row],[final_sale_price]]-Table5[[#This Row],[avg_comp_price]])/Table5[[#This Row],[avg_comp_price]]</f>
        <v>-0.37827923157402416</v>
      </c>
      <c r="R612" s="11">
        <f>Table5[[#This Row],[Profit]]/Table5[[#This Row],[Revenue]]</f>
        <v>0.36170212765957438</v>
      </c>
    </row>
    <row r="613" spans="1:18" x14ac:dyDescent="0.2">
      <c r="A613" s="5">
        <v>612</v>
      </c>
      <c r="B613" s="5">
        <v>144</v>
      </c>
      <c r="C613" s="7">
        <v>45381</v>
      </c>
      <c r="D613" s="5">
        <v>22</v>
      </c>
      <c r="E613" s="4">
        <v>6</v>
      </c>
      <c r="F613" s="12">
        <f t="shared" si="9"/>
        <v>1483.5267999999999</v>
      </c>
      <c r="G613" t="str">
        <f>VLOOKUP(B613,product_tbl[],2,FALSE)</f>
        <v>Air Conditioner 144</v>
      </c>
      <c r="H613" t="str">
        <f>VLOOKUP(B613,product_tbl[],3,FALSE)</f>
        <v>Home Appliances</v>
      </c>
      <c r="I613">
        <v>946.93200000000002</v>
      </c>
      <c r="J613">
        <f>VLOOKUP(B613,product_tbl[],5,FALSE)</f>
        <v>1578.22</v>
      </c>
      <c r="K613">
        <f>VLOOKUP(B613,review_tbl[],3,FALSE)</f>
        <v>2</v>
      </c>
      <c r="L613" s="11">
        <v>1777.2724991313412</v>
      </c>
      <c r="M613" s="11">
        <f>AVERAGEIF(Table1[product_id],Master_tbl!B613:B1614,Table1[competitor_price])</f>
        <v>6414.0239999999994</v>
      </c>
      <c r="N613" s="11">
        <f>IFERROR(Table5[[#This Row],[final_sale_price]]*Table5[[#This Row],[quantity_sold ]],0)</f>
        <v>32637.589599999996</v>
      </c>
      <c r="O613" s="11">
        <f>(Table5[[#This Row],[final_sale_price]]-Table5[[#This Row],[cost_price]])*Table5[[#This Row],[quantity_sold ]]</f>
        <v>11805.085599999997</v>
      </c>
      <c r="P613" s="11">
        <f>(Table5[final_sale_price]-Table5[[#This Row],[avg_comp_price]])</f>
        <v>-4930.4971999999998</v>
      </c>
      <c r="Q613" s="15">
        <f>(Table5[[#This Row],[final_sale_price]]-Table5[[#This Row],[avg_comp_price]])/Table5[[#This Row],[avg_comp_price]]</f>
        <v>-0.76870576100120613</v>
      </c>
      <c r="R613" s="11">
        <f>Table5[[#This Row],[Profit]]/Table5[[#This Row],[Revenue]]</f>
        <v>0.36170212765957444</v>
      </c>
    </row>
    <row r="614" spans="1:18" x14ac:dyDescent="0.2">
      <c r="A614" s="4">
        <v>613</v>
      </c>
      <c r="B614" s="4">
        <v>27</v>
      </c>
      <c r="C614" s="6">
        <v>44946</v>
      </c>
      <c r="D614" s="4">
        <v>20</v>
      </c>
      <c r="E614" s="4">
        <v>5</v>
      </c>
      <c r="F614" s="12">
        <f t="shared" si="9"/>
        <v>1541.7550000000001</v>
      </c>
      <c r="G614" t="str">
        <f>VLOOKUP(B614,product_tbl[],2,FALSE)</f>
        <v>Action Figure 27</v>
      </c>
      <c r="H614" t="str">
        <f>VLOOKUP(B614,product_tbl[],3,FALSE)</f>
        <v>Toys</v>
      </c>
      <c r="I614">
        <v>973.74</v>
      </c>
      <c r="J614">
        <f>VLOOKUP(B614,product_tbl[],5,FALSE)</f>
        <v>1622.9</v>
      </c>
      <c r="K614">
        <f>VLOOKUP(B614,review_tbl[],3,FALSE)</f>
        <v>1</v>
      </c>
      <c r="L614" s="11">
        <v>1993.1531829873211</v>
      </c>
      <c r="M614" s="11">
        <f>AVERAGEIF(Table1[product_id],Master_tbl!B614:B1615,Table1[competitor_price])</f>
        <v>4440.416666666667</v>
      </c>
      <c r="N614" s="11">
        <f>IFERROR(Table5[[#This Row],[final_sale_price]]*Table5[[#This Row],[quantity_sold ]],0)</f>
        <v>30835.100000000002</v>
      </c>
      <c r="O614" s="11">
        <f>(Table5[[#This Row],[final_sale_price]]-Table5[[#This Row],[cost_price]])*Table5[[#This Row],[quantity_sold ]]</f>
        <v>11360.300000000003</v>
      </c>
      <c r="P614" s="11">
        <f>(Table5[final_sale_price]-Table5[[#This Row],[avg_comp_price]])</f>
        <v>-2898.6616666666669</v>
      </c>
      <c r="Q614" s="15">
        <f>(Table5[[#This Row],[final_sale_price]]-Table5[[#This Row],[avg_comp_price]])/Table5[[#This Row],[avg_comp_price]]</f>
        <v>-0.65279046636013882</v>
      </c>
      <c r="R614" s="11">
        <f>Table5[[#This Row],[Profit]]/Table5[[#This Row],[Revenue]]</f>
        <v>0.36842105263157904</v>
      </c>
    </row>
    <row r="615" spans="1:18" x14ac:dyDescent="0.2">
      <c r="A615" s="5">
        <v>614</v>
      </c>
      <c r="B615" s="5">
        <v>149</v>
      </c>
      <c r="C615" s="7">
        <v>45640</v>
      </c>
      <c r="D615" s="5">
        <v>41</v>
      </c>
      <c r="E615" s="4">
        <v>8</v>
      </c>
      <c r="F615" s="12">
        <f t="shared" si="9"/>
        <v>5637.5576000000001</v>
      </c>
      <c r="G615" t="str">
        <f>VLOOKUP(B615,product_tbl[],2,FALSE)</f>
        <v>Smartphone 149</v>
      </c>
      <c r="H615" t="str">
        <f>VLOOKUP(B615,product_tbl[],3,FALSE)</f>
        <v>Electronics</v>
      </c>
      <c r="I615">
        <v>3676.6679999999997</v>
      </c>
      <c r="J615">
        <f>VLOOKUP(B615,product_tbl[],5,FALSE)</f>
        <v>6127.78</v>
      </c>
      <c r="K615">
        <f>VLOOKUP(B615,review_tbl[],3,FALSE)</f>
        <v>4</v>
      </c>
      <c r="L615" s="11">
        <v>7408.0398737201158</v>
      </c>
      <c r="M615" s="11">
        <f>AVERAGEIF(Table1[product_id],Master_tbl!B615:B1616,Table1[competitor_price])</f>
        <v>3159.4639999999999</v>
      </c>
      <c r="N615" s="11">
        <f>IFERROR(Table5[[#This Row],[final_sale_price]]*Table5[[#This Row],[quantity_sold ]],0)</f>
        <v>231139.8616</v>
      </c>
      <c r="O615" s="11">
        <f>(Table5[[#This Row],[final_sale_price]]-Table5[[#This Row],[cost_price]])*Table5[[#This Row],[quantity_sold ]]</f>
        <v>80396.473600000012</v>
      </c>
      <c r="P615" s="11">
        <f>(Table5[final_sale_price]-Table5[[#This Row],[avg_comp_price]])</f>
        <v>2478.0936000000002</v>
      </c>
      <c r="Q615" s="15">
        <f>(Table5[[#This Row],[final_sale_price]]-Table5[[#This Row],[avg_comp_price]])/Table5[[#This Row],[avg_comp_price]]</f>
        <v>0.78433987537126559</v>
      </c>
      <c r="R615" s="11">
        <f>Table5[[#This Row],[Profit]]/Table5[[#This Row],[Revenue]]</f>
        <v>0.34782608695652178</v>
      </c>
    </row>
    <row r="616" spans="1:18" x14ac:dyDescent="0.2">
      <c r="A616" s="4">
        <v>615</v>
      </c>
      <c r="B616" s="4">
        <v>6</v>
      </c>
      <c r="C616" s="6">
        <v>45999</v>
      </c>
      <c r="D616" s="4">
        <v>40</v>
      </c>
      <c r="E616" s="4">
        <v>8</v>
      </c>
      <c r="F616" s="12">
        <f t="shared" si="9"/>
        <v>3795.1656000000003</v>
      </c>
      <c r="G616" t="str">
        <f>VLOOKUP(B616,product_tbl[],2,FALSE)</f>
        <v>Microwave 6</v>
      </c>
      <c r="H616" t="str">
        <f>VLOOKUP(B616,product_tbl[],3,FALSE)</f>
        <v>Home Appliances</v>
      </c>
      <c r="I616">
        <v>2475.1080000000002</v>
      </c>
      <c r="J616">
        <f>VLOOKUP(B616,product_tbl[],5,FALSE)</f>
        <v>4125.18</v>
      </c>
      <c r="K616">
        <f>VLOOKUP(B616,review_tbl[],3,FALSE)</f>
        <v>5</v>
      </c>
      <c r="L616" s="11">
        <v>5282.8577872678015</v>
      </c>
      <c r="M616" s="11">
        <f>AVERAGEIF(Table1[product_id],Master_tbl!B616:B1617,Table1[competitor_price])</f>
        <v>6862.0275000000001</v>
      </c>
      <c r="N616" s="11">
        <f>IFERROR(Table5[[#This Row],[final_sale_price]]*Table5[[#This Row],[quantity_sold ]],0)</f>
        <v>151806.62400000001</v>
      </c>
      <c r="O616" s="11">
        <f>(Table5[[#This Row],[final_sale_price]]-Table5[[#This Row],[cost_price]])*Table5[[#This Row],[quantity_sold ]]</f>
        <v>52802.304000000004</v>
      </c>
      <c r="P616" s="11">
        <f>(Table5[final_sale_price]-Table5[[#This Row],[avg_comp_price]])</f>
        <v>-3066.8618999999999</v>
      </c>
      <c r="Q616" s="15">
        <f>(Table5[[#This Row],[final_sale_price]]-Table5[[#This Row],[avg_comp_price]])/Table5[[#This Row],[avg_comp_price]]</f>
        <v>-0.44693232430211038</v>
      </c>
      <c r="R616" s="11">
        <f>Table5[[#This Row],[Profit]]/Table5[[#This Row],[Revenue]]</f>
        <v>0.34782608695652173</v>
      </c>
    </row>
    <row r="617" spans="1:18" x14ac:dyDescent="0.2">
      <c r="A617" s="5">
        <v>616</v>
      </c>
      <c r="B617" s="5">
        <v>12</v>
      </c>
      <c r="C617" s="7">
        <v>45822</v>
      </c>
      <c r="D617" s="5">
        <v>35</v>
      </c>
      <c r="E617" s="4">
        <v>7</v>
      </c>
      <c r="F617" s="12">
        <f t="shared" si="9"/>
        <v>1502.1824999999999</v>
      </c>
      <c r="G617" t="str">
        <f>VLOOKUP(B617,product_tbl[],2,FALSE)</f>
        <v>Running Shoes 12</v>
      </c>
      <c r="H617" t="str">
        <f>VLOOKUP(B617,product_tbl[],3,FALSE)</f>
        <v>Sports</v>
      </c>
      <c r="I617">
        <v>969.15</v>
      </c>
      <c r="J617">
        <f>VLOOKUP(B617,product_tbl[],5,FALSE)</f>
        <v>1615.25</v>
      </c>
      <c r="K617">
        <f>VLOOKUP(B617,review_tbl[],3,FALSE)</f>
        <v>3</v>
      </c>
      <c r="L617" s="11">
        <v>1643.5423973124266</v>
      </c>
      <c r="M617" s="11">
        <f>AVERAGEIF(Table1[product_id],Master_tbl!B617:B1618,Table1[competitor_price])</f>
        <v>4365.21</v>
      </c>
      <c r="N617" s="11">
        <f>IFERROR(Table5[[#This Row],[final_sale_price]]*Table5[[#This Row],[quantity_sold ]],0)</f>
        <v>52576.387499999997</v>
      </c>
      <c r="O617" s="11">
        <f>(Table5[[#This Row],[final_sale_price]]-Table5[[#This Row],[cost_price]])*Table5[[#This Row],[quantity_sold ]]</f>
        <v>18656.137499999997</v>
      </c>
      <c r="P617" s="11">
        <f>(Table5[final_sale_price]-Table5[[#This Row],[avg_comp_price]])</f>
        <v>-2863.0275000000001</v>
      </c>
      <c r="Q617" s="15">
        <f>(Table5[[#This Row],[final_sale_price]]-Table5[[#This Row],[avg_comp_price]])/Table5[[#This Row],[avg_comp_price]]</f>
        <v>-0.65587394420886969</v>
      </c>
      <c r="R617" s="11">
        <f>Table5[[#This Row],[Profit]]/Table5[[#This Row],[Revenue]]</f>
        <v>0.35483870967741932</v>
      </c>
    </row>
    <row r="618" spans="1:18" x14ac:dyDescent="0.2">
      <c r="A618" s="4">
        <v>617</v>
      </c>
      <c r="B618" s="4">
        <v>132</v>
      </c>
      <c r="C618" s="6">
        <v>45911</v>
      </c>
      <c r="D618" s="4">
        <v>46</v>
      </c>
      <c r="E618" s="4">
        <v>3</v>
      </c>
      <c r="F618" s="12">
        <f t="shared" si="9"/>
        <v>5323.6800999999996</v>
      </c>
      <c r="G618" t="str">
        <f>VLOOKUP(B618,product_tbl[],2,FALSE)</f>
        <v>Cricket Bat 132</v>
      </c>
      <c r="H618" t="str">
        <f>VLOOKUP(B618,product_tbl[],3,FALSE)</f>
        <v>Sports</v>
      </c>
      <c r="I618">
        <v>3292.998</v>
      </c>
      <c r="J618">
        <f>VLOOKUP(B618,product_tbl[],5,FALSE)</f>
        <v>5488.33</v>
      </c>
      <c r="K618">
        <f>VLOOKUP(B618,review_tbl[],3,FALSE)</f>
        <v>5</v>
      </c>
      <c r="L618" s="11">
        <v>6773.7490516712969</v>
      </c>
      <c r="M618" s="11">
        <f>AVERAGEIF(Table1[product_id],Master_tbl!B618:B1619,Table1[competitor_price])</f>
        <v>3374.6533333333332</v>
      </c>
      <c r="N618" s="11">
        <f>IFERROR(Table5[[#This Row],[final_sale_price]]*Table5[[#This Row],[quantity_sold ]],0)</f>
        <v>244889.28459999998</v>
      </c>
      <c r="O618" s="11">
        <f>(Table5[[#This Row],[final_sale_price]]-Table5[[#This Row],[cost_price]])*Table5[[#This Row],[quantity_sold ]]</f>
        <v>93411.376599999974</v>
      </c>
      <c r="P618" s="11">
        <f>(Table5[final_sale_price]-Table5[[#This Row],[avg_comp_price]])</f>
        <v>1949.0267666666664</v>
      </c>
      <c r="Q618" s="15">
        <f>(Table5[[#This Row],[final_sale_price]]-Table5[[#This Row],[avg_comp_price]])/Table5[[#This Row],[avg_comp_price]]</f>
        <v>0.57754873587015354</v>
      </c>
      <c r="R618" s="11">
        <f>Table5[[#This Row],[Profit]]/Table5[[#This Row],[Revenue]]</f>
        <v>0.38144329896907209</v>
      </c>
    </row>
    <row r="619" spans="1:18" x14ac:dyDescent="0.2">
      <c r="A619" s="5">
        <v>618</v>
      </c>
      <c r="B619" s="5">
        <v>91</v>
      </c>
      <c r="C619" s="7">
        <v>45073</v>
      </c>
      <c r="D619" s="5">
        <v>2</v>
      </c>
      <c r="E619" s="4">
        <v>6</v>
      </c>
      <c r="F619" s="12">
        <f t="shared" si="9"/>
        <v>2973.22</v>
      </c>
      <c r="G619" t="str">
        <f>VLOOKUP(B619,product_tbl[],2,FALSE)</f>
        <v>Sunglasses 91</v>
      </c>
      <c r="H619" t="str">
        <f>VLOOKUP(B619,product_tbl[],3,FALSE)</f>
        <v>Fashion</v>
      </c>
      <c r="I619">
        <v>1897.8</v>
      </c>
      <c r="J619">
        <f>VLOOKUP(B619,product_tbl[],5,FALSE)</f>
        <v>3163</v>
      </c>
      <c r="K619">
        <f>VLOOKUP(B619,review_tbl[],3,FALSE)</f>
        <v>2</v>
      </c>
      <c r="L619" s="11">
        <v>3442.8540788365126</v>
      </c>
      <c r="M619" s="11">
        <f>AVERAGEIF(Table1[product_id],Master_tbl!B619:B1620,Table1[competitor_price])</f>
        <v>4782.2433333333329</v>
      </c>
      <c r="N619" s="11">
        <f>IFERROR(Table5[[#This Row],[final_sale_price]]*Table5[[#This Row],[quantity_sold ]],0)</f>
        <v>5946.44</v>
      </c>
      <c r="O619" s="11">
        <f>(Table5[[#This Row],[final_sale_price]]-Table5[[#This Row],[cost_price]])*Table5[[#This Row],[quantity_sold ]]</f>
        <v>2150.8399999999997</v>
      </c>
      <c r="P619" s="11">
        <f>(Table5[final_sale_price]-Table5[[#This Row],[avg_comp_price]])</f>
        <v>-1809.0233333333331</v>
      </c>
      <c r="Q619" s="15">
        <f>(Table5[[#This Row],[final_sale_price]]-Table5[[#This Row],[avg_comp_price]])/Table5[[#This Row],[avg_comp_price]]</f>
        <v>-0.37827923157402416</v>
      </c>
      <c r="R619" s="11">
        <f>Table5[[#This Row],[Profit]]/Table5[[#This Row],[Revenue]]</f>
        <v>0.36170212765957444</v>
      </c>
    </row>
    <row r="620" spans="1:18" x14ac:dyDescent="0.2">
      <c r="A620" s="4">
        <v>619</v>
      </c>
      <c r="B620" s="4">
        <v>71</v>
      </c>
      <c r="C620" s="6">
        <v>45276</v>
      </c>
      <c r="D620" s="4">
        <v>46</v>
      </c>
      <c r="E620" s="4">
        <v>6</v>
      </c>
      <c r="F620" s="12">
        <f t="shared" si="9"/>
        <v>4635.3843999999999</v>
      </c>
      <c r="G620" t="str">
        <f>VLOOKUP(B620,product_tbl[],2,FALSE)</f>
        <v>Self Help Book 71</v>
      </c>
      <c r="H620" t="str">
        <f>VLOOKUP(B620,product_tbl[],3,FALSE)</f>
        <v>Books</v>
      </c>
      <c r="I620">
        <v>2958.7559999999999</v>
      </c>
      <c r="J620">
        <f>VLOOKUP(B620,product_tbl[],5,FALSE)</f>
        <v>4931.26</v>
      </c>
      <c r="K620">
        <f>VLOOKUP(B620,review_tbl[],3,FALSE)</f>
        <v>3</v>
      </c>
      <c r="L620" s="11">
        <v>6397.7746062280685</v>
      </c>
      <c r="M620" s="11">
        <f>AVERAGEIF(Table1[product_id],Master_tbl!B620:B1621,Table1[competitor_price])</f>
        <v>2482.0633333333335</v>
      </c>
      <c r="N620" s="11">
        <f>IFERROR(Table5[[#This Row],[final_sale_price]]*Table5[[#This Row],[quantity_sold ]],0)</f>
        <v>213227.68239999999</v>
      </c>
      <c r="O620" s="11">
        <f>(Table5[[#This Row],[final_sale_price]]-Table5[[#This Row],[cost_price]])*Table5[[#This Row],[quantity_sold ]]</f>
        <v>77124.906400000007</v>
      </c>
      <c r="P620" s="11">
        <f>(Table5[final_sale_price]-Table5[[#This Row],[avg_comp_price]])</f>
        <v>2153.3210666666664</v>
      </c>
      <c r="Q620" s="15">
        <f>(Table5[[#This Row],[final_sale_price]]-Table5[[#This Row],[avg_comp_price]])/Table5[[#This Row],[avg_comp_price]]</f>
        <v>0.86755282903068531</v>
      </c>
      <c r="R620" s="11">
        <f>Table5[[#This Row],[Profit]]/Table5[[#This Row],[Revenue]]</f>
        <v>0.36170212765957449</v>
      </c>
    </row>
    <row r="621" spans="1:18" x14ac:dyDescent="0.2">
      <c r="A621" s="5">
        <v>620</v>
      </c>
      <c r="B621" s="5">
        <v>87</v>
      </c>
      <c r="C621" s="7">
        <v>45955</v>
      </c>
      <c r="D621" s="5">
        <v>38</v>
      </c>
      <c r="E621" s="4">
        <v>7</v>
      </c>
      <c r="F621" s="12">
        <f t="shared" si="9"/>
        <v>3807.5315999999998</v>
      </c>
      <c r="G621" t="str">
        <f>VLOOKUP(B621,product_tbl[],2,FALSE)</f>
        <v>Laptop 87</v>
      </c>
      <c r="H621" t="str">
        <f>VLOOKUP(B621,product_tbl[],3,FALSE)</f>
        <v>Electronics</v>
      </c>
      <c r="I621">
        <v>2456.4719999999998</v>
      </c>
      <c r="J621">
        <f>VLOOKUP(B621,product_tbl[],5,FALSE)</f>
        <v>4094.12</v>
      </c>
      <c r="K621">
        <f>VLOOKUP(B621,review_tbl[],3,FALSE)</f>
        <v>2</v>
      </c>
      <c r="L621" s="11">
        <v>5013.7548191834949</v>
      </c>
      <c r="M621" s="11">
        <f>AVERAGEIF(Table1[product_id],Master_tbl!B621:B1622,Table1[competitor_price])</f>
        <v>493.79250000000002</v>
      </c>
      <c r="N621" s="11">
        <f>IFERROR(Table5[[#This Row],[final_sale_price]]*Table5[[#This Row],[quantity_sold ]],0)</f>
        <v>144686.20079999999</v>
      </c>
      <c r="O621" s="11">
        <f>(Table5[[#This Row],[final_sale_price]]-Table5[[#This Row],[cost_price]])*Table5[[#This Row],[quantity_sold ]]</f>
        <v>51340.264800000004</v>
      </c>
      <c r="P621" s="11">
        <f>(Table5[final_sale_price]-Table5[[#This Row],[avg_comp_price]])</f>
        <v>3313.7390999999998</v>
      </c>
      <c r="Q621" s="15">
        <f>(Table5[[#This Row],[final_sale_price]]-Table5[[#This Row],[avg_comp_price]])/Table5[[#This Row],[avg_comp_price]]</f>
        <v>6.7107926912620171</v>
      </c>
      <c r="R621" s="11">
        <f>Table5[[#This Row],[Profit]]/Table5[[#This Row],[Revenue]]</f>
        <v>0.35483870967741943</v>
      </c>
    </row>
    <row r="622" spans="1:18" x14ac:dyDescent="0.2">
      <c r="A622" s="4">
        <v>621</v>
      </c>
      <c r="B622" s="4">
        <v>121</v>
      </c>
      <c r="C622" s="6">
        <v>45697</v>
      </c>
      <c r="D622" s="4">
        <v>6</v>
      </c>
      <c r="E622" s="4">
        <v>4</v>
      </c>
      <c r="F622" s="12">
        <f t="shared" si="9"/>
        <v>1452.6528000000001</v>
      </c>
      <c r="G622" t="str">
        <f>VLOOKUP(B622,product_tbl[],2,FALSE)</f>
        <v>Self Help Book 121</v>
      </c>
      <c r="H622" t="str">
        <f>VLOOKUP(B622,product_tbl[],3,FALSE)</f>
        <v>Books</v>
      </c>
      <c r="I622">
        <v>907.90800000000002</v>
      </c>
      <c r="J622">
        <f>VLOOKUP(B622,product_tbl[],5,FALSE)</f>
        <v>1513.18</v>
      </c>
      <c r="K622">
        <f>VLOOKUP(B622,review_tbl[],3,FALSE)</f>
        <v>2</v>
      </c>
      <c r="L622" s="11">
        <v>1873.0176570414062</v>
      </c>
      <c r="M622" s="11">
        <f>AVERAGEIF(Table1[product_id],Master_tbl!B622:B1623,Table1[competitor_price])</f>
        <v>2967.0200000000004</v>
      </c>
      <c r="N622" s="11">
        <f>IFERROR(Table5[[#This Row],[final_sale_price]]*Table5[[#This Row],[quantity_sold ]],0)</f>
        <v>8715.9168000000009</v>
      </c>
      <c r="O622" s="11">
        <f>(Table5[[#This Row],[final_sale_price]]-Table5[[#This Row],[cost_price]])*Table5[[#This Row],[quantity_sold ]]</f>
        <v>3268.4688000000006</v>
      </c>
      <c r="P622" s="11">
        <f>(Table5[final_sale_price]-Table5[[#This Row],[avg_comp_price]])</f>
        <v>-1514.3672000000004</v>
      </c>
      <c r="Q622" s="15">
        <f>(Table5[[#This Row],[final_sale_price]]-Table5[[#This Row],[avg_comp_price]])/Table5[[#This Row],[avg_comp_price]]</f>
        <v>-0.51040006471139399</v>
      </c>
      <c r="R622" s="11">
        <f>Table5[[#This Row],[Profit]]/Table5[[#This Row],[Revenue]]</f>
        <v>0.375</v>
      </c>
    </row>
    <row r="623" spans="1:18" x14ac:dyDescent="0.2">
      <c r="A623" s="5">
        <v>622</v>
      </c>
      <c r="B623" s="5">
        <v>90</v>
      </c>
      <c r="C623" s="7">
        <v>45702</v>
      </c>
      <c r="D623" s="5">
        <v>6</v>
      </c>
      <c r="E623" s="4">
        <v>6</v>
      </c>
      <c r="F623" s="12">
        <f t="shared" si="9"/>
        <v>1294.1073999999999</v>
      </c>
      <c r="G623" t="str">
        <f>VLOOKUP(B623,product_tbl[],2,FALSE)</f>
        <v>Washing Machine 90</v>
      </c>
      <c r="H623" t="str">
        <f>VLOOKUP(B623,product_tbl[],3,FALSE)</f>
        <v>Home Appliances</v>
      </c>
      <c r="I623">
        <v>826.02599999999995</v>
      </c>
      <c r="J623">
        <f>VLOOKUP(B623,product_tbl[],5,FALSE)</f>
        <v>1376.71</v>
      </c>
      <c r="K623">
        <f>VLOOKUP(B623,review_tbl[],3,FALSE)</f>
        <v>4</v>
      </c>
      <c r="L623" s="11">
        <v>1567.5302441316578</v>
      </c>
      <c r="M623" s="11">
        <f>AVERAGEIF(Table1[product_id],Master_tbl!B623:B1624,Table1[competitor_price])</f>
        <v>2414.7550000000001</v>
      </c>
      <c r="N623" s="11">
        <f>IFERROR(Table5[[#This Row],[final_sale_price]]*Table5[[#This Row],[quantity_sold ]],0)</f>
        <v>7764.6443999999992</v>
      </c>
      <c r="O623" s="11">
        <f>(Table5[[#This Row],[final_sale_price]]-Table5[[#This Row],[cost_price]])*Table5[[#This Row],[quantity_sold ]]</f>
        <v>2808.4883999999993</v>
      </c>
      <c r="P623" s="11">
        <f>(Table5[final_sale_price]-Table5[[#This Row],[avg_comp_price]])</f>
        <v>-1120.6476000000002</v>
      </c>
      <c r="Q623" s="15">
        <f>(Table5[[#This Row],[final_sale_price]]-Table5[[#This Row],[avg_comp_price]])/Table5[[#This Row],[avg_comp_price]]</f>
        <v>-0.46408335421191804</v>
      </c>
      <c r="R623" s="11">
        <f>Table5[[#This Row],[Profit]]/Table5[[#This Row],[Revenue]]</f>
        <v>0.36170212765957444</v>
      </c>
    </row>
    <row r="624" spans="1:18" x14ac:dyDescent="0.2">
      <c r="A624" s="4">
        <v>623</v>
      </c>
      <c r="B624" s="4">
        <v>13</v>
      </c>
      <c r="C624" s="6">
        <v>45636</v>
      </c>
      <c r="D624" s="4">
        <v>28</v>
      </c>
      <c r="E624" s="4">
        <v>7</v>
      </c>
      <c r="F624" s="12">
        <f t="shared" si="9"/>
        <v>1671.2657999999999</v>
      </c>
      <c r="G624" t="str">
        <f>VLOOKUP(B624,product_tbl[],2,FALSE)</f>
        <v>Football 13</v>
      </c>
      <c r="H624" t="str">
        <f>VLOOKUP(B624,product_tbl[],3,FALSE)</f>
        <v>Sports</v>
      </c>
      <c r="I624">
        <v>1078.2359999999999</v>
      </c>
      <c r="J624">
        <f>VLOOKUP(B624,product_tbl[],5,FALSE)</f>
        <v>1797.06</v>
      </c>
      <c r="K624">
        <f>VLOOKUP(B624,review_tbl[],3,FALSE)</f>
        <v>5</v>
      </c>
      <c r="L624" s="11">
        <v>1932.0253154227346</v>
      </c>
      <c r="M624" s="11">
        <f>AVERAGEIF(Table1[product_id],Master_tbl!B624:B1625,Table1[competitor_price])</f>
        <v>1712.5580000000002</v>
      </c>
      <c r="N624" s="11">
        <f>IFERROR(Table5[[#This Row],[final_sale_price]]*Table5[[#This Row],[quantity_sold ]],0)</f>
        <v>46795.4424</v>
      </c>
      <c r="O624" s="11">
        <f>(Table5[[#This Row],[final_sale_price]]-Table5[[#This Row],[cost_price]])*Table5[[#This Row],[quantity_sold ]]</f>
        <v>16604.8344</v>
      </c>
      <c r="P624" s="11">
        <f>(Table5[final_sale_price]-Table5[[#This Row],[avg_comp_price]])</f>
        <v>-41.292200000000321</v>
      </c>
      <c r="Q624" s="15">
        <f>(Table5[[#This Row],[final_sale_price]]-Table5[[#This Row],[avg_comp_price]])/Table5[[#This Row],[avg_comp_price]]</f>
        <v>-2.4111416956389398E-2</v>
      </c>
      <c r="R624" s="11">
        <f>Table5[[#This Row],[Profit]]/Table5[[#This Row],[Revenue]]</f>
        <v>0.35483870967741937</v>
      </c>
    </row>
    <row r="625" spans="1:18" x14ac:dyDescent="0.2">
      <c r="A625" s="5">
        <v>624</v>
      </c>
      <c r="B625" s="5">
        <v>11</v>
      </c>
      <c r="C625" s="7">
        <v>45988</v>
      </c>
      <c r="D625" s="5">
        <v>39</v>
      </c>
      <c r="E625" s="4">
        <v>5</v>
      </c>
      <c r="F625" s="12">
        <f t="shared" si="9"/>
        <v>3040.1899999999996</v>
      </c>
      <c r="G625" t="str">
        <f>VLOOKUP(B625,product_tbl[],2,FALSE)</f>
        <v>Remote Car 11</v>
      </c>
      <c r="H625" t="str">
        <f>VLOOKUP(B625,product_tbl[],3,FALSE)</f>
        <v>Toys</v>
      </c>
      <c r="I625">
        <v>1920.12</v>
      </c>
      <c r="J625">
        <f>VLOOKUP(B625,product_tbl[],5,FALSE)</f>
        <v>3200.2</v>
      </c>
      <c r="K625">
        <f>VLOOKUP(B625,review_tbl[],3,FALSE)</f>
        <v>1</v>
      </c>
      <c r="L625" s="11">
        <v>3824.3137119791368</v>
      </c>
      <c r="M625" s="11">
        <f>AVERAGEIF(Table1[product_id],Master_tbl!B625:B1626,Table1[competitor_price])</f>
        <v>7089.33</v>
      </c>
      <c r="N625" s="11">
        <f>IFERROR(Table5[[#This Row],[final_sale_price]]*Table5[[#This Row],[quantity_sold ]],0)</f>
        <v>118567.40999999999</v>
      </c>
      <c r="O625" s="11">
        <f>(Table5[[#This Row],[final_sale_price]]-Table5[[#This Row],[cost_price]])*Table5[[#This Row],[quantity_sold ]]</f>
        <v>43682.729999999989</v>
      </c>
      <c r="P625" s="11">
        <f>(Table5[final_sale_price]-Table5[[#This Row],[avg_comp_price]])</f>
        <v>-4049.1400000000003</v>
      </c>
      <c r="Q625" s="15">
        <f>(Table5[[#This Row],[final_sale_price]]-Table5[[#This Row],[avg_comp_price]])/Table5[[#This Row],[avg_comp_price]]</f>
        <v>-0.57115975698690857</v>
      </c>
      <c r="R625" s="11">
        <f>Table5[[#This Row],[Profit]]/Table5[[#This Row],[Revenue]]</f>
        <v>0.36842105263157887</v>
      </c>
    </row>
    <row r="626" spans="1:18" x14ac:dyDescent="0.2">
      <c r="A626" s="4">
        <v>625</v>
      </c>
      <c r="B626" s="4">
        <v>19</v>
      </c>
      <c r="C626" s="6">
        <v>45567</v>
      </c>
      <c r="D626" s="4">
        <v>2</v>
      </c>
      <c r="E626" s="4">
        <v>6</v>
      </c>
      <c r="F626" s="12">
        <f t="shared" si="9"/>
        <v>3206.1801999999998</v>
      </c>
      <c r="G626" t="str">
        <f>VLOOKUP(B626,product_tbl[],2,FALSE)</f>
        <v>Air Conditioner 19</v>
      </c>
      <c r="H626" t="str">
        <f>VLOOKUP(B626,product_tbl[],3,FALSE)</f>
        <v>Home Appliances</v>
      </c>
      <c r="I626">
        <v>2046.4979999999998</v>
      </c>
      <c r="J626">
        <f>VLOOKUP(B626,product_tbl[],5,FALSE)</f>
        <v>3410.83</v>
      </c>
      <c r="K626">
        <f>VLOOKUP(B626,review_tbl[],3,FALSE)</f>
        <v>2</v>
      </c>
      <c r="L626" s="11">
        <v>3770.0612288633374</v>
      </c>
      <c r="M626" s="11">
        <f>AVERAGEIF(Table1[product_id],Master_tbl!B626:B1627,Table1[competitor_price])</f>
        <v>1213.8383333333334</v>
      </c>
      <c r="N626" s="11">
        <f>IFERROR(Table5[[#This Row],[final_sale_price]]*Table5[[#This Row],[quantity_sold ]],0)</f>
        <v>6412.3603999999996</v>
      </c>
      <c r="O626" s="11">
        <f>(Table5[[#This Row],[final_sale_price]]-Table5[[#This Row],[cost_price]])*Table5[[#This Row],[quantity_sold ]]</f>
        <v>2319.3643999999999</v>
      </c>
      <c r="P626" s="11">
        <f>(Table5[final_sale_price]-Table5[[#This Row],[avg_comp_price]])</f>
        <v>1992.3418666666664</v>
      </c>
      <c r="Q626" s="15">
        <f>(Table5[[#This Row],[final_sale_price]]-Table5[[#This Row],[avg_comp_price]])/Table5[[#This Row],[avg_comp_price]]</f>
        <v>1.6413568528483335</v>
      </c>
      <c r="R626" s="11">
        <f>Table5[[#This Row],[Profit]]/Table5[[#This Row],[Revenue]]</f>
        <v>0.36170212765957449</v>
      </c>
    </row>
    <row r="627" spans="1:18" x14ac:dyDescent="0.2">
      <c r="A627" s="5">
        <v>626</v>
      </c>
      <c r="B627" s="5">
        <v>113</v>
      </c>
      <c r="C627" s="7">
        <v>44979</v>
      </c>
      <c r="D627" s="5">
        <v>14</v>
      </c>
      <c r="E627" s="4">
        <v>7</v>
      </c>
      <c r="F627" s="12">
        <f t="shared" si="9"/>
        <v>4491.1187999999993</v>
      </c>
      <c r="G627" t="str">
        <f>VLOOKUP(B627,product_tbl[],2,FALSE)</f>
        <v>Green Tea 113</v>
      </c>
      <c r="H627" t="str">
        <f>VLOOKUP(B627,product_tbl[],3,FALSE)</f>
        <v>Grocery</v>
      </c>
      <c r="I627">
        <v>2897.4959999999996</v>
      </c>
      <c r="J627">
        <f>VLOOKUP(B627,product_tbl[],5,FALSE)</f>
        <v>4829.16</v>
      </c>
      <c r="K627">
        <f>VLOOKUP(B627,review_tbl[],3,FALSE)</f>
        <v>1</v>
      </c>
      <c r="L627" s="11">
        <v>6159.7284491856171</v>
      </c>
      <c r="M627" s="11">
        <f>AVERAGEIF(Table1[product_id],Master_tbl!B627:B1628,Table1[competitor_price])</f>
        <v>4302.05</v>
      </c>
      <c r="N627" s="11">
        <f>IFERROR(Table5[[#This Row],[final_sale_price]]*Table5[[#This Row],[quantity_sold ]],0)</f>
        <v>62875.663199999988</v>
      </c>
      <c r="O627" s="11">
        <f>(Table5[[#This Row],[final_sale_price]]-Table5[[#This Row],[cost_price]])*Table5[[#This Row],[quantity_sold ]]</f>
        <v>22310.719199999996</v>
      </c>
      <c r="P627" s="11">
        <f>(Table5[final_sale_price]-Table5[[#This Row],[avg_comp_price]])</f>
        <v>189.0687999999991</v>
      </c>
      <c r="Q627" s="15">
        <f>(Table5[[#This Row],[final_sale_price]]-Table5[[#This Row],[avg_comp_price]])/Table5[[#This Row],[avg_comp_price]]</f>
        <v>4.3948536162991853E-2</v>
      </c>
      <c r="R627" s="11">
        <f>Table5[[#This Row],[Profit]]/Table5[[#This Row],[Revenue]]</f>
        <v>0.35483870967741937</v>
      </c>
    </row>
    <row r="628" spans="1:18" x14ac:dyDescent="0.2">
      <c r="A628" s="4">
        <v>627</v>
      </c>
      <c r="B628" s="4">
        <v>64</v>
      </c>
      <c r="C628" s="6">
        <v>45011</v>
      </c>
      <c r="D628" s="4">
        <v>21</v>
      </c>
      <c r="E628" s="4">
        <v>2</v>
      </c>
      <c r="F628" s="12">
        <f t="shared" si="9"/>
        <v>3136</v>
      </c>
      <c r="G628" t="str">
        <f>VLOOKUP(B628,product_tbl[],2,FALSE)</f>
        <v>Children Story Book 64</v>
      </c>
      <c r="H628" t="str">
        <f>VLOOKUP(B628,product_tbl[],3,FALSE)</f>
        <v>Books</v>
      </c>
      <c r="I628">
        <v>1920</v>
      </c>
      <c r="J628">
        <f>VLOOKUP(B628,product_tbl[],5,FALSE)</f>
        <v>3200</v>
      </c>
      <c r="K628">
        <f>VLOOKUP(B628,review_tbl[],3,FALSE)</f>
        <v>2</v>
      </c>
      <c r="L628" s="11">
        <v>4053.3825610193721</v>
      </c>
      <c r="M628" s="11">
        <f>AVERAGEIF(Table1[product_id],Master_tbl!B628:B1629,Table1[competitor_price])</f>
        <v>3782.0099999999998</v>
      </c>
      <c r="N628" s="11">
        <f>IFERROR(Table5[[#This Row],[final_sale_price]]*Table5[[#This Row],[quantity_sold ]],0)</f>
        <v>65856</v>
      </c>
      <c r="O628" s="11">
        <f>(Table5[[#This Row],[final_sale_price]]-Table5[[#This Row],[cost_price]])*Table5[[#This Row],[quantity_sold ]]</f>
        <v>25536</v>
      </c>
      <c r="P628" s="11">
        <f>(Table5[final_sale_price]-Table5[[#This Row],[avg_comp_price]])</f>
        <v>-646.00999999999976</v>
      </c>
      <c r="Q628" s="15">
        <f>(Table5[[#This Row],[final_sale_price]]-Table5[[#This Row],[avg_comp_price]])/Table5[[#This Row],[avg_comp_price]]</f>
        <v>-0.17081128817745056</v>
      </c>
      <c r="R628" s="11">
        <f>Table5[[#This Row],[Profit]]/Table5[[#This Row],[Revenue]]</f>
        <v>0.38775510204081631</v>
      </c>
    </row>
    <row r="629" spans="1:18" x14ac:dyDescent="0.2">
      <c r="A629" s="5">
        <v>628</v>
      </c>
      <c r="B629" s="5">
        <v>118</v>
      </c>
      <c r="C629" s="7">
        <v>45816</v>
      </c>
      <c r="D629" s="5">
        <v>18</v>
      </c>
      <c r="E629" s="4">
        <v>8</v>
      </c>
      <c r="F629" s="12">
        <f t="shared" si="9"/>
        <v>2897.31</v>
      </c>
      <c r="G629" t="str">
        <f>VLOOKUP(B629,product_tbl[],2,FALSE)</f>
        <v>Doll 118</v>
      </c>
      <c r="H629" t="str">
        <f>VLOOKUP(B629,product_tbl[],3,FALSE)</f>
        <v>Toys</v>
      </c>
      <c r="I629">
        <v>1889.55</v>
      </c>
      <c r="J629">
        <f>VLOOKUP(B629,product_tbl[],5,FALSE)</f>
        <v>3149.25</v>
      </c>
      <c r="K629">
        <f>VLOOKUP(B629,review_tbl[],3,FALSE)</f>
        <v>5</v>
      </c>
      <c r="L629" s="11">
        <v>3381.9647923399052</v>
      </c>
      <c r="M629" s="11">
        <f>AVERAGEIF(Table1[product_id],Master_tbl!B629:B1630,Table1[competitor_price])</f>
        <v>224.52399999999997</v>
      </c>
      <c r="N629" s="11">
        <f>IFERROR(Table5[[#This Row],[final_sale_price]]*Table5[[#This Row],[quantity_sold ]],0)</f>
        <v>52151.58</v>
      </c>
      <c r="O629" s="11">
        <f>(Table5[[#This Row],[final_sale_price]]-Table5[[#This Row],[cost_price]])*Table5[[#This Row],[quantity_sold ]]</f>
        <v>18139.68</v>
      </c>
      <c r="P629" s="11">
        <f>(Table5[final_sale_price]-Table5[[#This Row],[avg_comp_price]])</f>
        <v>2672.7860000000001</v>
      </c>
      <c r="Q629" s="15">
        <f>(Table5[[#This Row],[final_sale_price]]-Table5[[#This Row],[avg_comp_price]])/Table5[[#This Row],[avg_comp_price]]</f>
        <v>11.904232955051578</v>
      </c>
      <c r="R629" s="11">
        <f>Table5[[#This Row],[Profit]]/Table5[[#This Row],[Revenue]]</f>
        <v>0.34782608695652173</v>
      </c>
    </row>
    <row r="630" spans="1:18" x14ac:dyDescent="0.2">
      <c r="A630" s="4">
        <v>629</v>
      </c>
      <c r="B630" s="4">
        <v>130</v>
      </c>
      <c r="C630" s="6">
        <v>45340</v>
      </c>
      <c r="D630" s="4">
        <v>25</v>
      </c>
      <c r="E630" s="4">
        <v>5</v>
      </c>
      <c r="F630" s="12">
        <f t="shared" si="9"/>
        <v>3026.2154999999998</v>
      </c>
      <c r="G630" t="str">
        <f>VLOOKUP(B630,product_tbl[],2,FALSE)</f>
        <v>Gym Gloves 130</v>
      </c>
      <c r="H630" t="str">
        <f>VLOOKUP(B630,product_tbl[],3,FALSE)</f>
        <v>Sports</v>
      </c>
      <c r="I630">
        <v>1911.2939999999999</v>
      </c>
      <c r="J630">
        <f>VLOOKUP(B630,product_tbl[],5,FALSE)</f>
        <v>3185.49</v>
      </c>
      <c r="K630">
        <f>VLOOKUP(B630,review_tbl[],3,FALSE)</f>
        <v>5</v>
      </c>
      <c r="L630" s="11">
        <v>3626.8009820024445</v>
      </c>
      <c r="M630" s="11">
        <f>AVERAGEIF(Table1[product_id],Master_tbl!B630:B1631,Table1[competitor_price])</f>
        <v>3865.1374999999998</v>
      </c>
      <c r="N630" s="11">
        <f>IFERROR(Table5[[#This Row],[final_sale_price]]*Table5[[#This Row],[quantity_sold ]],0)</f>
        <v>75655.387499999997</v>
      </c>
      <c r="O630" s="11">
        <f>(Table5[[#This Row],[final_sale_price]]-Table5[[#This Row],[cost_price]])*Table5[[#This Row],[quantity_sold ]]</f>
        <v>27873.037499999999</v>
      </c>
      <c r="P630" s="11">
        <f>(Table5[final_sale_price]-Table5[[#This Row],[avg_comp_price]])</f>
        <v>-838.92200000000003</v>
      </c>
      <c r="Q630" s="15">
        <f>(Table5[[#This Row],[final_sale_price]]-Table5[[#This Row],[avg_comp_price]])/Table5[[#This Row],[avg_comp_price]]</f>
        <v>-0.21704842324496867</v>
      </c>
      <c r="R630" s="11">
        <f>Table5[[#This Row],[Profit]]/Table5[[#This Row],[Revenue]]</f>
        <v>0.36842105263157893</v>
      </c>
    </row>
    <row r="631" spans="1:18" x14ac:dyDescent="0.2">
      <c r="A631" s="5">
        <v>630</v>
      </c>
      <c r="B631" s="5">
        <v>90</v>
      </c>
      <c r="C631" s="7">
        <v>45196</v>
      </c>
      <c r="D631" s="5">
        <v>27</v>
      </c>
      <c r="E631" s="4">
        <v>5</v>
      </c>
      <c r="F631" s="12">
        <f t="shared" si="9"/>
        <v>1307.8744999999999</v>
      </c>
      <c r="G631" t="str">
        <f>VLOOKUP(B631,product_tbl[],2,FALSE)</f>
        <v>Washing Machine 90</v>
      </c>
      <c r="H631" t="str">
        <f>VLOOKUP(B631,product_tbl[],3,FALSE)</f>
        <v>Home Appliances</v>
      </c>
      <c r="I631">
        <v>826.02599999999995</v>
      </c>
      <c r="J631">
        <f>VLOOKUP(B631,product_tbl[],5,FALSE)</f>
        <v>1376.71</v>
      </c>
      <c r="K631">
        <f>VLOOKUP(B631,review_tbl[],3,FALSE)</f>
        <v>4</v>
      </c>
      <c r="L631" s="11">
        <v>1611.0734307723724</v>
      </c>
      <c r="M631" s="11">
        <f>AVERAGEIF(Table1[product_id],Master_tbl!B631:B1632,Table1[competitor_price])</f>
        <v>2414.7550000000001</v>
      </c>
      <c r="N631" s="11">
        <f>IFERROR(Table5[[#This Row],[final_sale_price]]*Table5[[#This Row],[quantity_sold ]],0)</f>
        <v>35312.611499999999</v>
      </c>
      <c r="O631" s="11">
        <f>(Table5[[#This Row],[final_sale_price]]-Table5[[#This Row],[cost_price]])*Table5[[#This Row],[quantity_sold ]]</f>
        <v>13009.909499999998</v>
      </c>
      <c r="P631" s="11">
        <f>(Table5[final_sale_price]-Table5[[#This Row],[avg_comp_price]])</f>
        <v>-1106.8805000000002</v>
      </c>
      <c r="Q631" s="15">
        <f>(Table5[[#This Row],[final_sale_price]]-Table5[[#This Row],[avg_comp_price]])/Table5[[#This Row],[avg_comp_price]]</f>
        <v>-0.45838211329927886</v>
      </c>
      <c r="R631" s="11">
        <f>Table5[[#This Row],[Profit]]/Table5[[#This Row],[Revenue]]</f>
        <v>0.36842105263157887</v>
      </c>
    </row>
    <row r="632" spans="1:18" x14ac:dyDescent="0.2">
      <c r="A632" s="4">
        <v>631</v>
      </c>
      <c r="B632" s="4">
        <v>16</v>
      </c>
      <c r="C632" s="6">
        <v>45173</v>
      </c>
      <c r="D632" s="4">
        <v>34</v>
      </c>
      <c r="E632" s="4">
        <v>4</v>
      </c>
      <c r="F632" s="12">
        <f t="shared" si="9"/>
        <v>6481.7280000000001</v>
      </c>
      <c r="G632" t="str">
        <f>VLOOKUP(B632,product_tbl[],2,FALSE)</f>
        <v>Cookbook 16</v>
      </c>
      <c r="H632" t="str">
        <f>VLOOKUP(B632,product_tbl[],3,FALSE)</f>
        <v>Books</v>
      </c>
      <c r="I632">
        <v>4051.08</v>
      </c>
      <c r="J632">
        <f>VLOOKUP(B632,product_tbl[],5,FALSE)</f>
        <v>6751.8</v>
      </c>
      <c r="K632">
        <f>VLOOKUP(B632,review_tbl[],3,FALSE)</f>
        <v>4</v>
      </c>
      <c r="L632" s="11">
        <v>7315.1159097316468</v>
      </c>
      <c r="M632" s="11">
        <f>AVERAGEIF(Table1[product_id],Master_tbl!B632:B1633,Table1[competitor_price])</f>
        <v>6827.7939999999999</v>
      </c>
      <c r="N632" s="11">
        <f>IFERROR(Table5[[#This Row],[final_sale_price]]*Table5[[#This Row],[quantity_sold ]],0)</f>
        <v>220378.75200000001</v>
      </c>
      <c r="O632" s="11">
        <f>(Table5[[#This Row],[final_sale_price]]-Table5[[#This Row],[cost_price]])*Table5[[#This Row],[quantity_sold ]]</f>
        <v>82642.032000000007</v>
      </c>
      <c r="P632" s="11">
        <f>(Table5[final_sale_price]-Table5[[#This Row],[avg_comp_price]])</f>
        <v>-346.0659999999998</v>
      </c>
      <c r="Q632" s="15">
        <f>(Table5[[#This Row],[final_sale_price]]-Table5[[#This Row],[avg_comp_price]])/Table5[[#This Row],[avg_comp_price]]</f>
        <v>-5.0684891782030887E-2</v>
      </c>
      <c r="R632" s="11">
        <f>Table5[[#This Row],[Profit]]/Table5[[#This Row],[Revenue]]</f>
        <v>0.375</v>
      </c>
    </row>
    <row r="633" spans="1:18" x14ac:dyDescent="0.2">
      <c r="A633" s="5">
        <v>632</v>
      </c>
      <c r="B633" s="5">
        <v>112</v>
      </c>
      <c r="C633" s="7">
        <v>45886</v>
      </c>
      <c r="D633" s="5">
        <v>7</v>
      </c>
      <c r="E633" s="4">
        <v>5</v>
      </c>
      <c r="F633" s="12">
        <f t="shared" si="9"/>
        <v>2597.6895</v>
      </c>
      <c r="G633" t="str">
        <f>VLOOKUP(B633,product_tbl[],2,FALSE)</f>
        <v>Lipstick 112</v>
      </c>
      <c r="H633" t="str">
        <f>VLOOKUP(B633,product_tbl[],3,FALSE)</f>
        <v>Beauty</v>
      </c>
      <c r="I633">
        <v>1640.646</v>
      </c>
      <c r="J633">
        <f>VLOOKUP(B633,product_tbl[],5,FALSE)</f>
        <v>2734.41</v>
      </c>
      <c r="K633">
        <f>VLOOKUP(B633,review_tbl[],3,FALSE)</f>
        <v>1</v>
      </c>
      <c r="L633" s="11">
        <v>3003.3483135275615</v>
      </c>
      <c r="M633" s="11">
        <f>AVERAGEIF(Table1[product_id],Master_tbl!B633:B1634,Table1[competitor_price])</f>
        <v>7409.5025000000005</v>
      </c>
      <c r="N633" s="11">
        <f>IFERROR(Table5[[#This Row],[final_sale_price]]*Table5[[#This Row],[quantity_sold ]],0)</f>
        <v>18183.826499999999</v>
      </c>
      <c r="O633" s="11">
        <f>(Table5[[#This Row],[final_sale_price]]-Table5[[#This Row],[cost_price]])*Table5[[#This Row],[quantity_sold ]]</f>
        <v>6699.3045000000002</v>
      </c>
      <c r="P633" s="11">
        <f>(Table5[final_sale_price]-Table5[[#This Row],[avg_comp_price]])</f>
        <v>-4811.8130000000001</v>
      </c>
      <c r="Q633" s="15">
        <f>(Table5[[#This Row],[final_sale_price]]-Table5[[#This Row],[avg_comp_price]])/Table5[[#This Row],[avg_comp_price]]</f>
        <v>-0.64941107719445401</v>
      </c>
      <c r="R633" s="11">
        <f>Table5[[#This Row],[Profit]]/Table5[[#This Row],[Revenue]]</f>
        <v>0.36842105263157898</v>
      </c>
    </row>
    <row r="634" spans="1:18" x14ac:dyDescent="0.2">
      <c r="A634" s="4">
        <v>633</v>
      </c>
      <c r="B634" s="4">
        <v>51</v>
      </c>
      <c r="C634" s="6">
        <v>45315</v>
      </c>
      <c r="D634" s="4">
        <v>41</v>
      </c>
      <c r="E634" s="4">
        <v>10</v>
      </c>
      <c r="F634" s="12">
        <f t="shared" si="9"/>
        <v>947.58299999999997</v>
      </c>
      <c r="G634" t="str">
        <f>VLOOKUP(B634,product_tbl[],2,FALSE)</f>
        <v>Bluetooth Speaker 51</v>
      </c>
      <c r="H634" t="str">
        <f>VLOOKUP(B634,product_tbl[],3,FALSE)</f>
        <v>Electronics</v>
      </c>
      <c r="I634">
        <v>631.72199999999987</v>
      </c>
      <c r="J634">
        <f>VLOOKUP(B634,product_tbl[],5,FALSE)</f>
        <v>1052.8699999999999</v>
      </c>
      <c r="K634">
        <f>VLOOKUP(B634,review_tbl[],3,FALSE)</f>
        <v>2</v>
      </c>
      <c r="L634" s="11">
        <v>1323.3493665846249</v>
      </c>
      <c r="M634" s="11">
        <f>AVERAGEIF(Table1[product_id],Master_tbl!B634:B1635,Table1[competitor_price])</f>
        <v>5383.6833333333334</v>
      </c>
      <c r="N634" s="11">
        <f>IFERROR(Table5[[#This Row],[final_sale_price]]*Table5[[#This Row],[quantity_sold ]],0)</f>
        <v>38850.902999999998</v>
      </c>
      <c r="O634" s="11">
        <f>(Table5[[#This Row],[final_sale_price]]-Table5[[#This Row],[cost_price]])*Table5[[#This Row],[quantity_sold ]]</f>
        <v>12950.301000000005</v>
      </c>
      <c r="P634" s="11">
        <f>(Table5[final_sale_price]-Table5[[#This Row],[avg_comp_price]])</f>
        <v>-4436.1003333333338</v>
      </c>
      <c r="Q634" s="15">
        <f>(Table5[[#This Row],[final_sale_price]]-Table5[[#This Row],[avg_comp_price]])/Table5[[#This Row],[avg_comp_price]]</f>
        <v>-0.82398983347831878</v>
      </c>
      <c r="R634" s="11">
        <f>Table5[[#This Row],[Profit]]/Table5[[#This Row],[Revenue]]</f>
        <v>0.33333333333333348</v>
      </c>
    </row>
    <row r="635" spans="1:18" x14ac:dyDescent="0.2">
      <c r="A635" s="5">
        <v>634</v>
      </c>
      <c r="B635" s="5">
        <v>92</v>
      </c>
      <c r="C635" s="7">
        <v>45901</v>
      </c>
      <c r="D635" s="5">
        <v>12</v>
      </c>
      <c r="E635" s="4">
        <v>8</v>
      </c>
      <c r="F635" s="12">
        <f t="shared" si="9"/>
        <v>3291.7784000000001</v>
      </c>
      <c r="G635" t="str">
        <f>VLOOKUP(B635,product_tbl[],2,FALSE)</f>
        <v>Puzzle Set 92</v>
      </c>
      <c r="H635" t="str">
        <f>VLOOKUP(B635,product_tbl[],3,FALSE)</f>
        <v>Toys</v>
      </c>
      <c r="I635">
        <v>2146.8119999999999</v>
      </c>
      <c r="J635">
        <f>VLOOKUP(B635,product_tbl[],5,FALSE)</f>
        <v>3578.02</v>
      </c>
      <c r="K635">
        <f>VLOOKUP(B635,review_tbl[],3,FALSE)</f>
        <v>5</v>
      </c>
      <c r="L635" s="11">
        <v>3870.9729565039338</v>
      </c>
      <c r="M635" s="11">
        <f>AVERAGEIF(Table1[product_id],Master_tbl!B635:B1636,Table1[competitor_price])</f>
        <v>5387.83</v>
      </c>
      <c r="N635" s="11">
        <f>IFERROR(Table5[[#This Row],[final_sale_price]]*Table5[[#This Row],[quantity_sold ]],0)</f>
        <v>39501.340800000005</v>
      </c>
      <c r="O635" s="11">
        <f>(Table5[[#This Row],[final_sale_price]]-Table5[[#This Row],[cost_price]])*Table5[[#This Row],[quantity_sold ]]</f>
        <v>13739.596800000003</v>
      </c>
      <c r="P635" s="11">
        <f>(Table5[final_sale_price]-Table5[[#This Row],[avg_comp_price]])</f>
        <v>-2096.0515999999998</v>
      </c>
      <c r="Q635" s="15">
        <f>(Table5[[#This Row],[final_sale_price]]-Table5[[#This Row],[avg_comp_price]])/Table5[[#This Row],[avg_comp_price]]</f>
        <v>-0.38903447213442144</v>
      </c>
      <c r="R635" s="11">
        <f>Table5[[#This Row],[Profit]]/Table5[[#This Row],[Revenue]]</f>
        <v>0.34782608695652178</v>
      </c>
    </row>
    <row r="636" spans="1:18" x14ac:dyDescent="0.2">
      <c r="A636" s="4">
        <v>635</v>
      </c>
      <c r="B636" s="4">
        <v>119</v>
      </c>
      <c r="C636" s="6">
        <v>45016</v>
      </c>
      <c r="D636" s="4">
        <v>19</v>
      </c>
      <c r="E636" s="4">
        <v>6</v>
      </c>
      <c r="F636" s="12">
        <f t="shared" si="9"/>
        <v>1825.3953999999999</v>
      </c>
      <c r="G636" t="str">
        <f>VLOOKUP(B636,product_tbl[],2,FALSE)</f>
        <v>Wheat Flour 119</v>
      </c>
      <c r="H636" t="str">
        <f>VLOOKUP(B636,product_tbl[],3,FALSE)</f>
        <v>Grocery</v>
      </c>
      <c r="I636">
        <v>1165.146</v>
      </c>
      <c r="J636">
        <f>VLOOKUP(B636,product_tbl[],5,FALSE)</f>
        <v>1941.91</v>
      </c>
      <c r="K636">
        <f>VLOOKUP(B636,review_tbl[],3,FALSE)</f>
        <v>4</v>
      </c>
      <c r="L636" s="11">
        <v>2232.8405198223036</v>
      </c>
      <c r="M636" s="11">
        <f>AVERAGEIF(Table1[product_id],Master_tbl!B636:B1637,Table1[competitor_price])</f>
        <v>4902.3539999999994</v>
      </c>
      <c r="N636" s="11">
        <f>IFERROR(Table5[[#This Row],[final_sale_price]]*Table5[[#This Row],[quantity_sold ]],0)</f>
        <v>34682.512599999995</v>
      </c>
      <c r="O636" s="11">
        <f>(Table5[[#This Row],[final_sale_price]]-Table5[[#This Row],[cost_price]])*Table5[[#This Row],[quantity_sold ]]</f>
        <v>12544.738599999999</v>
      </c>
      <c r="P636" s="11">
        <f>(Table5[final_sale_price]-Table5[[#This Row],[avg_comp_price]])</f>
        <v>-3076.9585999999995</v>
      </c>
      <c r="Q636" s="15">
        <f>(Table5[[#This Row],[final_sale_price]]-Table5[[#This Row],[avg_comp_price]])/Table5[[#This Row],[avg_comp_price]]</f>
        <v>-0.62764920689121995</v>
      </c>
      <c r="R636" s="11">
        <f>Table5[[#This Row],[Profit]]/Table5[[#This Row],[Revenue]]</f>
        <v>0.36170212765957449</v>
      </c>
    </row>
    <row r="637" spans="1:18" x14ac:dyDescent="0.2">
      <c r="A637" s="5">
        <v>636</v>
      </c>
      <c r="B637" s="5">
        <v>121</v>
      </c>
      <c r="C637" s="7">
        <v>45823</v>
      </c>
      <c r="D637" s="5">
        <v>22</v>
      </c>
      <c r="E637" s="4">
        <v>3</v>
      </c>
      <c r="F637" s="12">
        <f t="shared" si="9"/>
        <v>1467.7846</v>
      </c>
      <c r="G637" t="str">
        <f>VLOOKUP(B637,product_tbl[],2,FALSE)</f>
        <v>Self Help Book 121</v>
      </c>
      <c r="H637" t="str">
        <f>VLOOKUP(B637,product_tbl[],3,FALSE)</f>
        <v>Books</v>
      </c>
      <c r="I637">
        <v>907.90800000000002</v>
      </c>
      <c r="J637">
        <f>VLOOKUP(B637,product_tbl[],5,FALSE)</f>
        <v>1513.18</v>
      </c>
      <c r="K637">
        <f>VLOOKUP(B637,review_tbl[],3,FALSE)</f>
        <v>2</v>
      </c>
      <c r="L637" s="11">
        <v>1543.8225335692443</v>
      </c>
      <c r="M637" s="11">
        <f>AVERAGEIF(Table1[product_id],Master_tbl!B637:B1638,Table1[competitor_price])</f>
        <v>2967.0200000000004</v>
      </c>
      <c r="N637" s="11">
        <f>IFERROR(Table5[[#This Row],[final_sale_price]]*Table5[[#This Row],[quantity_sold ]],0)</f>
        <v>32291.261200000001</v>
      </c>
      <c r="O637" s="11">
        <f>(Table5[[#This Row],[final_sale_price]]-Table5[[#This Row],[cost_price]])*Table5[[#This Row],[quantity_sold ]]</f>
        <v>12317.285199999998</v>
      </c>
      <c r="P637" s="11">
        <f>(Table5[final_sale_price]-Table5[[#This Row],[avg_comp_price]])</f>
        <v>-1499.2354000000005</v>
      </c>
      <c r="Q637" s="15">
        <f>(Table5[[#This Row],[final_sale_price]]-Table5[[#This Row],[avg_comp_price]])/Table5[[#This Row],[avg_comp_price]]</f>
        <v>-0.50530006538547101</v>
      </c>
      <c r="R637" s="11">
        <f>Table5[[#This Row],[Profit]]/Table5[[#This Row],[Revenue]]</f>
        <v>0.38144329896907209</v>
      </c>
    </row>
    <row r="638" spans="1:18" x14ac:dyDescent="0.2">
      <c r="A638" s="4">
        <v>637</v>
      </c>
      <c r="B638" s="4">
        <v>59</v>
      </c>
      <c r="C638" s="6">
        <v>45858</v>
      </c>
      <c r="D638" s="4">
        <v>47</v>
      </c>
      <c r="E638" s="4">
        <v>6</v>
      </c>
      <c r="F638" s="12">
        <f t="shared" si="9"/>
        <v>3901.4794000000002</v>
      </c>
      <c r="G638" t="str">
        <f>VLOOKUP(B638,product_tbl[],2,FALSE)</f>
        <v>Smartwatch 59</v>
      </c>
      <c r="H638" t="str">
        <f>VLOOKUP(B638,product_tbl[],3,FALSE)</f>
        <v>Electronics</v>
      </c>
      <c r="I638">
        <v>2490.306</v>
      </c>
      <c r="J638">
        <f>VLOOKUP(B638,product_tbl[],5,FALSE)</f>
        <v>4150.51</v>
      </c>
      <c r="K638">
        <f>VLOOKUP(B638,review_tbl[],3,FALSE)</f>
        <v>3</v>
      </c>
      <c r="L638" s="11">
        <v>5300.3142209400685</v>
      </c>
      <c r="M638" s="11">
        <f>AVERAGEIF(Table1[product_id],Master_tbl!B638:B1639,Table1[competitor_price])</f>
        <v>6105.9674999999997</v>
      </c>
      <c r="N638" s="11">
        <f>IFERROR(Table5[[#This Row],[final_sale_price]]*Table5[[#This Row],[quantity_sold ]],0)</f>
        <v>183369.5318</v>
      </c>
      <c r="O638" s="11">
        <f>(Table5[[#This Row],[final_sale_price]]-Table5[[#This Row],[cost_price]])*Table5[[#This Row],[quantity_sold ]]</f>
        <v>66325.149799999999</v>
      </c>
      <c r="P638" s="11">
        <f>(Table5[final_sale_price]-Table5[[#This Row],[avg_comp_price]])</f>
        <v>-2204.4880999999996</v>
      </c>
      <c r="Q638" s="15">
        <f>(Table5[[#This Row],[final_sale_price]]-Table5[[#This Row],[avg_comp_price]])/Table5[[#This Row],[avg_comp_price]]</f>
        <v>-0.36103829573282198</v>
      </c>
      <c r="R638" s="11">
        <f>Table5[[#This Row],[Profit]]/Table5[[#This Row],[Revenue]]</f>
        <v>0.36170212765957449</v>
      </c>
    </row>
    <row r="639" spans="1:18" x14ac:dyDescent="0.2">
      <c r="A639" s="5">
        <v>638</v>
      </c>
      <c r="B639" s="5">
        <v>99</v>
      </c>
      <c r="C639" s="7">
        <v>45841</v>
      </c>
      <c r="D639" s="5">
        <v>18</v>
      </c>
      <c r="E639" s="4">
        <v>6</v>
      </c>
      <c r="F639" s="12">
        <f t="shared" si="9"/>
        <v>1921.3411999999998</v>
      </c>
      <c r="G639" t="str">
        <f>VLOOKUP(B639,product_tbl[],2,FALSE)</f>
        <v>Sneakers 99</v>
      </c>
      <c r="H639" t="str">
        <f>VLOOKUP(B639,product_tbl[],3,FALSE)</f>
        <v>Fashion</v>
      </c>
      <c r="I639">
        <v>1226.3879999999999</v>
      </c>
      <c r="J639">
        <f>VLOOKUP(B639,product_tbl[],5,FALSE)</f>
        <v>2043.98</v>
      </c>
      <c r="K639">
        <f>VLOOKUP(B639,review_tbl[],3,FALSE)</f>
        <v>2</v>
      </c>
      <c r="L639" s="11">
        <v>2433.1477252051</v>
      </c>
      <c r="M639" s="11">
        <f>AVERAGEIF(Table1[product_id],Master_tbl!B639:B1640,Table1[competitor_price])</f>
        <v>958.76666666666654</v>
      </c>
      <c r="N639" s="11">
        <f>IFERROR(Table5[[#This Row],[final_sale_price]]*Table5[[#This Row],[quantity_sold ]],0)</f>
        <v>34584.141599999995</v>
      </c>
      <c r="O639" s="11">
        <f>(Table5[[#This Row],[final_sale_price]]-Table5[[#This Row],[cost_price]])*Table5[[#This Row],[quantity_sold ]]</f>
        <v>12509.157599999999</v>
      </c>
      <c r="P639" s="11">
        <f>(Table5[final_sale_price]-Table5[[#This Row],[avg_comp_price]])</f>
        <v>962.57453333333331</v>
      </c>
      <c r="Q639" s="15">
        <f>(Table5[[#This Row],[final_sale_price]]-Table5[[#This Row],[avg_comp_price]])/Table5[[#This Row],[avg_comp_price]]</f>
        <v>1.0039716302193791</v>
      </c>
      <c r="R639" s="11">
        <f>Table5[[#This Row],[Profit]]/Table5[[#This Row],[Revenue]]</f>
        <v>0.36170212765957449</v>
      </c>
    </row>
    <row r="640" spans="1:18" x14ac:dyDescent="0.2">
      <c r="A640" s="4">
        <v>639</v>
      </c>
      <c r="B640" s="4">
        <v>133</v>
      </c>
      <c r="C640" s="6">
        <v>44944</v>
      </c>
      <c r="D640" s="4">
        <v>7</v>
      </c>
      <c r="E640" s="4">
        <v>8</v>
      </c>
      <c r="F640" s="12">
        <f t="shared" si="9"/>
        <v>6076.5079999999998</v>
      </c>
      <c r="G640" t="str">
        <f>VLOOKUP(B640,product_tbl[],2,FALSE)</f>
        <v>Puzzle Set 133</v>
      </c>
      <c r="H640" t="str">
        <f>VLOOKUP(B640,product_tbl[],3,FALSE)</f>
        <v>Toys</v>
      </c>
      <c r="I640">
        <v>3962.9399999999996</v>
      </c>
      <c r="J640">
        <f>VLOOKUP(B640,product_tbl[],5,FALSE)</f>
        <v>6604.9</v>
      </c>
      <c r="K640">
        <f>VLOOKUP(B640,review_tbl[],3,FALSE)</f>
        <v>4</v>
      </c>
      <c r="L640" s="11">
        <v>7706.679884396096</v>
      </c>
      <c r="M640" s="11">
        <f>AVERAGEIF(Table1[product_id],Master_tbl!B640:B1641,Table1[competitor_price])</f>
        <v>4666.1933333333336</v>
      </c>
      <c r="N640" s="11">
        <f>IFERROR(Table5[[#This Row],[final_sale_price]]*Table5[[#This Row],[quantity_sold ]],0)</f>
        <v>42535.555999999997</v>
      </c>
      <c r="O640" s="11">
        <f>(Table5[[#This Row],[final_sale_price]]-Table5[[#This Row],[cost_price]])*Table5[[#This Row],[quantity_sold ]]</f>
        <v>14794.976000000002</v>
      </c>
      <c r="P640" s="11">
        <f>(Table5[final_sale_price]-Table5[[#This Row],[avg_comp_price]])</f>
        <v>1410.3146666666662</v>
      </c>
      <c r="Q640" s="15">
        <f>(Table5[[#This Row],[final_sale_price]]-Table5[[#This Row],[avg_comp_price]])/Table5[[#This Row],[avg_comp_price]]</f>
        <v>0.30224094158121739</v>
      </c>
      <c r="R640" s="11">
        <f>Table5[[#This Row],[Profit]]/Table5[[#This Row],[Revenue]]</f>
        <v>0.34782608695652184</v>
      </c>
    </row>
    <row r="641" spans="1:18" x14ac:dyDescent="0.2">
      <c r="A641" s="5">
        <v>640</v>
      </c>
      <c r="B641" s="5">
        <v>82</v>
      </c>
      <c r="C641" s="7">
        <v>45189</v>
      </c>
      <c r="D641" s="5">
        <v>19</v>
      </c>
      <c r="E641" s="4">
        <v>7</v>
      </c>
      <c r="F641" s="12">
        <f t="shared" si="9"/>
        <v>1182.2346</v>
      </c>
      <c r="G641" t="str">
        <f>VLOOKUP(B641,product_tbl[],2,FALSE)</f>
        <v>Yoga Mat 82</v>
      </c>
      <c r="H641" t="str">
        <f>VLOOKUP(B641,product_tbl[],3,FALSE)</f>
        <v>Sports</v>
      </c>
      <c r="I641">
        <v>762.73199999999997</v>
      </c>
      <c r="J641">
        <f>VLOOKUP(B641,product_tbl[],5,FALSE)</f>
        <v>1271.22</v>
      </c>
      <c r="K641">
        <f>VLOOKUP(B641,review_tbl[],3,FALSE)</f>
        <v>2</v>
      </c>
      <c r="L641" s="11">
        <v>1357.086506536039</v>
      </c>
      <c r="M641" s="11">
        <f>AVERAGEIF(Table1[product_id],Master_tbl!B641:B1642,Table1[competitor_price])</f>
        <v>2617.7080000000001</v>
      </c>
      <c r="N641" s="11">
        <f>IFERROR(Table5[[#This Row],[final_sale_price]]*Table5[[#This Row],[quantity_sold ]],0)</f>
        <v>22462.457399999999</v>
      </c>
      <c r="O641" s="11">
        <f>(Table5[[#This Row],[final_sale_price]]-Table5[[#This Row],[cost_price]])*Table5[[#This Row],[quantity_sold ]]</f>
        <v>7970.5494000000008</v>
      </c>
      <c r="P641" s="11">
        <f>(Table5[final_sale_price]-Table5[[#This Row],[avg_comp_price]])</f>
        <v>-1435.4734000000001</v>
      </c>
      <c r="Q641" s="15">
        <f>(Table5[[#This Row],[final_sale_price]]-Table5[[#This Row],[avg_comp_price]])/Table5[[#This Row],[avg_comp_price]]</f>
        <v>-0.54837033007501224</v>
      </c>
      <c r="R641" s="11">
        <f>Table5[[#This Row],[Profit]]/Table5[[#This Row],[Revenue]]</f>
        <v>0.35483870967741943</v>
      </c>
    </row>
    <row r="642" spans="1:18" x14ac:dyDescent="0.2">
      <c r="A642" s="4">
        <v>641</v>
      </c>
      <c r="B642" s="4">
        <v>119</v>
      </c>
      <c r="C642" s="6">
        <v>45274</v>
      </c>
      <c r="D642" s="4">
        <v>45</v>
      </c>
      <c r="E642" s="4">
        <v>8</v>
      </c>
      <c r="F642" s="12">
        <f t="shared" ref="F642:F705" si="10">J642*(1-E642/100)</f>
        <v>1786.5572000000002</v>
      </c>
      <c r="G642" t="str">
        <f>VLOOKUP(B642,product_tbl[],2,FALSE)</f>
        <v>Wheat Flour 119</v>
      </c>
      <c r="H642" t="str">
        <f>VLOOKUP(B642,product_tbl[],3,FALSE)</f>
        <v>Grocery</v>
      </c>
      <c r="I642">
        <v>1165.146</v>
      </c>
      <c r="J642">
        <f>VLOOKUP(B642,product_tbl[],5,FALSE)</f>
        <v>1941.91</v>
      </c>
      <c r="K642">
        <f>VLOOKUP(B642,review_tbl[],3,FALSE)</f>
        <v>4</v>
      </c>
      <c r="L642" s="11">
        <v>2413.2372981937247</v>
      </c>
      <c r="M642" s="11">
        <f>AVERAGEIF(Table1[product_id],Master_tbl!B642:B1643,Table1[competitor_price])</f>
        <v>4902.3539999999994</v>
      </c>
      <c r="N642" s="11">
        <f>IFERROR(Table5[[#This Row],[final_sale_price]]*Table5[[#This Row],[quantity_sold ]],0)</f>
        <v>80395.074000000008</v>
      </c>
      <c r="O642" s="11">
        <f>(Table5[[#This Row],[final_sale_price]]-Table5[[#This Row],[cost_price]])*Table5[[#This Row],[quantity_sold ]]</f>
        <v>27963.504000000012</v>
      </c>
      <c r="P642" s="11">
        <f>(Table5[final_sale_price]-Table5[[#This Row],[avg_comp_price]])</f>
        <v>-3115.7967999999992</v>
      </c>
      <c r="Q642" s="15">
        <f>(Table5[[#This Row],[final_sale_price]]-Table5[[#This Row],[avg_comp_price]])/Table5[[#This Row],[avg_comp_price]]</f>
        <v>-0.6355715641914067</v>
      </c>
      <c r="R642" s="11">
        <f>Table5[[#This Row],[Profit]]/Table5[[#This Row],[Revenue]]</f>
        <v>0.34782608695652184</v>
      </c>
    </row>
    <row r="643" spans="1:18" x14ac:dyDescent="0.2">
      <c r="A643" s="5">
        <v>642</v>
      </c>
      <c r="B643" s="5">
        <v>106</v>
      </c>
      <c r="C643" s="7">
        <v>45885</v>
      </c>
      <c r="D643" s="5">
        <v>7</v>
      </c>
      <c r="E643" s="4">
        <v>2</v>
      </c>
      <c r="F643" s="12">
        <f t="shared" si="10"/>
        <v>1405.3494000000001</v>
      </c>
      <c r="G643" t="str">
        <f>VLOOKUP(B643,product_tbl[],2,FALSE)</f>
        <v>Doll 106</v>
      </c>
      <c r="H643" t="str">
        <f>VLOOKUP(B643,product_tbl[],3,FALSE)</f>
        <v>Toys</v>
      </c>
      <c r="I643">
        <v>860.41800000000001</v>
      </c>
      <c r="J643">
        <f>VLOOKUP(B643,product_tbl[],5,FALSE)</f>
        <v>1434.03</v>
      </c>
      <c r="K643">
        <f>VLOOKUP(B643,review_tbl[],3,FALSE)</f>
        <v>2</v>
      </c>
      <c r="L643" s="11">
        <v>1711.5451298653054</v>
      </c>
      <c r="M643" s="11">
        <f>AVERAGEIF(Table1[product_id],Master_tbl!B643:B1644,Table1[competitor_price])</f>
        <v>695.38400000000001</v>
      </c>
      <c r="N643" s="11">
        <f>IFERROR(Table5[[#This Row],[final_sale_price]]*Table5[[#This Row],[quantity_sold ]],0)</f>
        <v>9837.4458000000013</v>
      </c>
      <c r="O643" s="11">
        <f>(Table5[[#This Row],[final_sale_price]]-Table5[[#This Row],[cost_price]])*Table5[[#This Row],[quantity_sold ]]</f>
        <v>3814.5198000000005</v>
      </c>
      <c r="P643" s="11">
        <f>(Table5[final_sale_price]-Table5[[#This Row],[avg_comp_price]])</f>
        <v>709.96540000000005</v>
      </c>
      <c r="Q643" s="15">
        <f>(Table5[[#This Row],[final_sale_price]]-Table5[[#This Row],[avg_comp_price]])/Table5[[#This Row],[avg_comp_price]]</f>
        <v>1.0209688459901292</v>
      </c>
      <c r="R643" s="11">
        <f>Table5[[#This Row],[Profit]]/Table5[[#This Row],[Revenue]]</f>
        <v>0.38775510204081631</v>
      </c>
    </row>
    <row r="644" spans="1:18" x14ac:dyDescent="0.2">
      <c r="A644" s="4">
        <v>643</v>
      </c>
      <c r="B644" s="4">
        <v>112</v>
      </c>
      <c r="C644" s="6">
        <v>45897</v>
      </c>
      <c r="D644" s="4">
        <v>28</v>
      </c>
      <c r="E644" s="4">
        <v>10</v>
      </c>
      <c r="F644" s="12">
        <f t="shared" si="10"/>
        <v>2460.9690000000001</v>
      </c>
      <c r="G644" t="str">
        <f>VLOOKUP(B644,product_tbl[],2,FALSE)</f>
        <v>Lipstick 112</v>
      </c>
      <c r="H644" t="str">
        <f>VLOOKUP(B644,product_tbl[],3,FALSE)</f>
        <v>Beauty</v>
      </c>
      <c r="I644">
        <v>1640.646</v>
      </c>
      <c r="J644">
        <f>VLOOKUP(B644,product_tbl[],5,FALSE)</f>
        <v>2734.41</v>
      </c>
      <c r="K644">
        <f>VLOOKUP(B644,review_tbl[],3,FALSE)</f>
        <v>1</v>
      </c>
      <c r="L644" s="11">
        <v>2818.6214494777755</v>
      </c>
      <c r="M644" s="11">
        <f>AVERAGEIF(Table1[product_id],Master_tbl!B644:B1645,Table1[competitor_price])</f>
        <v>7409.5025000000005</v>
      </c>
      <c r="N644" s="11">
        <f>IFERROR(Table5[[#This Row],[final_sale_price]]*Table5[[#This Row],[quantity_sold ]],0)</f>
        <v>68907.131999999998</v>
      </c>
      <c r="O644" s="11">
        <f>(Table5[[#This Row],[final_sale_price]]-Table5[[#This Row],[cost_price]])*Table5[[#This Row],[quantity_sold ]]</f>
        <v>22969.044000000002</v>
      </c>
      <c r="P644" s="11">
        <f>(Table5[final_sale_price]-Table5[[#This Row],[avg_comp_price]])</f>
        <v>-4948.5335000000005</v>
      </c>
      <c r="Q644" s="15">
        <f>(Table5[[#This Row],[final_sale_price]]-Table5[[#This Row],[avg_comp_price]])/Table5[[#This Row],[avg_comp_price]]</f>
        <v>-0.66786312576316698</v>
      </c>
      <c r="R644" s="11">
        <f>Table5[[#This Row],[Profit]]/Table5[[#This Row],[Revenue]]</f>
        <v>0.33333333333333337</v>
      </c>
    </row>
    <row r="645" spans="1:18" x14ac:dyDescent="0.2">
      <c r="A645" s="5">
        <v>644</v>
      </c>
      <c r="B645" s="5">
        <v>107</v>
      </c>
      <c r="C645" s="7">
        <v>45280</v>
      </c>
      <c r="D645" s="5">
        <v>15</v>
      </c>
      <c r="E645" s="4">
        <v>4</v>
      </c>
      <c r="F645" s="12">
        <f t="shared" si="10"/>
        <v>1505.184</v>
      </c>
      <c r="G645" t="str">
        <f>VLOOKUP(B645,product_tbl[],2,FALSE)</f>
        <v>Face Wash 107</v>
      </c>
      <c r="H645" t="str">
        <f>VLOOKUP(B645,product_tbl[],3,FALSE)</f>
        <v>Beauty</v>
      </c>
      <c r="I645">
        <v>940.74</v>
      </c>
      <c r="J645">
        <f>VLOOKUP(B645,product_tbl[],5,FALSE)</f>
        <v>1567.9</v>
      </c>
      <c r="K645">
        <f>VLOOKUP(B645,review_tbl[],3,FALSE)</f>
        <v>2</v>
      </c>
      <c r="L645" s="11">
        <v>1740.6449386823438</v>
      </c>
      <c r="M645" s="11">
        <f>AVERAGEIF(Table1[product_id],Master_tbl!B645:B1646,Table1[competitor_price])</f>
        <v>979.96</v>
      </c>
      <c r="N645" s="11">
        <f>IFERROR(Table5[[#This Row],[final_sale_price]]*Table5[[#This Row],[quantity_sold ]],0)</f>
        <v>22577.759999999998</v>
      </c>
      <c r="O645" s="11">
        <f>(Table5[[#This Row],[final_sale_price]]-Table5[[#This Row],[cost_price]])*Table5[[#This Row],[quantity_sold ]]</f>
        <v>8466.66</v>
      </c>
      <c r="P645" s="11">
        <f>(Table5[final_sale_price]-Table5[[#This Row],[avg_comp_price]])</f>
        <v>525.22399999999993</v>
      </c>
      <c r="Q645" s="15">
        <f>(Table5[[#This Row],[final_sale_price]]-Table5[[#This Row],[avg_comp_price]])/Table5[[#This Row],[avg_comp_price]]</f>
        <v>0.53596473325441851</v>
      </c>
      <c r="R645" s="11">
        <f>Table5[[#This Row],[Profit]]/Table5[[#This Row],[Revenue]]</f>
        <v>0.375</v>
      </c>
    </row>
    <row r="646" spans="1:18" x14ac:dyDescent="0.2">
      <c r="A646" s="4">
        <v>645</v>
      </c>
      <c r="B646" s="4">
        <v>139</v>
      </c>
      <c r="C646" s="6">
        <v>45827</v>
      </c>
      <c r="D646" s="4">
        <v>41</v>
      </c>
      <c r="E646" s="4">
        <v>6</v>
      </c>
      <c r="F646" s="12">
        <f t="shared" si="10"/>
        <v>2435.6151999999997</v>
      </c>
      <c r="G646" t="str">
        <f>VLOOKUP(B646,product_tbl[],2,FALSE)</f>
        <v>Jacket 139</v>
      </c>
      <c r="H646" t="str">
        <f>VLOOKUP(B646,product_tbl[],3,FALSE)</f>
        <v>Fashion</v>
      </c>
      <c r="I646">
        <v>1554.6479999999999</v>
      </c>
      <c r="J646">
        <f>VLOOKUP(B646,product_tbl[],5,FALSE)</f>
        <v>2591.08</v>
      </c>
      <c r="K646">
        <f>VLOOKUP(B646,review_tbl[],3,FALSE)</f>
        <v>5</v>
      </c>
      <c r="L646" s="11">
        <v>3010.4511868513782</v>
      </c>
      <c r="M646" s="11">
        <f>AVERAGEIF(Table1[product_id],Master_tbl!B646:B1647,Table1[competitor_price])</f>
        <v>2839.1733333333336</v>
      </c>
      <c r="N646" s="11">
        <f>IFERROR(Table5[[#This Row],[final_sale_price]]*Table5[[#This Row],[quantity_sold ]],0)</f>
        <v>99860.223199999993</v>
      </c>
      <c r="O646" s="11">
        <f>(Table5[[#This Row],[final_sale_price]]-Table5[[#This Row],[cost_price]])*Table5[[#This Row],[quantity_sold ]]</f>
        <v>36119.655199999994</v>
      </c>
      <c r="P646" s="11">
        <f>(Table5[final_sale_price]-Table5[[#This Row],[avg_comp_price]])</f>
        <v>-403.5581333333339</v>
      </c>
      <c r="Q646" s="15">
        <f>(Table5[[#This Row],[final_sale_price]]-Table5[[#This Row],[avg_comp_price]])/Table5[[#This Row],[avg_comp_price]]</f>
        <v>-0.14213930815542572</v>
      </c>
      <c r="R646" s="11">
        <f>Table5[[#This Row],[Profit]]/Table5[[#This Row],[Revenue]]</f>
        <v>0.36170212765957444</v>
      </c>
    </row>
    <row r="647" spans="1:18" x14ac:dyDescent="0.2">
      <c r="A647" s="5">
        <v>646</v>
      </c>
      <c r="B647" s="5">
        <v>8</v>
      </c>
      <c r="C647" s="7">
        <v>45418</v>
      </c>
      <c r="D647" s="5">
        <v>13</v>
      </c>
      <c r="E647" s="4">
        <v>3</v>
      </c>
      <c r="F647" s="12">
        <f t="shared" si="10"/>
        <v>5474.6217999999999</v>
      </c>
      <c r="G647" t="str">
        <f>VLOOKUP(B647,product_tbl[],2,FALSE)</f>
        <v>Puzzle Set 8</v>
      </c>
      <c r="H647" t="str">
        <f>VLOOKUP(B647,product_tbl[],3,FALSE)</f>
        <v>Toys</v>
      </c>
      <c r="I647">
        <v>3386.3639999999996</v>
      </c>
      <c r="J647">
        <f>VLOOKUP(B647,product_tbl[],5,FALSE)</f>
        <v>5643.94</v>
      </c>
      <c r="K647">
        <f>VLOOKUP(B647,review_tbl[],3,FALSE)</f>
        <v>2</v>
      </c>
      <c r="L647" s="11">
        <v>6211.4023021400917</v>
      </c>
      <c r="M647" s="11">
        <f>AVERAGEIF(Table1[product_id],Master_tbl!B647:B1648,Table1[competitor_price])</f>
        <v>2853.6650000000004</v>
      </c>
      <c r="N647" s="11">
        <f>IFERROR(Table5[[#This Row],[final_sale_price]]*Table5[[#This Row],[quantity_sold ]],0)</f>
        <v>71170.083400000003</v>
      </c>
      <c r="O647" s="11">
        <f>(Table5[[#This Row],[final_sale_price]]-Table5[[#This Row],[cost_price]])*Table5[[#This Row],[quantity_sold ]]</f>
        <v>27147.351400000003</v>
      </c>
      <c r="P647" s="11">
        <f>(Table5[final_sale_price]-Table5[[#This Row],[avg_comp_price]])</f>
        <v>2620.9567999999995</v>
      </c>
      <c r="Q647" s="15">
        <f>(Table5[[#This Row],[final_sale_price]]-Table5[[#This Row],[avg_comp_price]])/Table5[[#This Row],[avg_comp_price]]</f>
        <v>0.91845286675205362</v>
      </c>
      <c r="R647" s="11">
        <f>Table5[[#This Row],[Profit]]/Table5[[#This Row],[Revenue]]</f>
        <v>0.3814432989690722</v>
      </c>
    </row>
    <row r="648" spans="1:18" x14ac:dyDescent="0.2">
      <c r="A648" s="4">
        <v>647</v>
      </c>
      <c r="B648" s="4">
        <v>120</v>
      </c>
      <c r="C648" s="6">
        <v>45837</v>
      </c>
      <c r="D648" s="4">
        <v>45</v>
      </c>
      <c r="E648" s="4">
        <v>3</v>
      </c>
      <c r="F648" s="12">
        <f t="shared" si="10"/>
        <v>1917.3019999999999</v>
      </c>
      <c r="G648" t="str">
        <f>VLOOKUP(B648,product_tbl[],2,FALSE)</f>
        <v>Vacuum Cleaner 120</v>
      </c>
      <c r="H648" t="str">
        <f>VLOOKUP(B648,product_tbl[],3,FALSE)</f>
        <v>Home Appliances</v>
      </c>
      <c r="I648">
        <v>1185.9599999999998</v>
      </c>
      <c r="J648">
        <f>VLOOKUP(B648,product_tbl[],5,FALSE)</f>
        <v>1976.6</v>
      </c>
      <c r="K648">
        <f>VLOOKUP(B648,review_tbl[],3,FALSE)</f>
        <v>2</v>
      </c>
      <c r="L648" s="11">
        <v>2514.3362294478097</v>
      </c>
      <c r="M648" s="11">
        <f>AVERAGEIF(Table1[product_id],Master_tbl!B648:B1649,Table1[competitor_price])</f>
        <v>1688.8574999999998</v>
      </c>
      <c r="N648" s="11">
        <f>IFERROR(Table5[[#This Row],[final_sale_price]]*Table5[[#This Row],[quantity_sold ]],0)</f>
        <v>86278.59</v>
      </c>
      <c r="O648" s="11">
        <f>(Table5[[#This Row],[final_sale_price]]-Table5[[#This Row],[cost_price]])*Table5[[#This Row],[quantity_sold ]]</f>
        <v>32910.390000000007</v>
      </c>
      <c r="P648" s="11">
        <f>(Table5[final_sale_price]-Table5[[#This Row],[avg_comp_price]])</f>
        <v>228.44450000000006</v>
      </c>
      <c r="Q648" s="15">
        <f>(Table5[[#This Row],[final_sale_price]]-Table5[[#This Row],[avg_comp_price]])/Table5[[#This Row],[avg_comp_price]]</f>
        <v>0.13526570477378944</v>
      </c>
      <c r="R648" s="11">
        <f>Table5[[#This Row],[Profit]]/Table5[[#This Row],[Revenue]]</f>
        <v>0.38144329896907225</v>
      </c>
    </row>
    <row r="649" spans="1:18" x14ac:dyDescent="0.2">
      <c r="A649" s="5">
        <v>648</v>
      </c>
      <c r="B649" s="5">
        <v>30</v>
      </c>
      <c r="C649" s="7">
        <v>45055</v>
      </c>
      <c r="D649" s="5">
        <v>35</v>
      </c>
      <c r="E649" s="4">
        <v>9</v>
      </c>
      <c r="F649" s="12">
        <f t="shared" si="10"/>
        <v>1863.9894000000002</v>
      </c>
      <c r="G649" t="str">
        <f>VLOOKUP(B649,product_tbl[],2,FALSE)</f>
        <v>Doll 30</v>
      </c>
      <c r="H649" t="str">
        <f>VLOOKUP(B649,product_tbl[],3,FALSE)</f>
        <v>Toys</v>
      </c>
      <c r="I649">
        <v>1229.0040000000001</v>
      </c>
      <c r="J649">
        <f>VLOOKUP(B649,product_tbl[],5,FALSE)</f>
        <v>2048.34</v>
      </c>
      <c r="K649">
        <f>VLOOKUP(B649,review_tbl[],3,FALSE)</f>
        <v>1</v>
      </c>
      <c r="L649" s="11">
        <v>2223.213503622173</v>
      </c>
      <c r="M649" s="11">
        <f>AVERAGEIF(Table1[product_id],Master_tbl!B649:B1650,Table1[competitor_price])</f>
        <v>4153.6075000000001</v>
      </c>
      <c r="N649" s="11">
        <f>IFERROR(Table5[[#This Row],[final_sale_price]]*Table5[[#This Row],[quantity_sold ]],0)</f>
        <v>65239.629000000008</v>
      </c>
      <c r="O649" s="11">
        <f>(Table5[[#This Row],[final_sale_price]]-Table5[[#This Row],[cost_price]])*Table5[[#This Row],[quantity_sold ]]</f>
        <v>22224.489000000001</v>
      </c>
      <c r="P649" s="11">
        <f>(Table5[final_sale_price]-Table5[[#This Row],[avg_comp_price]])</f>
        <v>-2289.6180999999997</v>
      </c>
      <c r="Q649" s="15">
        <f>(Table5[[#This Row],[final_sale_price]]-Table5[[#This Row],[avg_comp_price]])/Table5[[#This Row],[avg_comp_price]]</f>
        <v>-0.55123602795882842</v>
      </c>
      <c r="R649" s="11">
        <f>Table5[[#This Row],[Profit]]/Table5[[#This Row],[Revenue]]</f>
        <v>0.34065934065934061</v>
      </c>
    </row>
    <row r="650" spans="1:18" x14ac:dyDescent="0.2">
      <c r="A650" s="4">
        <v>649</v>
      </c>
      <c r="B650" s="4">
        <v>1</v>
      </c>
      <c r="C650" s="6">
        <v>45608</v>
      </c>
      <c r="D650" s="4">
        <v>6</v>
      </c>
      <c r="E650" s="4">
        <v>5</v>
      </c>
      <c r="F650" s="12">
        <f t="shared" si="10"/>
        <v>1815.4024999999999</v>
      </c>
      <c r="G650" t="str">
        <f>VLOOKUP(B650,product_tbl[],2,FALSE)</f>
        <v>Wheat Flour 1</v>
      </c>
      <c r="H650" t="str">
        <f>VLOOKUP(B650,product_tbl[],3,FALSE)</f>
        <v>Grocery</v>
      </c>
      <c r="I650">
        <v>1146.57</v>
      </c>
      <c r="J650">
        <f>VLOOKUP(B650,product_tbl[],5,FALSE)</f>
        <v>1910.95</v>
      </c>
      <c r="K650">
        <f>VLOOKUP(B650,review_tbl[],3,FALSE)</f>
        <v>1</v>
      </c>
      <c r="L650" s="11">
        <v>2171.0292172629274</v>
      </c>
      <c r="M650" s="11">
        <f>AVERAGEIF(Table1[product_id],Master_tbl!B650:B1651,Table1[competitor_price])</f>
        <v>4785.0083333333332</v>
      </c>
      <c r="N650" s="11">
        <f>IFERROR(Table5[[#This Row],[final_sale_price]]*Table5[[#This Row],[quantity_sold ]],0)</f>
        <v>10892.414999999999</v>
      </c>
      <c r="O650" s="11">
        <f>(Table5[[#This Row],[final_sale_price]]-Table5[[#This Row],[cost_price]])*Table5[[#This Row],[quantity_sold ]]</f>
        <v>4012.9949999999999</v>
      </c>
      <c r="P650" s="11">
        <f>(Table5[final_sale_price]-Table5[[#This Row],[avg_comp_price]])</f>
        <v>-2969.6058333333331</v>
      </c>
      <c r="Q650" s="15">
        <f>(Table5[[#This Row],[final_sale_price]]-Table5[[#This Row],[avg_comp_price]])/Table5[[#This Row],[avg_comp_price]]</f>
        <v>-0.6206061988746101</v>
      </c>
      <c r="R650" s="11">
        <f>Table5[[#This Row],[Profit]]/Table5[[#This Row],[Revenue]]</f>
        <v>0.36842105263157898</v>
      </c>
    </row>
    <row r="651" spans="1:18" x14ac:dyDescent="0.2">
      <c r="A651" s="5">
        <v>650</v>
      </c>
      <c r="B651" s="5">
        <v>138</v>
      </c>
      <c r="C651" s="7">
        <v>45746</v>
      </c>
      <c r="D651" s="5">
        <v>21</v>
      </c>
      <c r="E651" s="4">
        <v>10</v>
      </c>
      <c r="F651" s="12">
        <f t="shared" si="10"/>
        <v>2782.3409999999999</v>
      </c>
      <c r="G651" t="str">
        <f>VLOOKUP(B651,product_tbl[],2,FALSE)</f>
        <v>Running Shoes 138</v>
      </c>
      <c r="H651" t="str">
        <f>VLOOKUP(B651,product_tbl[],3,FALSE)</f>
        <v>Sports</v>
      </c>
      <c r="I651">
        <v>1854.8939999999998</v>
      </c>
      <c r="J651">
        <f>VLOOKUP(B651,product_tbl[],5,FALSE)</f>
        <v>3091.49</v>
      </c>
      <c r="K651">
        <f>VLOOKUP(B651,review_tbl[],3,FALSE)</f>
        <v>5</v>
      </c>
      <c r="L651" s="11">
        <v>3208.1140502710464</v>
      </c>
      <c r="M651" s="11">
        <f>AVERAGEIF(Table1[product_id],Master_tbl!B651:B1652,Table1[competitor_price])</f>
        <v>4980.4933333333329</v>
      </c>
      <c r="N651" s="11">
        <f>IFERROR(Table5[[#This Row],[final_sale_price]]*Table5[[#This Row],[quantity_sold ]],0)</f>
        <v>58429.161</v>
      </c>
      <c r="O651" s="11">
        <f>(Table5[[#This Row],[final_sale_price]]-Table5[[#This Row],[cost_price]])*Table5[[#This Row],[quantity_sold ]]</f>
        <v>19476.387000000002</v>
      </c>
      <c r="P651" s="11">
        <f>(Table5[final_sale_price]-Table5[[#This Row],[avg_comp_price]])</f>
        <v>-2198.152333333333</v>
      </c>
      <c r="Q651" s="15">
        <f>(Table5[[#This Row],[final_sale_price]]-Table5[[#This Row],[avg_comp_price]])/Table5[[#This Row],[avg_comp_price]]</f>
        <v>-0.44135232922039846</v>
      </c>
      <c r="R651" s="11">
        <f>Table5[[#This Row],[Profit]]/Table5[[#This Row],[Revenue]]</f>
        <v>0.33333333333333337</v>
      </c>
    </row>
    <row r="652" spans="1:18" x14ac:dyDescent="0.2">
      <c r="A652" s="4">
        <v>651</v>
      </c>
      <c r="B652" s="4">
        <v>82</v>
      </c>
      <c r="C652" s="6">
        <v>45532</v>
      </c>
      <c r="D652" s="4">
        <v>25</v>
      </c>
      <c r="E652" s="4">
        <v>4</v>
      </c>
      <c r="F652" s="12">
        <f t="shared" si="10"/>
        <v>1220.3712</v>
      </c>
      <c r="G652" t="str">
        <f>VLOOKUP(B652,product_tbl[],2,FALSE)</f>
        <v>Yoga Mat 82</v>
      </c>
      <c r="H652" t="str">
        <f>VLOOKUP(B652,product_tbl[],3,FALSE)</f>
        <v>Sports</v>
      </c>
      <c r="I652">
        <v>762.73199999999997</v>
      </c>
      <c r="J652">
        <f>VLOOKUP(B652,product_tbl[],5,FALSE)</f>
        <v>1271.22</v>
      </c>
      <c r="K652">
        <f>VLOOKUP(B652,review_tbl[],3,FALSE)</f>
        <v>2</v>
      </c>
      <c r="L652" s="11">
        <v>1467.748284816425</v>
      </c>
      <c r="M652" s="11">
        <f>AVERAGEIF(Table1[product_id],Master_tbl!B652:B1653,Table1[competitor_price])</f>
        <v>2617.7080000000001</v>
      </c>
      <c r="N652" s="11">
        <f>IFERROR(Table5[[#This Row],[final_sale_price]]*Table5[[#This Row],[quantity_sold ]],0)</f>
        <v>30509.280000000002</v>
      </c>
      <c r="O652" s="11">
        <f>(Table5[[#This Row],[final_sale_price]]-Table5[[#This Row],[cost_price]])*Table5[[#This Row],[quantity_sold ]]</f>
        <v>11440.980000000001</v>
      </c>
      <c r="P652" s="11">
        <f>(Table5[final_sale_price]-Table5[[#This Row],[avg_comp_price]])</f>
        <v>-1397.3368</v>
      </c>
      <c r="Q652" s="15">
        <f>(Table5[[#This Row],[final_sale_price]]-Table5[[#This Row],[avg_comp_price]])/Table5[[#This Row],[avg_comp_price]]</f>
        <v>-0.53380163104517386</v>
      </c>
      <c r="R652" s="11">
        <f>Table5[[#This Row],[Profit]]/Table5[[#This Row],[Revenue]]</f>
        <v>0.375</v>
      </c>
    </row>
    <row r="653" spans="1:18" x14ac:dyDescent="0.2">
      <c r="A653" s="5">
        <v>652</v>
      </c>
      <c r="B653" s="5">
        <v>74</v>
      </c>
      <c r="C653" s="7">
        <v>45715</v>
      </c>
      <c r="D653" s="5">
        <v>17</v>
      </c>
      <c r="E653" s="4">
        <v>5</v>
      </c>
      <c r="F653" s="12">
        <f t="shared" si="10"/>
        <v>1809.9494999999999</v>
      </c>
      <c r="G653" t="str">
        <f>VLOOKUP(B653,product_tbl[],2,FALSE)</f>
        <v>Sneakers 74</v>
      </c>
      <c r="H653" t="str">
        <f>VLOOKUP(B653,product_tbl[],3,FALSE)</f>
        <v>Fashion</v>
      </c>
      <c r="I653">
        <v>1143.126</v>
      </c>
      <c r="J653">
        <f>VLOOKUP(B653,product_tbl[],5,FALSE)</f>
        <v>1905.21</v>
      </c>
      <c r="K653">
        <f>VLOOKUP(B653,review_tbl[],3,FALSE)</f>
        <v>5</v>
      </c>
      <c r="L653" s="11">
        <v>2201.2180491824752</v>
      </c>
      <c r="M653" s="11">
        <f>AVERAGEIF(Table1[product_id],Master_tbl!B653:B1654,Table1[competitor_price])</f>
        <v>2585.9039999999995</v>
      </c>
      <c r="N653" s="11">
        <f>IFERROR(Table5[[#This Row],[final_sale_price]]*Table5[[#This Row],[quantity_sold ]],0)</f>
        <v>30769.141499999998</v>
      </c>
      <c r="O653" s="11">
        <f>(Table5[[#This Row],[final_sale_price]]-Table5[[#This Row],[cost_price]])*Table5[[#This Row],[quantity_sold ]]</f>
        <v>11335.9995</v>
      </c>
      <c r="P653" s="11">
        <f>(Table5[final_sale_price]-Table5[[#This Row],[avg_comp_price]])</f>
        <v>-775.9544999999996</v>
      </c>
      <c r="Q653" s="15">
        <f>(Table5[[#This Row],[final_sale_price]]-Table5[[#This Row],[avg_comp_price]])/Table5[[#This Row],[avg_comp_price]]</f>
        <v>-0.30007088430196932</v>
      </c>
      <c r="R653" s="11">
        <f>Table5[[#This Row],[Profit]]/Table5[[#This Row],[Revenue]]</f>
        <v>0.36842105263157898</v>
      </c>
    </row>
    <row r="654" spans="1:18" x14ac:dyDescent="0.2">
      <c r="A654" s="4">
        <v>653</v>
      </c>
      <c r="B654" s="4">
        <v>96</v>
      </c>
      <c r="C654" s="6">
        <v>45100</v>
      </c>
      <c r="D654" s="4">
        <v>47</v>
      </c>
      <c r="E654" s="4">
        <v>7</v>
      </c>
      <c r="F654" s="12">
        <f t="shared" si="10"/>
        <v>5007.529199999999</v>
      </c>
      <c r="G654" t="str">
        <f>VLOOKUP(B654,product_tbl[],2,FALSE)</f>
        <v>Gym Gloves 96</v>
      </c>
      <c r="H654" t="str">
        <f>VLOOKUP(B654,product_tbl[],3,FALSE)</f>
        <v>Sports</v>
      </c>
      <c r="I654">
        <v>3230.6639999999998</v>
      </c>
      <c r="J654">
        <f>VLOOKUP(B654,product_tbl[],5,FALSE)</f>
        <v>5384.44</v>
      </c>
      <c r="K654">
        <f>VLOOKUP(B654,review_tbl[],3,FALSE)</f>
        <v>3</v>
      </c>
      <c r="L654" s="11">
        <v>6915.1997724632656</v>
      </c>
      <c r="M654" s="11">
        <f>AVERAGEIF(Table1[product_id],Master_tbl!B654:B1655,Table1[competitor_price])</f>
        <v>3578.9180000000001</v>
      </c>
      <c r="N654" s="11">
        <f>IFERROR(Table5[[#This Row],[final_sale_price]]*Table5[[#This Row],[quantity_sold ]],0)</f>
        <v>235353.87239999996</v>
      </c>
      <c r="O654" s="11">
        <f>(Table5[[#This Row],[final_sale_price]]-Table5[[#This Row],[cost_price]])*Table5[[#This Row],[quantity_sold ]]</f>
        <v>83512.664399999965</v>
      </c>
      <c r="P654" s="11">
        <f>(Table5[final_sale_price]-Table5[[#This Row],[avg_comp_price]])</f>
        <v>1428.6111999999989</v>
      </c>
      <c r="Q654" s="15">
        <f>(Table5[[#This Row],[final_sale_price]]-Table5[[#This Row],[avg_comp_price]])/Table5[[#This Row],[avg_comp_price]]</f>
        <v>0.39917405204589734</v>
      </c>
      <c r="R654" s="11">
        <f>Table5[[#This Row],[Profit]]/Table5[[#This Row],[Revenue]]</f>
        <v>0.35483870967741926</v>
      </c>
    </row>
    <row r="655" spans="1:18" x14ac:dyDescent="0.2">
      <c r="A655" s="5">
        <v>654</v>
      </c>
      <c r="B655" s="5">
        <v>113</v>
      </c>
      <c r="C655" s="7">
        <v>45047</v>
      </c>
      <c r="D655" s="5">
        <v>28</v>
      </c>
      <c r="E655" s="4">
        <v>2</v>
      </c>
      <c r="F655" s="12">
        <f t="shared" si="10"/>
        <v>4732.5767999999998</v>
      </c>
      <c r="G655" t="str">
        <f>VLOOKUP(B655,product_tbl[],2,FALSE)</f>
        <v>Green Tea 113</v>
      </c>
      <c r="H655" t="str">
        <f>VLOOKUP(B655,product_tbl[],3,FALSE)</f>
        <v>Grocery</v>
      </c>
      <c r="I655">
        <v>2897.4959999999996</v>
      </c>
      <c r="J655">
        <f>VLOOKUP(B655,product_tbl[],5,FALSE)</f>
        <v>4829.16</v>
      </c>
      <c r="K655">
        <f>VLOOKUP(B655,review_tbl[],3,FALSE)</f>
        <v>1</v>
      </c>
      <c r="L655" s="11">
        <v>5913.6936899309476</v>
      </c>
      <c r="M655" s="11">
        <f>AVERAGEIF(Table1[product_id],Master_tbl!B655:B1656,Table1[competitor_price])</f>
        <v>4302.05</v>
      </c>
      <c r="N655" s="11">
        <f>IFERROR(Table5[[#This Row],[final_sale_price]]*Table5[[#This Row],[quantity_sold ]],0)</f>
        <v>132512.15039999998</v>
      </c>
      <c r="O655" s="11">
        <f>(Table5[[#This Row],[final_sale_price]]-Table5[[#This Row],[cost_price]])*Table5[[#This Row],[quantity_sold ]]</f>
        <v>51382.262400000007</v>
      </c>
      <c r="P655" s="11">
        <f>(Table5[final_sale_price]-Table5[[#This Row],[avg_comp_price]])</f>
        <v>430.52679999999964</v>
      </c>
      <c r="Q655" s="15">
        <f>(Table5[[#This Row],[final_sale_price]]-Table5[[#This Row],[avg_comp_price]])/Table5[[#This Row],[avg_comp_price]]</f>
        <v>0.10007480154809907</v>
      </c>
      <c r="R655" s="11">
        <f>Table5[[#This Row],[Profit]]/Table5[[#This Row],[Revenue]]</f>
        <v>0.38775510204081642</v>
      </c>
    </row>
    <row r="656" spans="1:18" x14ac:dyDescent="0.2">
      <c r="A656" s="4">
        <v>655</v>
      </c>
      <c r="B656" s="4">
        <v>28</v>
      </c>
      <c r="C656" s="6">
        <v>45957</v>
      </c>
      <c r="D656" s="4">
        <v>18</v>
      </c>
      <c r="E656" s="4">
        <v>10</v>
      </c>
      <c r="F656" s="12">
        <f t="shared" si="10"/>
        <v>5144.9579999999996</v>
      </c>
      <c r="G656" t="str">
        <f>VLOOKUP(B656,product_tbl[],2,FALSE)</f>
        <v>Water Purifier 28</v>
      </c>
      <c r="H656" t="str">
        <f>VLOOKUP(B656,product_tbl[],3,FALSE)</f>
        <v>Home Appliances</v>
      </c>
      <c r="I656">
        <v>3429.9719999999998</v>
      </c>
      <c r="J656">
        <f>VLOOKUP(B656,product_tbl[],5,FALSE)</f>
        <v>5716.62</v>
      </c>
      <c r="K656">
        <f>VLOOKUP(B656,review_tbl[],3,FALSE)</f>
        <v>5</v>
      </c>
      <c r="L656" s="11">
        <v>6647.4592122556096</v>
      </c>
      <c r="M656" s="11">
        <f>AVERAGEIF(Table1[product_id],Master_tbl!B656:B1657,Table1[competitor_price])</f>
        <v>3542.9559999999997</v>
      </c>
      <c r="N656" s="11">
        <f>IFERROR(Table5[[#This Row],[final_sale_price]]*Table5[[#This Row],[quantity_sold ]],0)</f>
        <v>92609.243999999992</v>
      </c>
      <c r="O656" s="11">
        <f>(Table5[[#This Row],[final_sale_price]]-Table5[[#This Row],[cost_price]])*Table5[[#This Row],[quantity_sold ]]</f>
        <v>30869.748</v>
      </c>
      <c r="P656" s="11">
        <f>(Table5[final_sale_price]-Table5[[#This Row],[avg_comp_price]])</f>
        <v>1602.002</v>
      </c>
      <c r="Q656" s="15">
        <f>(Table5[[#This Row],[final_sale_price]]-Table5[[#This Row],[avg_comp_price]])/Table5[[#This Row],[avg_comp_price]]</f>
        <v>0.45216536699863052</v>
      </c>
      <c r="R656" s="11">
        <f>Table5[[#This Row],[Profit]]/Table5[[#This Row],[Revenue]]</f>
        <v>0.33333333333333337</v>
      </c>
    </row>
    <row r="657" spans="1:18" x14ac:dyDescent="0.2">
      <c r="A657" s="5">
        <v>656</v>
      </c>
      <c r="B657" s="5">
        <v>86</v>
      </c>
      <c r="C657" s="7">
        <v>45801</v>
      </c>
      <c r="D657" s="5">
        <v>47</v>
      </c>
      <c r="E657" s="4">
        <v>6</v>
      </c>
      <c r="F657" s="12">
        <f t="shared" si="10"/>
        <v>2935.5353999999998</v>
      </c>
      <c r="G657" t="str">
        <f>VLOOKUP(B657,product_tbl[],2,FALSE)</f>
        <v>Building Blocks 86</v>
      </c>
      <c r="H657" t="str">
        <f>VLOOKUP(B657,product_tbl[],3,FALSE)</f>
        <v>Toys</v>
      </c>
      <c r="I657">
        <v>1873.7459999999999</v>
      </c>
      <c r="J657">
        <f>VLOOKUP(B657,product_tbl[],5,FALSE)</f>
        <v>3122.91</v>
      </c>
      <c r="K657">
        <f>VLOOKUP(B657,review_tbl[],3,FALSE)</f>
        <v>4</v>
      </c>
      <c r="L657" s="11">
        <v>3818.0477942257185</v>
      </c>
      <c r="M657" s="11">
        <f>AVERAGEIF(Table1[product_id],Master_tbl!B657:B1658,Table1[competitor_price])</f>
        <v>2919.076</v>
      </c>
      <c r="N657" s="11">
        <f>IFERROR(Table5[[#This Row],[final_sale_price]]*Table5[[#This Row],[quantity_sold ]],0)</f>
        <v>137970.16379999998</v>
      </c>
      <c r="O657" s="11">
        <f>(Table5[[#This Row],[final_sale_price]]-Table5[[#This Row],[cost_price]])*Table5[[#This Row],[quantity_sold ]]</f>
        <v>49904.101799999997</v>
      </c>
      <c r="P657" s="11">
        <f>(Table5[final_sale_price]-Table5[[#This Row],[avg_comp_price]])</f>
        <v>16.459399999999732</v>
      </c>
      <c r="Q657" s="15">
        <f>(Table5[[#This Row],[final_sale_price]]-Table5[[#This Row],[avg_comp_price]])/Table5[[#This Row],[avg_comp_price]]</f>
        <v>5.6385650801828151E-3</v>
      </c>
      <c r="R657" s="11">
        <f>Table5[[#This Row],[Profit]]/Table5[[#This Row],[Revenue]]</f>
        <v>0.36170212765957449</v>
      </c>
    </row>
    <row r="658" spans="1:18" x14ac:dyDescent="0.2">
      <c r="A658" s="4">
        <v>657</v>
      </c>
      <c r="B658" s="4">
        <v>123</v>
      </c>
      <c r="C658" s="6">
        <v>45229</v>
      </c>
      <c r="D658" s="4">
        <v>46</v>
      </c>
      <c r="E658" s="4">
        <v>3</v>
      </c>
      <c r="F658" s="12">
        <f t="shared" si="10"/>
        <v>4488.7914000000001</v>
      </c>
      <c r="G658" t="str">
        <f>VLOOKUP(B658,product_tbl[],2,FALSE)</f>
        <v>Sunglasses 123</v>
      </c>
      <c r="H658" t="str">
        <f>VLOOKUP(B658,product_tbl[],3,FALSE)</f>
        <v>Fashion</v>
      </c>
      <c r="I658">
        <v>2776.5719999999997</v>
      </c>
      <c r="J658">
        <f>VLOOKUP(B658,product_tbl[],5,FALSE)</f>
        <v>4627.62</v>
      </c>
      <c r="K658">
        <f>VLOOKUP(B658,review_tbl[],3,FALSE)</f>
        <v>2</v>
      </c>
      <c r="L658" s="11">
        <v>5651.7617244794847</v>
      </c>
      <c r="M658" s="11">
        <f>AVERAGEIF(Table1[product_id],Master_tbl!B658:B1659,Table1[competitor_price])</f>
        <v>809.94800000000009</v>
      </c>
      <c r="N658" s="11">
        <f>IFERROR(Table5[[#This Row],[final_sale_price]]*Table5[[#This Row],[quantity_sold ]],0)</f>
        <v>206484.4044</v>
      </c>
      <c r="O658" s="11">
        <f>(Table5[[#This Row],[final_sale_price]]-Table5[[#This Row],[cost_price]])*Table5[[#This Row],[quantity_sold ]]</f>
        <v>78762.092400000023</v>
      </c>
      <c r="P658" s="11">
        <f>(Table5[final_sale_price]-Table5[[#This Row],[avg_comp_price]])</f>
        <v>3678.8433999999997</v>
      </c>
      <c r="Q658" s="15">
        <f>(Table5[[#This Row],[final_sale_price]]-Table5[[#This Row],[avg_comp_price]])/Table5[[#This Row],[avg_comp_price]]</f>
        <v>4.5420735652165316</v>
      </c>
      <c r="R658" s="11">
        <f>Table5[[#This Row],[Profit]]/Table5[[#This Row],[Revenue]]</f>
        <v>0.38144329896907225</v>
      </c>
    </row>
    <row r="659" spans="1:18" x14ac:dyDescent="0.2">
      <c r="A659" s="5">
        <v>658</v>
      </c>
      <c r="B659" s="5">
        <v>93</v>
      </c>
      <c r="C659" s="7">
        <v>45008</v>
      </c>
      <c r="D659" s="5">
        <v>23</v>
      </c>
      <c r="E659" s="4">
        <v>10</v>
      </c>
      <c r="F659" s="12">
        <f t="shared" si="10"/>
        <v>6896.3130000000001</v>
      </c>
      <c r="G659" t="str">
        <f>VLOOKUP(B659,product_tbl[],2,FALSE)</f>
        <v>Cookbook 93</v>
      </c>
      <c r="H659" t="str">
        <f>VLOOKUP(B659,product_tbl[],3,FALSE)</f>
        <v>Books</v>
      </c>
      <c r="I659">
        <v>4597.5419999999995</v>
      </c>
      <c r="J659">
        <f>VLOOKUP(B659,product_tbl[],5,FALSE)</f>
        <v>7662.57</v>
      </c>
      <c r="K659">
        <f>VLOOKUP(B659,review_tbl[],3,FALSE)</f>
        <v>3</v>
      </c>
      <c r="L659" s="11">
        <v>7671.7486069883607</v>
      </c>
      <c r="M659" s="11">
        <f>AVERAGEIF(Table1[product_id],Master_tbl!B659:B1660,Table1[competitor_price])</f>
        <v>991.00333333333344</v>
      </c>
      <c r="N659" s="11">
        <f>IFERROR(Table5[[#This Row],[final_sale_price]]*Table5[[#This Row],[quantity_sold ]],0)</f>
        <v>158615.19899999999</v>
      </c>
      <c r="O659" s="11">
        <f>(Table5[[#This Row],[final_sale_price]]-Table5[[#This Row],[cost_price]])*Table5[[#This Row],[quantity_sold ]]</f>
        <v>52871.733000000015</v>
      </c>
      <c r="P659" s="11">
        <f>(Table5[final_sale_price]-Table5[[#This Row],[avg_comp_price]])</f>
        <v>5905.309666666667</v>
      </c>
      <c r="Q659" s="15">
        <f>(Table5[[#This Row],[final_sale_price]]-Table5[[#This Row],[avg_comp_price]])/Table5[[#This Row],[avg_comp_price]]</f>
        <v>5.9589200843589492</v>
      </c>
      <c r="R659" s="11">
        <f>Table5[[#This Row],[Profit]]/Table5[[#This Row],[Revenue]]</f>
        <v>0.33333333333333343</v>
      </c>
    </row>
    <row r="660" spans="1:18" x14ac:dyDescent="0.2">
      <c r="A660" s="4">
        <v>659</v>
      </c>
      <c r="B660" s="4">
        <v>60</v>
      </c>
      <c r="C660" s="6">
        <v>45546</v>
      </c>
      <c r="D660" s="4">
        <v>23</v>
      </c>
      <c r="E660" s="4">
        <v>9</v>
      </c>
      <c r="F660" s="12">
        <f t="shared" si="10"/>
        <v>2523.0751</v>
      </c>
      <c r="G660" t="str">
        <f>VLOOKUP(B660,product_tbl[],2,FALSE)</f>
        <v>Biography 60</v>
      </c>
      <c r="H660" t="str">
        <f>VLOOKUP(B660,product_tbl[],3,FALSE)</f>
        <v>Books</v>
      </c>
      <c r="I660">
        <v>1663.566</v>
      </c>
      <c r="J660">
        <f>VLOOKUP(B660,product_tbl[],5,FALSE)</f>
        <v>2772.61</v>
      </c>
      <c r="K660">
        <f>VLOOKUP(B660,review_tbl[],3,FALSE)</f>
        <v>2</v>
      </c>
      <c r="L660" s="11">
        <v>3597.6885017543391</v>
      </c>
      <c r="M660" s="11">
        <f>AVERAGEIF(Table1[product_id],Master_tbl!B660:B1661,Table1[competitor_price])</f>
        <v>3047.7533333333336</v>
      </c>
      <c r="N660" s="11">
        <f>IFERROR(Table5[[#This Row],[final_sale_price]]*Table5[[#This Row],[quantity_sold ]],0)</f>
        <v>58030.727299999999</v>
      </c>
      <c r="O660" s="11">
        <f>(Table5[[#This Row],[final_sale_price]]-Table5[[#This Row],[cost_price]])*Table5[[#This Row],[quantity_sold ]]</f>
        <v>19768.709299999999</v>
      </c>
      <c r="P660" s="11">
        <f>(Table5[final_sale_price]-Table5[[#This Row],[avg_comp_price]])</f>
        <v>-524.67823333333354</v>
      </c>
      <c r="Q660" s="15">
        <f>(Table5[[#This Row],[final_sale_price]]-Table5[[#This Row],[avg_comp_price]])/Table5[[#This Row],[avg_comp_price]]</f>
        <v>-0.17215245984473815</v>
      </c>
      <c r="R660" s="11">
        <f>Table5[[#This Row],[Profit]]/Table5[[#This Row],[Revenue]]</f>
        <v>0.34065934065934067</v>
      </c>
    </row>
    <row r="661" spans="1:18" x14ac:dyDescent="0.2">
      <c r="A661" s="5">
        <v>660</v>
      </c>
      <c r="B661" s="5">
        <v>127</v>
      </c>
      <c r="C661" s="7">
        <v>45409</v>
      </c>
      <c r="D661" s="5">
        <v>28</v>
      </c>
      <c r="E661" s="4">
        <v>3</v>
      </c>
      <c r="F661" s="12">
        <f t="shared" si="10"/>
        <v>5325.8432000000003</v>
      </c>
      <c r="G661" t="str">
        <f>VLOOKUP(B661,product_tbl[],2,FALSE)</f>
        <v>Gym Gloves 127</v>
      </c>
      <c r="H661" t="str">
        <f>VLOOKUP(B661,product_tbl[],3,FALSE)</f>
        <v>Sports</v>
      </c>
      <c r="I661">
        <v>3294.3360000000002</v>
      </c>
      <c r="J661">
        <f>VLOOKUP(B661,product_tbl[],5,FALSE)</f>
        <v>5490.56</v>
      </c>
      <c r="K661">
        <f>VLOOKUP(B661,review_tbl[],3,FALSE)</f>
        <v>1</v>
      </c>
      <c r="L661" s="11">
        <v>5700.0530220706469</v>
      </c>
      <c r="M661" s="11">
        <f>AVERAGEIF(Table1[product_id],Master_tbl!B661:B1662,Table1[competitor_price])</f>
        <v>5984.333333333333</v>
      </c>
      <c r="N661" s="11">
        <f>IFERROR(Table5[[#This Row],[final_sale_price]]*Table5[[#This Row],[quantity_sold ]],0)</f>
        <v>149123.6096</v>
      </c>
      <c r="O661" s="11">
        <f>(Table5[[#This Row],[final_sale_price]]-Table5[[#This Row],[cost_price]])*Table5[[#This Row],[quantity_sold ]]</f>
        <v>56882.2016</v>
      </c>
      <c r="P661" s="11">
        <f>(Table5[final_sale_price]-Table5[[#This Row],[avg_comp_price]])</f>
        <v>-658.49013333333278</v>
      </c>
      <c r="Q661" s="15">
        <f>(Table5[[#This Row],[final_sale_price]]-Table5[[#This Row],[avg_comp_price]])/Table5[[#This Row],[avg_comp_price]]</f>
        <v>-0.11003567091850935</v>
      </c>
      <c r="R661" s="11">
        <f>Table5[[#This Row],[Profit]]/Table5[[#This Row],[Revenue]]</f>
        <v>0.3814432989690722</v>
      </c>
    </row>
    <row r="662" spans="1:18" x14ac:dyDescent="0.2">
      <c r="A662" s="4">
        <v>661</v>
      </c>
      <c r="B662" s="4">
        <v>20</v>
      </c>
      <c r="C662" s="6">
        <v>45644</v>
      </c>
      <c r="D662" s="4">
        <v>35</v>
      </c>
      <c r="E662" s="4">
        <v>5</v>
      </c>
      <c r="F662" s="12">
        <f t="shared" si="10"/>
        <v>2879.6209999999996</v>
      </c>
      <c r="G662" t="str">
        <f>VLOOKUP(B662,product_tbl[],2,FALSE)</f>
        <v>Green Tea 20</v>
      </c>
      <c r="H662" t="str">
        <f>VLOOKUP(B662,product_tbl[],3,FALSE)</f>
        <v>Grocery</v>
      </c>
      <c r="I662">
        <v>1818.7079999999999</v>
      </c>
      <c r="J662">
        <f>VLOOKUP(B662,product_tbl[],5,FALSE)</f>
        <v>3031.18</v>
      </c>
      <c r="K662">
        <f>VLOOKUP(B662,review_tbl[],3,FALSE)</f>
        <v>4</v>
      </c>
      <c r="L662" s="11">
        <v>3928.0462393428684</v>
      </c>
      <c r="M662" s="11">
        <f>AVERAGEIF(Table1[product_id],Master_tbl!B662:B1663,Table1[competitor_price])</f>
        <v>4553.9966666666669</v>
      </c>
      <c r="N662" s="11">
        <f>IFERROR(Table5[[#This Row],[final_sale_price]]*Table5[[#This Row],[quantity_sold ]],0)</f>
        <v>100786.73499999999</v>
      </c>
      <c r="O662" s="11">
        <f>(Table5[[#This Row],[final_sale_price]]-Table5[[#This Row],[cost_price]])*Table5[[#This Row],[quantity_sold ]]</f>
        <v>37131.954999999994</v>
      </c>
      <c r="P662" s="11">
        <f>(Table5[final_sale_price]-Table5[[#This Row],[avg_comp_price]])</f>
        <v>-1674.3756666666673</v>
      </c>
      <c r="Q662" s="15">
        <f>(Table5[[#This Row],[final_sale_price]]-Table5[[#This Row],[avg_comp_price]])/Table5[[#This Row],[avg_comp_price]]</f>
        <v>-0.36767169350877887</v>
      </c>
      <c r="R662" s="11">
        <f>Table5[[#This Row],[Profit]]/Table5[[#This Row],[Revenue]]</f>
        <v>0.36842105263157893</v>
      </c>
    </row>
    <row r="663" spans="1:18" x14ac:dyDescent="0.2">
      <c r="A663" s="5">
        <v>662</v>
      </c>
      <c r="B663" s="5">
        <v>125</v>
      </c>
      <c r="C663" s="7">
        <v>45487</v>
      </c>
      <c r="D663" s="5">
        <v>47</v>
      </c>
      <c r="E663" s="4">
        <v>4</v>
      </c>
      <c r="F663" s="12">
        <f t="shared" si="10"/>
        <v>4177.0271999999995</v>
      </c>
      <c r="G663" t="str">
        <f>VLOOKUP(B663,product_tbl[],2,FALSE)</f>
        <v>Air Conditioner 125</v>
      </c>
      <c r="H663" t="str">
        <f>VLOOKUP(B663,product_tbl[],3,FALSE)</f>
        <v>Home Appliances</v>
      </c>
      <c r="I663">
        <v>2610.6419999999998</v>
      </c>
      <c r="J663">
        <f>VLOOKUP(B663,product_tbl[],5,FALSE)</f>
        <v>4351.07</v>
      </c>
      <c r="K663">
        <f>VLOOKUP(B663,review_tbl[],3,FALSE)</f>
        <v>5</v>
      </c>
      <c r="L663" s="11">
        <v>4845.3549941536903</v>
      </c>
      <c r="M663" s="11">
        <f>AVERAGEIF(Table1[product_id],Master_tbl!B663:B1664,Table1[competitor_price])</f>
        <v>5094.8040000000001</v>
      </c>
      <c r="N663" s="11">
        <f>IFERROR(Table5[[#This Row],[final_sale_price]]*Table5[[#This Row],[quantity_sold ]],0)</f>
        <v>196320.27839999998</v>
      </c>
      <c r="O663" s="11">
        <f>(Table5[[#This Row],[final_sale_price]]-Table5[[#This Row],[cost_price]])*Table5[[#This Row],[quantity_sold ]]</f>
        <v>73620.104399999982</v>
      </c>
      <c r="P663" s="11">
        <f>(Table5[final_sale_price]-Table5[[#This Row],[avg_comp_price]])</f>
        <v>-917.77680000000055</v>
      </c>
      <c r="Q663" s="15">
        <f>(Table5[[#This Row],[final_sale_price]]-Table5[[#This Row],[avg_comp_price]])/Table5[[#This Row],[avg_comp_price]]</f>
        <v>-0.18013976592622613</v>
      </c>
      <c r="R663" s="11">
        <f>Table5[[#This Row],[Profit]]/Table5[[#This Row],[Revenue]]</f>
        <v>0.37499999999999994</v>
      </c>
    </row>
    <row r="664" spans="1:18" x14ac:dyDescent="0.2">
      <c r="A664" s="4">
        <v>663</v>
      </c>
      <c r="B664" s="4">
        <v>97</v>
      </c>
      <c r="C664" s="6">
        <v>45431</v>
      </c>
      <c r="D664" s="4">
        <v>24</v>
      </c>
      <c r="E664" s="4">
        <v>7</v>
      </c>
      <c r="F664" s="12">
        <f t="shared" si="10"/>
        <v>857.12519999999995</v>
      </c>
      <c r="G664" t="str">
        <f>VLOOKUP(B664,product_tbl[],2,FALSE)</f>
        <v>Washing Machine 97</v>
      </c>
      <c r="H664" t="str">
        <f>VLOOKUP(B664,product_tbl[],3,FALSE)</f>
        <v>Home Appliances</v>
      </c>
      <c r="I664">
        <v>552.98399999999992</v>
      </c>
      <c r="J664">
        <f>VLOOKUP(B664,product_tbl[],5,FALSE)</f>
        <v>921.64</v>
      </c>
      <c r="K664">
        <f>VLOOKUP(B664,review_tbl[],3,FALSE)</f>
        <v>3</v>
      </c>
      <c r="L664" s="11">
        <v>1033.0326833044026</v>
      </c>
      <c r="M664" s="11">
        <f>AVERAGEIF(Table1[product_id],Master_tbl!B664:B1665,Table1[competitor_price])</f>
        <v>2464.87</v>
      </c>
      <c r="N664" s="11">
        <f>IFERROR(Table5[[#This Row],[final_sale_price]]*Table5[[#This Row],[quantity_sold ]],0)</f>
        <v>20571.004799999999</v>
      </c>
      <c r="O664" s="11">
        <f>(Table5[[#This Row],[final_sale_price]]-Table5[[#This Row],[cost_price]])*Table5[[#This Row],[quantity_sold ]]</f>
        <v>7299.3888000000006</v>
      </c>
      <c r="P664" s="11">
        <f>(Table5[final_sale_price]-Table5[[#This Row],[avg_comp_price]])</f>
        <v>-1607.7447999999999</v>
      </c>
      <c r="Q664" s="15">
        <f>(Table5[[#This Row],[final_sale_price]]-Table5[[#This Row],[avg_comp_price]])/Table5[[#This Row],[avg_comp_price]]</f>
        <v>-0.65226352708256419</v>
      </c>
      <c r="R664" s="11">
        <f>Table5[[#This Row],[Profit]]/Table5[[#This Row],[Revenue]]</f>
        <v>0.35483870967741943</v>
      </c>
    </row>
    <row r="665" spans="1:18" x14ac:dyDescent="0.2">
      <c r="A665" s="5">
        <v>664</v>
      </c>
      <c r="B665" s="5">
        <v>91</v>
      </c>
      <c r="C665" s="7">
        <v>44933</v>
      </c>
      <c r="D665" s="5">
        <v>24</v>
      </c>
      <c r="E665" s="4">
        <v>5</v>
      </c>
      <c r="F665" s="12">
        <f t="shared" si="10"/>
        <v>3004.85</v>
      </c>
      <c r="G665" t="str">
        <f>VLOOKUP(B665,product_tbl[],2,FALSE)</f>
        <v>Sunglasses 91</v>
      </c>
      <c r="H665" t="str">
        <f>VLOOKUP(B665,product_tbl[],3,FALSE)</f>
        <v>Fashion</v>
      </c>
      <c r="I665">
        <v>1897.8</v>
      </c>
      <c r="J665">
        <f>VLOOKUP(B665,product_tbl[],5,FALSE)</f>
        <v>3163</v>
      </c>
      <c r="K665">
        <f>VLOOKUP(B665,review_tbl[],3,FALSE)</f>
        <v>2</v>
      </c>
      <c r="L665" s="11">
        <v>3999.9381175113199</v>
      </c>
      <c r="M665" s="11">
        <f>AVERAGEIF(Table1[product_id],Master_tbl!B665:B1666,Table1[competitor_price])</f>
        <v>4782.2433333333329</v>
      </c>
      <c r="N665" s="11">
        <f>IFERROR(Table5[[#This Row],[final_sale_price]]*Table5[[#This Row],[quantity_sold ]],0)</f>
        <v>72116.399999999994</v>
      </c>
      <c r="O665" s="11">
        <f>(Table5[[#This Row],[final_sale_price]]-Table5[[#This Row],[cost_price]])*Table5[[#This Row],[quantity_sold ]]</f>
        <v>26569.199999999997</v>
      </c>
      <c r="P665" s="11">
        <f>(Table5[final_sale_price]-Table5[[#This Row],[avg_comp_price]])</f>
        <v>-1777.393333333333</v>
      </c>
      <c r="Q665" s="15">
        <f>(Table5[[#This Row],[final_sale_price]]-Table5[[#This Row],[avg_comp_price]])/Table5[[#This Row],[avg_comp_price]]</f>
        <v>-0.37166518084608824</v>
      </c>
      <c r="R665" s="11">
        <f>Table5[[#This Row],[Profit]]/Table5[[#This Row],[Revenue]]</f>
        <v>0.36842105263157893</v>
      </c>
    </row>
    <row r="666" spans="1:18" x14ac:dyDescent="0.2">
      <c r="A666" s="4">
        <v>665</v>
      </c>
      <c r="B666" s="4">
        <v>109</v>
      </c>
      <c r="C666" s="6">
        <v>45605</v>
      </c>
      <c r="D666" s="4">
        <v>20</v>
      </c>
      <c r="E666" s="4">
        <v>9</v>
      </c>
      <c r="F666" s="12">
        <f t="shared" si="10"/>
        <v>2015.1858999999999</v>
      </c>
      <c r="G666" t="str">
        <f>VLOOKUP(B666,product_tbl[],2,FALSE)</f>
        <v>Fiction Novel 109</v>
      </c>
      <c r="H666" t="str">
        <f>VLOOKUP(B666,product_tbl[],3,FALSE)</f>
        <v>Books</v>
      </c>
      <c r="I666">
        <v>1328.6939999999997</v>
      </c>
      <c r="J666">
        <f>VLOOKUP(B666,product_tbl[],5,FALSE)</f>
        <v>2214.4899999999998</v>
      </c>
      <c r="K666">
        <f>VLOOKUP(B666,review_tbl[],3,FALSE)</f>
        <v>2</v>
      </c>
      <c r="L666" s="11">
        <v>2656.5295211528928</v>
      </c>
      <c r="M666" s="11">
        <f>AVERAGEIF(Table1[product_id],Master_tbl!B666:B1667,Table1[competitor_price])</f>
        <v>6555.1760000000013</v>
      </c>
      <c r="N666" s="11">
        <f>IFERROR(Table5[[#This Row],[final_sale_price]]*Table5[[#This Row],[quantity_sold ]],0)</f>
        <v>40303.718000000001</v>
      </c>
      <c r="O666" s="11">
        <f>(Table5[[#This Row],[final_sale_price]]-Table5[[#This Row],[cost_price]])*Table5[[#This Row],[quantity_sold ]]</f>
        <v>13729.838000000003</v>
      </c>
      <c r="P666" s="11">
        <f>(Table5[final_sale_price]-Table5[[#This Row],[avg_comp_price]])</f>
        <v>-4539.9901000000009</v>
      </c>
      <c r="Q666" s="15">
        <f>(Table5[[#This Row],[final_sale_price]]-Table5[[#This Row],[avg_comp_price]])/Table5[[#This Row],[avg_comp_price]]</f>
        <v>-0.69258096197569674</v>
      </c>
      <c r="R666" s="11">
        <f>Table5[[#This Row],[Profit]]/Table5[[#This Row],[Revenue]]</f>
        <v>0.34065934065934073</v>
      </c>
    </row>
    <row r="667" spans="1:18" x14ac:dyDescent="0.2">
      <c r="A667" s="5">
        <v>666</v>
      </c>
      <c r="B667" s="5">
        <v>33</v>
      </c>
      <c r="C667" s="7">
        <v>45482</v>
      </c>
      <c r="D667" s="5">
        <v>17</v>
      </c>
      <c r="E667" s="4">
        <v>8</v>
      </c>
      <c r="F667" s="12">
        <f t="shared" si="10"/>
        <v>4648.7507999999998</v>
      </c>
      <c r="G667" t="str">
        <f>VLOOKUP(B667,product_tbl[],2,FALSE)</f>
        <v>Washing Machine 33</v>
      </c>
      <c r="H667" t="str">
        <f>VLOOKUP(B667,product_tbl[],3,FALSE)</f>
        <v>Home Appliances</v>
      </c>
      <c r="I667">
        <v>3031.7939999999999</v>
      </c>
      <c r="J667">
        <f>VLOOKUP(B667,product_tbl[],5,FALSE)</f>
        <v>5052.99</v>
      </c>
      <c r="K667">
        <f>VLOOKUP(B667,review_tbl[],3,FALSE)</f>
        <v>3</v>
      </c>
      <c r="L667" s="11">
        <v>6263.4214181534689</v>
      </c>
      <c r="M667" s="11">
        <f>AVERAGEIF(Table1[product_id],Master_tbl!B667:B1668,Table1[competitor_price])</f>
        <v>2776.7875000000004</v>
      </c>
      <c r="N667" s="11">
        <f>IFERROR(Table5[[#This Row],[final_sale_price]]*Table5[[#This Row],[quantity_sold ]],0)</f>
        <v>79028.763599999991</v>
      </c>
      <c r="O667" s="11">
        <f>(Table5[[#This Row],[final_sale_price]]-Table5[[#This Row],[cost_price]])*Table5[[#This Row],[quantity_sold ]]</f>
        <v>27488.265599999999</v>
      </c>
      <c r="P667" s="11">
        <f>(Table5[final_sale_price]-Table5[[#This Row],[avg_comp_price]])</f>
        <v>1871.9632999999994</v>
      </c>
      <c r="Q667" s="15">
        <f>(Table5[[#This Row],[final_sale_price]]-Table5[[#This Row],[avg_comp_price]])/Table5[[#This Row],[avg_comp_price]]</f>
        <v>0.67414712144879618</v>
      </c>
      <c r="R667" s="11">
        <f>Table5[[#This Row],[Profit]]/Table5[[#This Row],[Revenue]]</f>
        <v>0.34782608695652178</v>
      </c>
    </row>
    <row r="668" spans="1:18" x14ac:dyDescent="0.2">
      <c r="A668" s="4">
        <v>667</v>
      </c>
      <c r="B668" s="4">
        <v>44</v>
      </c>
      <c r="C668" s="6">
        <v>45456</v>
      </c>
      <c r="D668" s="4">
        <v>13</v>
      </c>
      <c r="E668" s="4">
        <v>4</v>
      </c>
      <c r="F668" s="12">
        <f t="shared" si="10"/>
        <v>339.45600000000002</v>
      </c>
      <c r="G668" t="str">
        <f>VLOOKUP(B668,product_tbl[],2,FALSE)</f>
        <v>Coffee Beans 44</v>
      </c>
      <c r="H668" t="str">
        <f>VLOOKUP(B668,product_tbl[],3,FALSE)</f>
        <v>Grocery</v>
      </c>
      <c r="I668">
        <v>212.16</v>
      </c>
      <c r="J668">
        <f>VLOOKUP(B668,product_tbl[],5,FALSE)</f>
        <v>353.6</v>
      </c>
      <c r="K668">
        <f>VLOOKUP(B668,review_tbl[],3,FALSE)</f>
        <v>4</v>
      </c>
      <c r="L668" s="11">
        <v>360.51657368540765</v>
      </c>
      <c r="M668" s="11">
        <f>AVERAGEIF(Table1[product_id],Master_tbl!B668:B1669,Table1[competitor_price])</f>
        <v>4064.8233333333333</v>
      </c>
      <c r="N668" s="11">
        <f>IFERROR(Table5[[#This Row],[final_sale_price]]*Table5[[#This Row],[quantity_sold ]],0)</f>
        <v>4412.9279999999999</v>
      </c>
      <c r="O668" s="11">
        <f>(Table5[[#This Row],[final_sale_price]]-Table5[[#This Row],[cost_price]])*Table5[[#This Row],[quantity_sold ]]</f>
        <v>1654.8480000000002</v>
      </c>
      <c r="P668" s="11">
        <f>(Table5[final_sale_price]-Table5[[#This Row],[avg_comp_price]])</f>
        <v>-3725.3673333333331</v>
      </c>
      <c r="Q668" s="15">
        <f>(Table5[[#This Row],[final_sale_price]]-Table5[[#This Row],[avg_comp_price]])/Table5[[#This Row],[avg_comp_price]]</f>
        <v>-0.91648935952115995</v>
      </c>
      <c r="R668" s="11">
        <f>Table5[[#This Row],[Profit]]/Table5[[#This Row],[Revenue]]</f>
        <v>0.37500000000000006</v>
      </c>
    </row>
    <row r="669" spans="1:18" x14ac:dyDescent="0.2">
      <c r="A669" s="5">
        <v>668</v>
      </c>
      <c r="B669" s="5">
        <v>34</v>
      </c>
      <c r="C669" s="7">
        <v>45977</v>
      </c>
      <c r="D669" s="5">
        <v>6</v>
      </c>
      <c r="E669" s="4">
        <v>5</v>
      </c>
      <c r="F669" s="12">
        <f t="shared" si="10"/>
        <v>1238.2205000000001</v>
      </c>
      <c r="G669" t="str">
        <f>VLOOKUP(B669,product_tbl[],2,FALSE)</f>
        <v>Doll 34</v>
      </c>
      <c r="H669" t="str">
        <f>VLOOKUP(B669,product_tbl[],3,FALSE)</f>
        <v>Toys</v>
      </c>
      <c r="I669">
        <v>782.03399999999999</v>
      </c>
      <c r="J669">
        <f>VLOOKUP(B669,product_tbl[],5,FALSE)</f>
        <v>1303.3900000000001</v>
      </c>
      <c r="K669">
        <f>VLOOKUP(B669,review_tbl[],3,FALSE)</f>
        <v>2</v>
      </c>
      <c r="L669" s="11">
        <v>1438.4685351253179</v>
      </c>
      <c r="M669" s="11">
        <f>AVERAGEIF(Table1[product_id],Master_tbl!B669:B1670,Table1[competitor_price])</f>
        <v>4145.4440000000004</v>
      </c>
      <c r="N669" s="11">
        <f>IFERROR(Table5[[#This Row],[final_sale_price]]*Table5[[#This Row],[quantity_sold ]],0)</f>
        <v>7429.3230000000003</v>
      </c>
      <c r="O669" s="11">
        <f>(Table5[[#This Row],[final_sale_price]]-Table5[[#This Row],[cost_price]])*Table5[[#This Row],[quantity_sold ]]</f>
        <v>2737.1190000000006</v>
      </c>
      <c r="P669" s="11">
        <f>(Table5[final_sale_price]-Table5[[#This Row],[avg_comp_price]])</f>
        <v>-2907.2235000000001</v>
      </c>
      <c r="Q669" s="15">
        <f>(Table5[[#This Row],[final_sale_price]]-Table5[[#This Row],[avg_comp_price]])/Table5[[#This Row],[avg_comp_price]]</f>
        <v>-0.70130569849695223</v>
      </c>
      <c r="R669" s="11">
        <f>Table5[[#This Row],[Profit]]/Table5[[#This Row],[Revenue]]</f>
        <v>0.36842105263157904</v>
      </c>
    </row>
    <row r="670" spans="1:18" x14ac:dyDescent="0.2">
      <c r="A670" s="4">
        <v>669</v>
      </c>
      <c r="B670" s="4">
        <v>87</v>
      </c>
      <c r="C670" s="6">
        <v>45068</v>
      </c>
      <c r="D670" s="4">
        <v>34</v>
      </c>
      <c r="E670" s="4">
        <v>9</v>
      </c>
      <c r="F670" s="12">
        <f t="shared" si="10"/>
        <v>3725.6491999999998</v>
      </c>
      <c r="G670" t="str">
        <f>VLOOKUP(B670,product_tbl[],2,FALSE)</f>
        <v>Laptop 87</v>
      </c>
      <c r="H670" t="str">
        <f>VLOOKUP(B670,product_tbl[],3,FALSE)</f>
        <v>Electronics</v>
      </c>
      <c r="I670">
        <v>2456.4719999999998</v>
      </c>
      <c r="J670">
        <f>VLOOKUP(B670,product_tbl[],5,FALSE)</f>
        <v>4094.12</v>
      </c>
      <c r="K670">
        <f>VLOOKUP(B670,review_tbl[],3,FALSE)</f>
        <v>2</v>
      </c>
      <c r="L670" s="11">
        <v>4489.0652032488024</v>
      </c>
      <c r="M670" s="11">
        <f>AVERAGEIF(Table1[product_id],Master_tbl!B670:B1671,Table1[competitor_price])</f>
        <v>493.79250000000002</v>
      </c>
      <c r="N670" s="11">
        <f>IFERROR(Table5[[#This Row],[final_sale_price]]*Table5[[#This Row],[quantity_sold ]],0)</f>
        <v>126672.07279999999</v>
      </c>
      <c r="O670" s="11">
        <f>(Table5[[#This Row],[final_sale_price]]-Table5[[#This Row],[cost_price]])*Table5[[#This Row],[quantity_sold ]]</f>
        <v>43152.024799999999</v>
      </c>
      <c r="P670" s="11">
        <f>(Table5[final_sale_price]-Table5[[#This Row],[avg_comp_price]])</f>
        <v>3231.8566999999998</v>
      </c>
      <c r="Q670" s="15">
        <f>(Table5[[#This Row],[final_sale_price]]-Table5[[#This Row],[avg_comp_price]])/Table5[[#This Row],[avg_comp_price]]</f>
        <v>6.5449691925251994</v>
      </c>
      <c r="R670" s="11">
        <f>Table5[[#This Row],[Profit]]/Table5[[#This Row],[Revenue]]</f>
        <v>0.34065934065934067</v>
      </c>
    </row>
    <row r="671" spans="1:18" x14ac:dyDescent="0.2">
      <c r="A671" s="5">
        <v>670</v>
      </c>
      <c r="B671" s="5">
        <v>126</v>
      </c>
      <c r="C671" s="7">
        <v>45186</v>
      </c>
      <c r="D671" s="5">
        <v>10</v>
      </c>
      <c r="E671" s="4">
        <v>7</v>
      </c>
      <c r="F671" s="12">
        <f t="shared" si="10"/>
        <v>942.3039</v>
      </c>
      <c r="G671" t="str">
        <f>VLOOKUP(B671,product_tbl[],2,FALSE)</f>
        <v>Cricket Bat 126</v>
      </c>
      <c r="H671" t="str">
        <f>VLOOKUP(B671,product_tbl[],3,FALSE)</f>
        <v>Sports</v>
      </c>
      <c r="I671">
        <v>607.93799999999999</v>
      </c>
      <c r="J671">
        <f>VLOOKUP(B671,product_tbl[],5,FALSE)</f>
        <v>1013.23</v>
      </c>
      <c r="K671">
        <f>VLOOKUP(B671,review_tbl[],3,FALSE)</f>
        <v>5</v>
      </c>
      <c r="L671" s="11">
        <v>1255.3524076074291</v>
      </c>
      <c r="M671" s="11">
        <f>AVERAGEIF(Table1[product_id],Master_tbl!B671:B1672,Table1[competitor_price])</f>
        <v>7593.0025000000005</v>
      </c>
      <c r="N671" s="11">
        <f>IFERROR(Table5[[#This Row],[final_sale_price]]*Table5[[#This Row],[quantity_sold ]],0)</f>
        <v>9423.0390000000007</v>
      </c>
      <c r="O671" s="11">
        <f>(Table5[[#This Row],[final_sale_price]]-Table5[[#This Row],[cost_price]])*Table5[[#This Row],[quantity_sold ]]</f>
        <v>3343.6590000000001</v>
      </c>
      <c r="P671" s="11">
        <f>(Table5[final_sale_price]-Table5[[#This Row],[avg_comp_price]])</f>
        <v>-6650.6986000000006</v>
      </c>
      <c r="Q671" s="15">
        <f>(Table5[[#This Row],[final_sale_price]]-Table5[[#This Row],[avg_comp_price]])/Table5[[#This Row],[avg_comp_price]]</f>
        <v>-0.87589838143738263</v>
      </c>
      <c r="R671" s="11">
        <f>Table5[[#This Row],[Profit]]/Table5[[#This Row],[Revenue]]</f>
        <v>0.35483870967741932</v>
      </c>
    </row>
    <row r="672" spans="1:18" x14ac:dyDescent="0.2">
      <c r="A672" s="4">
        <v>671</v>
      </c>
      <c r="B672" s="4">
        <v>129</v>
      </c>
      <c r="C672" s="6">
        <v>45947</v>
      </c>
      <c r="D672" s="4">
        <v>46</v>
      </c>
      <c r="E672" s="4">
        <v>2</v>
      </c>
      <c r="F672" s="12">
        <f t="shared" si="10"/>
        <v>1236.0347999999999</v>
      </c>
      <c r="G672" t="str">
        <f>VLOOKUP(B672,product_tbl[],2,FALSE)</f>
        <v>Smartphone 129</v>
      </c>
      <c r="H672" t="str">
        <f>VLOOKUP(B672,product_tbl[],3,FALSE)</f>
        <v>Electronics</v>
      </c>
      <c r="I672">
        <v>756.75599999999997</v>
      </c>
      <c r="J672">
        <f>VLOOKUP(B672,product_tbl[],5,FALSE)</f>
        <v>1261.26</v>
      </c>
      <c r="K672">
        <f>VLOOKUP(B672,review_tbl[],3,FALSE)</f>
        <v>4</v>
      </c>
      <c r="L672" s="11">
        <v>1626.4911585354973</v>
      </c>
      <c r="M672" s="11">
        <f>AVERAGEIF(Table1[product_id],Master_tbl!B672:B1673,Table1[competitor_price])</f>
        <v>4881.2166666666662</v>
      </c>
      <c r="N672" s="11">
        <f>IFERROR(Table5[[#This Row],[final_sale_price]]*Table5[[#This Row],[quantity_sold ]],0)</f>
        <v>56857.600799999993</v>
      </c>
      <c r="O672" s="11">
        <f>(Table5[[#This Row],[final_sale_price]]-Table5[[#This Row],[cost_price]])*Table5[[#This Row],[quantity_sold ]]</f>
        <v>22046.824799999999</v>
      </c>
      <c r="P672" s="11">
        <f>(Table5[final_sale_price]-Table5[[#This Row],[avg_comp_price]])</f>
        <v>-3645.1818666666663</v>
      </c>
      <c r="Q672" s="15">
        <f>(Table5[[#This Row],[final_sale_price]]-Table5[[#This Row],[avg_comp_price]])/Table5[[#This Row],[avg_comp_price]]</f>
        <v>-0.74677731303329431</v>
      </c>
      <c r="R672" s="11">
        <f>Table5[[#This Row],[Profit]]/Table5[[#This Row],[Revenue]]</f>
        <v>0.38775510204081637</v>
      </c>
    </row>
    <row r="673" spans="1:18" x14ac:dyDescent="0.2">
      <c r="A673" s="5">
        <v>672</v>
      </c>
      <c r="B673" s="5">
        <v>35</v>
      </c>
      <c r="C673" s="7">
        <v>45539</v>
      </c>
      <c r="D673" s="5">
        <v>2</v>
      </c>
      <c r="E673" s="4">
        <v>2</v>
      </c>
      <c r="F673" s="12">
        <f t="shared" si="10"/>
        <v>132.4862</v>
      </c>
      <c r="G673" t="str">
        <f>VLOOKUP(B673,product_tbl[],2,FALSE)</f>
        <v>Sneakers 35</v>
      </c>
      <c r="H673" t="str">
        <f>VLOOKUP(B673,product_tbl[],3,FALSE)</f>
        <v>Fashion</v>
      </c>
      <c r="I673">
        <v>81.11399999999999</v>
      </c>
      <c r="J673">
        <f>VLOOKUP(B673,product_tbl[],5,FALSE)</f>
        <v>135.19</v>
      </c>
      <c r="K673">
        <f>VLOOKUP(B673,review_tbl[],3,FALSE)</f>
        <v>3</v>
      </c>
      <c r="L673" s="11">
        <v>172.43031745406066</v>
      </c>
      <c r="M673" s="11">
        <f>AVERAGEIF(Table1[product_id],Master_tbl!B673:B1674,Table1[competitor_price])</f>
        <v>2089.5899999999997</v>
      </c>
      <c r="N673" s="11">
        <f>IFERROR(Table5[[#This Row],[final_sale_price]]*Table5[[#This Row],[quantity_sold ]],0)</f>
        <v>264.97239999999999</v>
      </c>
      <c r="O673" s="11">
        <f>(Table5[[#This Row],[final_sale_price]]-Table5[[#This Row],[cost_price]])*Table5[[#This Row],[quantity_sold ]]</f>
        <v>102.74440000000001</v>
      </c>
      <c r="P673" s="11">
        <f>(Table5[final_sale_price]-Table5[[#This Row],[avg_comp_price]])</f>
        <v>-1957.1037999999996</v>
      </c>
      <c r="Q673" s="15">
        <f>(Table5[[#This Row],[final_sale_price]]-Table5[[#This Row],[avg_comp_price]])/Table5[[#This Row],[avg_comp_price]]</f>
        <v>-0.93659703578213904</v>
      </c>
      <c r="R673" s="11">
        <f>Table5[[#This Row],[Profit]]/Table5[[#This Row],[Revenue]]</f>
        <v>0.38775510204081637</v>
      </c>
    </row>
    <row r="674" spans="1:18" x14ac:dyDescent="0.2">
      <c r="A674" s="4">
        <v>673</v>
      </c>
      <c r="B674" s="4">
        <v>149</v>
      </c>
      <c r="C674" s="6">
        <v>44943</v>
      </c>
      <c r="D674" s="4">
        <v>12</v>
      </c>
      <c r="E674" s="4">
        <v>6</v>
      </c>
      <c r="F674" s="12">
        <f t="shared" si="10"/>
        <v>5760.1131999999998</v>
      </c>
      <c r="G674" t="str">
        <f>VLOOKUP(B674,product_tbl[],2,FALSE)</f>
        <v>Smartphone 149</v>
      </c>
      <c r="H674" t="str">
        <f>VLOOKUP(B674,product_tbl[],3,FALSE)</f>
        <v>Electronics</v>
      </c>
      <c r="I674">
        <v>3676.6679999999997</v>
      </c>
      <c r="J674">
        <f>VLOOKUP(B674,product_tbl[],5,FALSE)</f>
        <v>6127.78</v>
      </c>
      <c r="K674">
        <f>VLOOKUP(B674,review_tbl[],3,FALSE)</f>
        <v>4</v>
      </c>
      <c r="L674" s="11">
        <v>6757.6501382416673</v>
      </c>
      <c r="M674" s="11">
        <f>AVERAGEIF(Table1[product_id],Master_tbl!B674:B1675,Table1[competitor_price])</f>
        <v>3159.4639999999999</v>
      </c>
      <c r="N674" s="11">
        <f>IFERROR(Table5[[#This Row],[final_sale_price]]*Table5[[#This Row],[quantity_sold ]],0)</f>
        <v>69121.358399999997</v>
      </c>
      <c r="O674" s="11">
        <f>(Table5[[#This Row],[final_sale_price]]-Table5[[#This Row],[cost_price]])*Table5[[#This Row],[quantity_sold ]]</f>
        <v>25001.342400000001</v>
      </c>
      <c r="P674" s="11">
        <f>(Table5[final_sale_price]-Table5[[#This Row],[avg_comp_price]])</f>
        <v>2600.6491999999998</v>
      </c>
      <c r="Q674" s="15">
        <f>(Table5[[#This Row],[final_sale_price]]-Table5[[#This Row],[avg_comp_price]])/Table5[[#This Row],[avg_comp_price]]</f>
        <v>0.82312987266194515</v>
      </c>
      <c r="R674" s="11">
        <f>Table5[[#This Row],[Profit]]/Table5[[#This Row],[Revenue]]</f>
        <v>0.36170212765957449</v>
      </c>
    </row>
    <row r="675" spans="1:18" x14ac:dyDescent="0.2">
      <c r="A675" s="5">
        <v>674</v>
      </c>
      <c r="B675" s="5">
        <v>99</v>
      </c>
      <c r="C675" s="7">
        <v>45731</v>
      </c>
      <c r="D675" s="5">
        <v>37</v>
      </c>
      <c r="E675" s="4">
        <v>2</v>
      </c>
      <c r="F675" s="12">
        <f t="shared" si="10"/>
        <v>2003.1004</v>
      </c>
      <c r="G675" t="str">
        <f>VLOOKUP(B675,product_tbl[],2,FALSE)</f>
        <v>Sneakers 99</v>
      </c>
      <c r="H675" t="str">
        <f>VLOOKUP(B675,product_tbl[],3,FALSE)</f>
        <v>Fashion</v>
      </c>
      <c r="I675">
        <v>1226.3879999999999</v>
      </c>
      <c r="J675">
        <f>VLOOKUP(B675,product_tbl[],5,FALSE)</f>
        <v>2043.98</v>
      </c>
      <c r="K675">
        <f>VLOOKUP(B675,review_tbl[],3,FALSE)</f>
        <v>2</v>
      </c>
      <c r="L675" s="11">
        <v>2458.3457415161542</v>
      </c>
      <c r="M675" s="11">
        <f>AVERAGEIF(Table1[product_id],Master_tbl!B675:B1676,Table1[competitor_price])</f>
        <v>958.76666666666654</v>
      </c>
      <c r="N675" s="11">
        <f>IFERROR(Table5[[#This Row],[final_sale_price]]*Table5[[#This Row],[quantity_sold ]],0)</f>
        <v>74114.714800000002</v>
      </c>
      <c r="O675" s="11">
        <f>(Table5[[#This Row],[final_sale_price]]-Table5[[#This Row],[cost_price]])*Table5[[#This Row],[quantity_sold ]]</f>
        <v>28738.358800000005</v>
      </c>
      <c r="P675" s="11">
        <f>(Table5[final_sale_price]-Table5[[#This Row],[avg_comp_price]])</f>
        <v>1044.3337333333334</v>
      </c>
      <c r="Q675" s="15">
        <f>(Table5[[#This Row],[final_sale_price]]-Table5[[#This Row],[avg_comp_price]])/Table5[[#This Row],[avg_comp_price]]</f>
        <v>1.0892470187393528</v>
      </c>
      <c r="R675" s="11">
        <f>Table5[[#This Row],[Profit]]/Table5[[#This Row],[Revenue]]</f>
        <v>0.38775510204081637</v>
      </c>
    </row>
    <row r="676" spans="1:18" x14ac:dyDescent="0.2">
      <c r="A676" s="4">
        <v>675</v>
      </c>
      <c r="B676" s="4">
        <v>115</v>
      </c>
      <c r="C676" s="6">
        <v>45268</v>
      </c>
      <c r="D676" s="4">
        <v>35</v>
      </c>
      <c r="E676" s="4">
        <v>10</v>
      </c>
      <c r="F676" s="12">
        <f t="shared" si="10"/>
        <v>4222.152</v>
      </c>
      <c r="G676" t="str">
        <f>VLOOKUP(B676,product_tbl[],2,FALSE)</f>
        <v>Children Story Book 115</v>
      </c>
      <c r="H676" t="str">
        <f>VLOOKUP(B676,product_tbl[],3,FALSE)</f>
        <v>Books</v>
      </c>
      <c r="I676">
        <v>2814.7679999999996</v>
      </c>
      <c r="J676">
        <f>VLOOKUP(B676,product_tbl[],5,FALSE)</f>
        <v>4691.28</v>
      </c>
      <c r="K676">
        <f>VLOOKUP(B676,review_tbl[],3,FALSE)</f>
        <v>2</v>
      </c>
      <c r="L676" s="11">
        <v>4978.5109200665911</v>
      </c>
      <c r="M676" s="11">
        <f>AVERAGEIF(Table1[product_id],Master_tbl!B676:B1677,Table1[competitor_price])</f>
        <v>4456.5325000000003</v>
      </c>
      <c r="N676" s="11">
        <f>IFERROR(Table5[[#This Row],[final_sale_price]]*Table5[[#This Row],[quantity_sold ]],0)</f>
        <v>147775.32</v>
      </c>
      <c r="O676" s="11">
        <f>(Table5[[#This Row],[final_sale_price]]-Table5[[#This Row],[cost_price]])*Table5[[#This Row],[quantity_sold ]]</f>
        <v>49258.440000000017</v>
      </c>
      <c r="P676" s="11">
        <f>(Table5[final_sale_price]-Table5[[#This Row],[avg_comp_price]])</f>
        <v>-234.38050000000021</v>
      </c>
      <c r="Q676" s="15">
        <f>(Table5[[#This Row],[final_sale_price]]-Table5[[#This Row],[avg_comp_price]])/Table5[[#This Row],[avg_comp_price]]</f>
        <v>-5.2592570569158913E-2</v>
      </c>
      <c r="R676" s="11">
        <f>Table5[[#This Row],[Profit]]/Table5[[#This Row],[Revenue]]</f>
        <v>0.33333333333333343</v>
      </c>
    </row>
    <row r="677" spans="1:18" x14ac:dyDescent="0.2">
      <c r="A677" s="5">
        <v>676</v>
      </c>
      <c r="B677" s="5">
        <v>71</v>
      </c>
      <c r="C677" s="7">
        <v>45241</v>
      </c>
      <c r="D677" s="5">
        <v>50</v>
      </c>
      <c r="E677" s="4">
        <v>8</v>
      </c>
      <c r="F677" s="12">
        <f t="shared" si="10"/>
        <v>4536.7592000000004</v>
      </c>
      <c r="G677" t="str">
        <f>VLOOKUP(B677,product_tbl[],2,FALSE)</f>
        <v>Self Help Book 71</v>
      </c>
      <c r="H677" t="str">
        <f>VLOOKUP(B677,product_tbl[],3,FALSE)</f>
        <v>Books</v>
      </c>
      <c r="I677">
        <v>2958.7559999999999</v>
      </c>
      <c r="J677">
        <f>VLOOKUP(B677,product_tbl[],5,FALSE)</f>
        <v>4931.26</v>
      </c>
      <c r="K677">
        <f>VLOOKUP(B677,review_tbl[],3,FALSE)</f>
        <v>3</v>
      </c>
      <c r="L677" s="11">
        <v>6182.6080122047952</v>
      </c>
      <c r="M677" s="11">
        <f>AVERAGEIF(Table1[product_id],Master_tbl!B677:B1678,Table1[competitor_price])</f>
        <v>2482.0633333333335</v>
      </c>
      <c r="N677" s="11">
        <f>IFERROR(Table5[[#This Row],[final_sale_price]]*Table5[[#This Row],[quantity_sold ]],0)</f>
        <v>226837.96000000002</v>
      </c>
      <c r="O677" s="11">
        <f>(Table5[[#This Row],[final_sale_price]]-Table5[[#This Row],[cost_price]])*Table5[[#This Row],[quantity_sold ]]</f>
        <v>78900.160000000033</v>
      </c>
      <c r="P677" s="11">
        <f>(Table5[final_sale_price]-Table5[[#This Row],[avg_comp_price]])</f>
        <v>2054.6958666666669</v>
      </c>
      <c r="Q677" s="15">
        <f>(Table5[[#This Row],[final_sale_price]]-Table5[[#This Row],[avg_comp_price]])/Table5[[#This Row],[avg_comp_price]]</f>
        <v>0.82781766245556454</v>
      </c>
      <c r="R677" s="11">
        <f>Table5[[#This Row],[Profit]]/Table5[[#This Row],[Revenue]]</f>
        <v>0.34782608695652184</v>
      </c>
    </row>
    <row r="678" spans="1:18" x14ac:dyDescent="0.2">
      <c r="A678" s="4">
        <v>677</v>
      </c>
      <c r="B678" s="4">
        <v>2</v>
      </c>
      <c r="C678" s="6">
        <v>45792</v>
      </c>
      <c r="D678" s="4">
        <v>11</v>
      </c>
      <c r="E678" s="4">
        <v>7</v>
      </c>
      <c r="F678" s="12">
        <f t="shared" si="10"/>
        <v>4115.0453999999991</v>
      </c>
      <c r="G678" t="str">
        <f>VLOOKUP(B678,product_tbl[],2,FALSE)</f>
        <v>Air Conditioner 2</v>
      </c>
      <c r="H678" t="str">
        <f>VLOOKUP(B678,product_tbl[],3,FALSE)</f>
        <v>Home Appliances</v>
      </c>
      <c r="I678">
        <v>2654.8679999999999</v>
      </c>
      <c r="J678">
        <f>VLOOKUP(B678,product_tbl[],5,FALSE)</f>
        <v>4424.78</v>
      </c>
      <c r="K678">
        <f>VLOOKUP(B678,review_tbl[],3,FALSE)</f>
        <v>4</v>
      </c>
      <c r="L678" s="11">
        <v>5323.3138254636333</v>
      </c>
      <c r="M678" s="11">
        <f>AVERAGEIF(Table1[product_id],Master_tbl!B678:B1679,Table1[competitor_price])</f>
        <v>1807.3</v>
      </c>
      <c r="N678" s="11">
        <f>IFERROR(Table5[[#This Row],[final_sale_price]]*Table5[[#This Row],[quantity_sold ]],0)</f>
        <v>45265.499399999986</v>
      </c>
      <c r="O678" s="11">
        <f>(Table5[[#This Row],[final_sale_price]]-Table5[[#This Row],[cost_price]])*Table5[[#This Row],[quantity_sold ]]</f>
        <v>16061.951399999991</v>
      </c>
      <c r="P678" s="11">
        <f>(Table5[final_sale_price]-Table5[[#This Row],[avg_comp_price]])</f>
        <v>2307.7453999999989</v>
      </c>
      <c r="Q678" s="15">
        <f>(Table5[[#This Row],[final_sale_price]]-Table5[[#This Row],[avg_comp_price]])/Table5[[#This Row],[avg_comp_price]]</f>
        <v>1.2769022298456254</v>
      </c>
      <c r="R678" s="11">
        <f>Table5[[#This Row],[Profit]]/Table5[[#This Row],[Revenue]]</f>
        <v>0.35483870967741926</v>
      </c>
    </row>
    <row r="679" spans="1:18" x14ac:dyDescent="0.2">
      <c r="A679" s="5">
        <v>678</v>
      </c>
      <c r="B679" s="5">
        <v>126</v>
      </c>
      <c r="C679" s="7">
        <v>45484</v>
      </c>
      <c r="D679" s="5">
        <v>7</v>
      </c>
      <c r="E679" s="4">
        <v>9</v>
      </c>
      <c r="F679" s="12">
        <f t="shared" si="10"/>
        <v>922.03930000000003</v>
      </c>
      <c r="G679" t="str">
        <f>VLOOKUP(B679,product_tbl[],2,FALSE)</f>
        <v>Cricket Bat 126</v>
      </c>
      <c r="H679" t="str">
        <f>VLOOKUP(B679,product_tbl[],3,FALSE)</f>
        <v>Sports</v>
      </c>
      <c r="I679">
        <v>607.93799999999999</v>
      </c>
      <c r="J679">
        <f>VLOOKUP(B679,product_tbl[],5,FALSE)</f>
        <v>1013.23</v>
      </c>
      <c r="K679">
        <f>VLOOKUP(B679,review_tbl[],3,FALSE)</f>
        <v>5</v>
      </c>
      <c r="L679" s="11">
        <v>1119.9693055310322</v>
      </c>
      <c r="M679" s="11">
        <f>AVERAGEIF(Table1[product_id],Master_tbl!B679:B1680,Table1[competitor_price])</f>
        <v>7593.0025000000005</v>
      </c>
      <c r="N679" s="11">
        <f>IFERROR(Table5[[#This Row],[final_sale_price]]*Table5[[#This Row],[quantity_sold ]],0)</f>
        <v>6454.2750999999998</v>
      </c>
      <c r="O679" s="11">
        <f>(Table5[[#This Row],[final_sale_price]]-Table5[[#This Row],[cost_price]])*Table5[[#This Row],[quantity_sold ]]</f>
        <v>2198.7091</v>
      </c>
      <c r="P679" s="11">
        <f>(Table5[final_sale_price]-Table5[[#This Row],[avg_comp_price]])</f>
        <v>-6670.9632000000001</v>
      </c>
      <c r="Q679" s="15">
        <f>(Table5[[#This Row],[final_sale_price]]-Table5[[#This Row],[avg_comp_price]])/Table5[[#This Row],[avg_comp_price]]</f>
        <v>-0.87856723344948195</v>
      </c>
      <c r="R679" s="11">
        <f>Table5[[#This Row],[Profit]]/Table5[[#This Row],[Revenue]]</f>
        <v>0.34065934065934067</v>
      </c>
    </row>
    <row r="680" spans="1:18" x14ac:dyDescent="0.2">
      <c r="A680" s="4">
        <v>679</v>
      </c>
      <c r="B680" s="4">
        <v>46</v>
      </c>
      <c r="C680" s="6">
        <v>45601</v>
      </c>
      <c r="D680" s="4">
        <v>6</v>
      </c>
      <c r="E680" s="4">
        <v>9</v>
      </c>
      <c r="F680" s="12">
        <f t="shared" si="10"/>
        <v>1472.9806000000001</v>
      </c>
      <c r="G680" t="str">
        <f>VLOOKUP(B680,product_tbl[],2,FALSE)</f>
        <v>Action Figure 46</v>
      </c>
      <c r="H680" t="str">
        <f>VLOOKUP(B680,product_tbl[],3,FALSE)</f>
        <v>Toys</v>
      </c>
      <c r="I680">
        <v>971.19600000000003</v>
      </c>
      <c r="J680">
        <f>VLOOKUP(B680,product_tbl[],5,FALSE)</f>
        <v>1618.66</v>
      </c>
      <c r="K680">
        <f>VLOOKUP(B680,review_tbl[],3,FALSE)</f>
        <v>4</v>
      </c>
      <c r="L680" s="11">
        <v>1944.8385466913862</v>
      </c>
      <c r="M680" s="11">
        <f>AVERAGEIF(Table1[product_id],Master_tbl!B680:B1681,Table1[competitor_price])</f>
        <v>4497.6779999999999</v>
      </c>
      <c r="N680" s="11">
        <f>IFERROR(Table5[[#This Row],[final_sale_price]]*Table5[[#This Row],[quantity_sold ]],0)</f>
        <v>8837.883600000001</v>
      </c>
      <c r="O680" s="11">
        <f>(Table5[[#This Row],[final_sale_price]]-Table5[[#This Row],[cost_price]])*Table5[[#This Row],[quantity_sold ]]</f>
        <v>3010.7076000000006</v>
      </c>
      <c r="P680" s="11">
        <f>(Table5[final_sale_price]-Table5[[#This Row],[avg_comp_price]])</f>
        <v>-3024.6974</v>
      </c>
      <c r="Q680" s="15">
        <f>(Table5[[#This Row],[final_sale_price]]-Table5[[#This Row],[avg_comp_price]])/Table5[[#This Row],[avg_comp_price]]</f>
        <v>-0.67250198880400069</v>
      </c>
      <c r="R680" s="11">
        <f>Table5[[#This Row],[Profit]]/Table5[[#This Row],[Revenue]]</f>
        <v>0.34065934065934067</v>
      </c>
    </row>
    <row r="681" spans="1:18" x14ac:dyDescent="0.2">
      <c r="A681" s="5">
        <v>680</v>
      </c>
      <c r="B681" s="5">
        <v>65</v>
      </c>
      <c r="C681" s="7">
        <v>44957</v>
      </c>
      <c r="D681" s="5">
        <v>37</v>
      </c>
      <c r="E681" s="4">
        <v>6</v>
      </c>
      <c r="F681" s="12">
        <f t="shared" si="10"/>
        <v>4240.6783999999998</v>
      </c>
      <c r="G681" t="str">
        <f>VLOOKUP(B681,product_tbl[],2,FALSE)</f>
        <v>Biography 65</v>
      </c>
      <c r="H681" t="str">
        <f>VLOOKUP(B681,product_tbl[],3,FALSE)</f>
        <v>Books</v>
      </c>
      <c r="I681">
        <v>2706.8159999999998</v>
      </c>
      <c r="J681">
        <f>VLOOKUP(B681,product_tbl[],5,FALSE)</f>
        <v>4511.3599999999997</v>
      </c>
      <c r="K681">
        <f>VLOOKUP(B681,review_tbl[],3,FALSE)</f>
        <v>1</v>
      </c>
      <c r="L681" s="11">
        <v>5147.8687873548251</v>
      </c>
      <c r="M681" s="11">
        <f>AVERAGEIF(Table1[product_id],Master_tbl!B681:B1682,Table1[competitor_price])</f>
        <v>1786.8475000000001</v>
      </c>
      <c r="N681" s="11">
        <f>IFERROR(Table5[[#This Row],[final_sale_price]]*Table5[[#This Row],[quantity_sold ]],0)</f>
        <v>156905.10079999999</v>
      </c>
      <c r="O681" s="11">
        <f>(Table5[[#This Row],[final_sale_price]]-Table5[[#This Row],[cost_price]])*Table5[[#This Row],[quantity_sold ]]</f>
        <v>56752.908799999997</v>
      </c>
      <c r="P681" s="11">
        <f>(Table5[final_sale_price]-Table5[[#This Row],[avg_comp_price]])</f>
        <v>2453.8308999999999</v>
      </c>
      <c r="Q681" s="15">
        <f>(Table5[[#This Row],[final_sale_price]]-Table5[[#This Row],[avg_comp_price]])/Table5[[#This Row],[avg_comp_price]]</f>
        <v>1.3732738244310159</v>
      </c>
      <c r="R681" s="11">
        <f>Table5[[#This Row],[Profit]]/Table5[[#This Row],[Revenue]]</f>
        <v>0.36170212765957449</v>
      </c>
    </row>
    <row r="682" spans="1:18" x14ac:dyDescent="0.2">
      <c r="A682" s="4">
        <v>681</v>
      </c>
      <c r="B682" s="4">
        <v>50</v>
      </c>
      <c r="C682" s="6">
        <v>44984</v>
      </c>
      <c r="D682" s="4">
        <v>15</v>
      </c>
      <c r="E682" s="4">
        <v>10</v>
      </c>
      <c r="F682" s="12">
        <f t="shared" si="10"/>
        <v>1221.03</v>
      </c>
      <c r="G682" t="str">
        <f>VLOOKUP(B682,product_tbl[],2,FALSE)</f>
        <v>Doll 50</v>
      </c>
      <c r="H682" t="str">
        <f>VLOOKUP(B682,product_tbl[],3,FALSE)</f>
        <v>Toys</v>
      </c>
      <c r="I682">
        <v>814.02</v>
      </c>
      <c r="J682">
        <f>VLOOKUP(B682,product_tbl[],5,FALSE)</f>
        <v>1356.7</v>
      </c>
      <c r="K682">
        <f>VLOOKUP(B682,review_tbl[],3,FALSE)</f>
        <v>3</v>
      </c>
      <c r="L682" s="11">
        <v>1437.0596368244217</v>
      </c>
      <c r="M682" s="11">
        <f>AVERAGEIF(Table1[product_id],Master_tbl!B682:B1683,Table1[competitor_price])</f>
        <v>4909.6483333333335</v>
      </c>
      <c r="N682" s="11">
        <f>IFERROR(Table5[[#This Row],[final_sale_price]]*Table5[[#This Row],[quantity_sold ]],0)</f>
        <v>18315.45</v>
      </c>
      <c r="O682" s="11">
        <f>(Table5[[#This Row],[final_sale_price]]-Table5[[#This Row],[cost_price]])*Table5[[#This Row],[quantity_sold ]]</f>
        <v>6105.15</v>
      </c>
      <c r="P682" s="11">
        <f>(Table5[final_sale_price]-Table5[[#This Row],[avg_comp_price]])</f>
        <v>-3688.6183333333338</v>
      </c>
      <c r="Q682" s="15">
        <f>(Table5[[#This Row],[final_sale_price]]-Table5[[#This Row],[avg_comp_price]])/Table5[[#This Row],[avg_comp_price]]</f>
        <v>-0.75129990640877542</v>
      </c>
      <c r="R682" s="11">
        <f>Table5[[#This Row],[Profit]]/Table5[[#This Row],[Revenue]]</f>
        <v>0.33333333333333331</v>
      </c>
    </row>
    <row r="683" spans="1:18" x14ac:dyDescent="0.2">
      <c r="A683" s="5">
        <v>682</v>
      </c>
      <c r="B683" s="5">
        <v>53</v>
      </c>
      <c r="C683" s="7">
        <v>45497</v>
      </c>
      <c r="D683" s="5">
        <v>3</v>
      </c>
      <c r="E683" s="4">
        <v>9</v>
      </c>
      <c r="F683" s="12">
        <f t="shared" si="10"/>
        <v>3152.6131</v>
      </c>
      <c r="G683" t="str">
        <f>VLOOKUP(B683,product_tbl[],2,FALSE)</f>
        <v>Cookbook 53</v>
      </c>
      <c r="H683" t="str">
        <f>VLOOKUP(B683,product_tbl[],3,FALSE)</f>
        <v>Books</v>
      </c>
      <c r="I683">
        <v>2078.6459999999997</v>
      </c>
      <c r="J683">
        <f>VLOOKUP(B683,product_tbl[],5,FALSE)</f>
        <v>3464.41</v>
      </c>
      <c r="K683">
        <f>VLOOKUP(B683,review_tbl[],3,FALSE)</f>
        <v>4</v>
      </c>
      <c r="L683" s="11">
        <v>3780.8038952617899</v>
      </c>
      <c r="M683" s="11">
        <f>AVERAGEIF(Table1[product_id],Master_tbl!B683:B1684,Table1[competitor_price])</f>
        <v>954.33000000000015</v>
      </c>
      <c r="N683" s="11">
        <f>IFERROR(Table5[[#This Row],[final_sale_price]]*Table5[[#This Row],[quantity_sold ]],0)</f>
        <v>9457.8392999999996</v>
      </c>
      <c r="O683" s="11">
        <f>(Table5[[#This Row],[final_sale_price]]-Table5[[#This Row],[cost_price]])*Table5[[#This Row],[quantity_sold ]]</f>
        <v>3221.9013000000009</v>
      </c>
      <c r="P683" s="11">
        <f>(Table5[final_sale_price]-Table5[[#This Row],[avg_comp_price]])</f>
        <v>2198.2830999999996</v>
      </c>
      <c r="Q683" s="15">
        <f>(Table5[[#This Row],[final_sale_price]]-Table5[[#This Row],[avg_comp_price]])/Table5[[#This Row],[avg_comp_price]]</f>
        <v>2.3034831766789257</v>
      </c>
      <c r="R683" s="11">
        <f>Table5[[#This Row],[Profit]]/Table5[[#This Row],[Revenue]]</f>
        <v>0.34065934065934078</v>
      </c>
    </row>
    <row r="684" spans="1:18" x14ac:dyDescent="0.2">
      <c r="A684" s="4">
        <v>683</v>
      </c>
      <c r="B684" s="4">
        <v>57</v>
      </c>
      <c r="C684" s="6">
        <v>45259</v>
      </c>
      <c r="D684" s="4">
        <v>21</v>
      </c>
      <c r="E684" s="4">
        <v>2</v>
      </c>
      <c r="F684" s="12">
        <f t="shared" si="10"/>
        <v>6675.5150000000003</v>
      </c>
      <c r="G684" t="str">
        <f>VLOOKUP(B684,product_tbl[],2,FALSE)</f>
        <v>Face Wash 57</v>
      </c>
      <c r="H684" t="str">
        <f>VLOOKUP(B684,product_tbl[],3,FALSE)</f>
        <v>Beauty</v>
      </c>
      <c r="I684">
        <v>4087.0499999999997</v>
      </c>
      <c r="J684">
        <f>VLOOKUP(B684,product_tbl[],5,FALSE)</f>
        <v>6811.75</v>
      </c>
      <c r="K684">
        <f>VLOOKUP(B684,review_tbl[],3,FALSE)</f>
        <v>2</v>
      </c>
      <c r="L684" s="11">
        <v>6824.8302075175325</v>
      </c>
      <c r="M684" s="11">
        <f>AVERAGEIF(Table1[product_id],Master_tbl!B684:B1685,Table1[competitor_price])</f>
        <v>1836.9825000000001</v>
      </c>
      <c r="N684" s="11">
        <f>IFERROR(Table5[[#This Row],[final_sale_price]]*Table5[[#This Row],[quantity_sold ]],0)</f>
        <v>140185.815</v>
      </c>
      <c r="O684" s="11">
        <f>(Table5[[#This Row],[final_sale_price]]-Table5[[#This Row],[cost_price]])*Table5[[#This Row],[quantity_sold ]]</f>
        <v>54357.765000000014</v>
      </c>
      <c r="P684" s="11">
        <f>(Table5[final_sale_price]-Table5[[#This Row],[avg_comp_price]])</f>
        <v>4838.5325000000003</v>
      </c>
      <c r="Q684" s="15">
        <f>(Table5[[#This Row],[final_sale_price]]-Table5[[#This Row],[avg_comp_price]])/Table5[[#This Row],[avg_comp_price]]</f>
        <v>2.633956774220767</v>
      </c>
      <c r="R684" s="11">
        <f>Table5[[#This Row],[Profit]]/Table5[[#This Row],[Revenue]]</f>
        <v>0.38775510204081642</v>
      </c>
    </row>
    <row r="685" spans="1:18" x14ac:dyDescent="0.2">
      <c r="A685" s="5">
        <v>684</v>
      </c>
      <c r="B685" s="5">
        <v>10</v>
      </c>
      <c r="C685" s="7">
        <v>45240</v>
      </c>
      <c r="D685" s="5">
        <v>41</v>
      </c>
      <c r="E685" s="4">
        <v>8</v>
      </c>
      <c r="F685" s="12">
        <f t="shared" si="10"/>
        <v>2573.5068000000001</v>
      </c>
      <c r="G685" t="str">
        <f>VLOOKUP(B685,product_tbl[],2,FALSE)</f>
        <v>Jacket 10</v>
      </c>
      <c r="H685" t="str">
        <f>VLOOKUP(B685,product_tbl[],3,FALSE)</f>
        <v>Fashion</v>
      </c>
      <c r="I685">
        <v>1678.374</v>
      </c>
      <c r="J685">
        <f>VLOOKUP(B685,product_tbl[],5,FALSE)</f>
        <v>2797.29</v>
      </c>
      <c r="K685">
        <f>VLOOKUP(B685,review_tbl[],3,FALSE)</f>
        <v>4</v>
      </c>
      <c r="L685" s="11">
        <v>3220.096444919694</v>
      </c>
      <c r="M685" s="11">
        <f>AVERAGEIF(Table1[product_id],Master_tbl!B685:B1686,Table1[competitor_price])</f>
        <v>6310.5433333333322</v>
      </c>
      <c r="N685" s="11">
        <f>IFERROR(Table5[[#This Row],[final_sale_price]]*Table5[[#This Row],[quantity_sold ]],0)</f>
        <v>105513.7788</v>
      </c>
      <c r="O685" s="11">
        <f>(Table5[[#This Row],[final_sale_price]]-Table5[[#This Row],[cost_price]])*Table5[[#This Row],[quantity_sold ]]</f>
        <v>36700.444800000005</v>
      </c>
      <c r="P685" s="11">
        <f>(Table5[final_sale_price]-Table5[[#This Row],[avg_comp_price]])</f>
        <v>-3737.036533333332</v>
      </c>
      <c r="Q685" s="15">
        <f>(Table5[[#This Row],[final_sale_price]]-Table5[[#This Row],[avg_comp_price]])/Table5[[#This Row],[avg_comp_price]]</f>
        <v>-0.59218934661199263</v>
      </c>
      <c r="R685" s="11">
        <f>Table5[[#This Row],[Profit]]/Table5[[#This Row],[Revenue]]</f>
        <v>0.34782608695652178</v>
      </c>
    </row>
    <row r="686" spans="1:18" x14ac:dyDescent="0.2">
      <c r="A686" s="4">
        <v>685</v>
      </c>
      <c r="B686" s="4">
        <v>40</v>
      </c>
      <c r="C686" s="6">
        <v>45312</v>
      </c>
      <c r="D686" s="4">
        <v>41</v>
      </c>
      <c r="E686" s="4">
        <v>8</v>
      </c>
      <c r="F686" s="12">
        <f t="shared" si="10"/>
        <v>452.88839999999999</v>
      </c>
      <c r="G686" t="str">
        <f>VLOOKUP(B686,product_tbl[],2,FALSE)</f>
        <v>Dress 40</v>
      </c>
      <c r="H686" t="str">
        <f>VLOOKUP(B686,product_tbl[],3,FALSE)</f>
        <v>Fashion</v>
      </c>
      <c r="I686">
        <v>295.36199999999997</v>
      </c>
      <c r="J686">
        <f>VLOOKUP(B686,product_tbl[],5,FALSE)</f>
        <v>492.27</v>
      </c>
      <c r="K686">
        <f>VLOOKUP(B686,review_tbl[],3,FALSE)</f>
        <v>1</v>
      </c>
      <c r="L686" s="11">
        <v>602.10489444365487</v>
      </c>
      <c r="M686" s="11">
        <f>AVERAGEIF(Table1[product_id],Master_tbl!B686:B1687,Table1[competitor_price])</f>
        <v>603.70600000000002</v>
      </c>
      <c r="N686" s="11">
        <f>IFERROR(Table5[[#This Row],[final_sale_price]]*Table5[[#This Row],[quantity_sold ]],0)</f>
        <v>18568.4244</v>
      </c>
      <c r="O686" s="11">
        <f>(Table5[[#This Row],[final_sale_price]]-Table5[[#This Row],[cost_price]])*Table5[[#This Row],[quantity_sold ]]</f>
        <v>6458.5824000000011</v>
      </c>
      <c r="P686" s="11">
        <f>(Table5[final_sale_price]-Table5[[#This Row],[avg_comp_price]])</f>
        <v>-150.81760000000003</v>
      </c>
      <c r="Q686" s="15">
        <f>(Table5[[#This Row],[final_sale_price]]-Table5[[#This Row],[avg_comp_price]])/Table5[[#This Row],[avg_comp_price]]</f>
        <v>-0.24981961418306264</v>
      </c>
      <c r="R686" s="11">
        <f>Table5[[#This Row],[Profit]]/Table5[[#This Row],[Revenue]]</f>
        <v>0.34782608695652178</v>
      </c>
    </row>
    <row r="687" spans="1:18" x14ac:dyDescent="0.2">
      <c r="A687" s="5">
        <v>686</v>
      </c>
      <c r="B687" s="5">
        <v>29</v>
      </c>
      <c r="C687" s="7">
        <v>45970</v>
      </c>
      <c r="D687" s="5">
        <v>35</v>
      </c>
      <c r="E687" s="4">
        <v>6</v>
      </c>
      <c r="F687" s="12">
        <f t="shared" si="10"/>
        <v>7024.62</v>
      </c>
      <c r="G687" t="str">
        <f>VLOOKUP(B687,product_tbl[],2,FALSE)</f>
        <v>Smartwatch 29</v>
      </c>
      <c r="H687" t="str">
        <f>VLOOKUP(B687,product_tbl[],3,FALSE)</f>
        <v>Electronics</v>
      </c>
      <c r="I687">
        <v>4483.8</v>
      </c>
      <c r="J687">
        <f>VLOOKUP(B687,product_tbl[],5,FALSE)</f>
        <v>7473</v>
      </c>
      <c r="K687">
        <f>VLOOKUP(B687,review_tbl[],3,FALSE)</f>
        <v>2</v>
      </c>
      <c r="L687" s="11">
        <v>8154.8936656696114</v>
      </c>
      <c r="M687" s="11">
        <f>AVERAGEIF(Table1[product_id],Master_tbl!B687:B1688,Table1[competitor_price])</f>
        <v>1925.7060000000001</v>
      </c>
      <c r="N687" s="11">
        <f>IFERROR(Table5[[#This Row],[final_sale_price]]*Table5[[#This Row],[quantity_sold ]],0)</f>
        <v>245861.69999999998</v>
      </c>
      <c r="O687" s="11">
        <f>(Table5[[#This Row],[final_sale_price]]-Table5[[#This Row],[cost_price]])*Table5[[#This Row],[quantity_sold ]]</f>
        <v>88928.699999999983</v>
      </c>
      <c r="P687" s="11">
        <f>(Table5[final_sale_price]-Table5[[#This Row],[avg_comp_price]])</f>
        <v>5098.9139999999998</v>
      </c>
      <c r="Q687" s="15">
        <f>(Table5[[#This Row],[final_sale_price]]-Table5[[#This Row],[avg_comp_price]])/Table5[[#This Row],[avg_comp_price]]</f>
        <v>2.647815398612249</v>
      </c>
      <c r="R687" s="11">
        <f>Table5[[#This Row],[Profit]]/Table5[[#This Row],[Revenue]]</f>
        <v>0.36170212765957444</v>
      </c>
    </row>
    <row r="688" spans="1:18" x14ac:dyDescent="0.2">
      <c r="A688" s="4">
        <v>687</v>
      </c>
      <c r="B688" s="4">
        <v>3</v>
      </c>
      <c r="C688" s="6">
        <v>45204</v>
      </c>
      <c r="D688" s="4">
        <v>46</v>
      </c>
      <c r="E688" s="4">
        <v>3</v>
      </c>
      <c r="F688" s="12">
        <f t="shared" si="10"/>
        <v>5011.7765999999992</v>
      </c>
      <c r="G688" t="str">
        <f>VLOOKUP(B688,product_tbl[],2,FALSE)</f>
        <v>Biography 3</v>
      </c>
      <c r="H688" t="str">
        <f>VLOOKUP(B688,product_tbl[],3,FALSE)</f>
        <v>Books</v>
      </c>
      <c r="I688">
        <v>3100.0679999999998</v>
      </c>
      <c r="J688">
        <f>VLOOKUP(B688,product_tbl[],5,FALSE)</f>
        <v>5166.78</v>
      </c>
      <c r="K688">
        <f>VLOOKUP(B688,review_tbl[],3,FALSE)</f>
        <v>1</v>
      </c>
      <c r="L688" s="11">
        <v>6612.2148466601338</v>
      </c>
      <c r="M688" s="11">
        <f>AVERAGEIF(Table1[product_id],Master_tbl!B688:B1689,Table1[competitor_price])</f>
        <v>7049.42</v>
      </c>
      <c r="N688" s="11">
        <f>IFERROR(Table5[[#This Row],[final_sale_price]]*Table5[[#This Row],[quantity_sold ]],0)</f>
        <v>230541.72359999997</v>
      </c>
      <c r="O688" s="11">
        <f>(Table5[[#This Row],[final_sale_price]]-Table5[[#This Row],[cost_price]])*Table5[[#This Row],[quantity_sold ]]</f>
        <v>87938.595599999971</v>
      </c>
      <c r="P688" s="11">
        <f>(Table5[final_sale_price]-Table5[[#This Row],[avg_comp_price]])</f>
        <v>-2037.6434000000008</v>
      </c>
      <c r="Q688" s="15">
        <f>(Table5[[#This Row],[final_sale_price]]-Table5[[#This Row],[avg_comp_price]])/Table5[[#This Row],[avg_comp_price]]</f>
        <v>-0.28905121272388379</v>
      </c>
      <c r="R688" s="11">
        <f>Table5[[#This Row],[Profit]]/Table5[[#This Row],[Revenue]]</f>
        <v>0.38144329896907209</v>
      </c>
    </row>
    <row r="689" spans="1:18" x14ac:dyDescent="0.2">
      <c r="A689" s="5">
        <v>688</v>
      </c>
      <c r="B689" s="5">
        <v>130</v>
      </c>
      <c r="C689" s="7">
        <v>45363</v>
      </c>
      <c r="D689" s="5">
        <v>46</v>
      </c>
      <c r="E689" s="4">
        <v>10</v>
      </c>
      <c r="F689" s="12">
        <f t="shared" si="10"/>
        <v>2866.9409999999998</v>
      </c>
      <c r="G689" t="str">
        <f>VLOOKUP(B689,product_tbl[],2,FALSE)</f>
        <v>Gym Gloves 130</v>
      </c>
      <c r="H689" t="str">
        <f>VLOOKUP(B689,product_tbl[],3,FALSE)</f>
        <v>Sports</v>
      </c>
      <c r="I689">
        <v>1911.2939999999999</v>
      </c>
      <c r="J689">
        <f>VLOOKUP(B689,product_tbl[],5,FALSE)</f>
        <v>3185.49</v>
      </c>
      <c r="K689">
        <f>VLOOKUP(B689,review_tbl[],3,FALSE)</f>
        <v>5</v>
      </c>
      <c r="L689" s="11">
        <v>3516.5447825019814</v>
      </c>
      <c r="M689" s="11">
        <f>AVERAGEIF(Table1[product_id],Master_tbl!B689:B1690,Table1[competitor_price])</f>
        <v>3865.1374999999998</v>
      </c>
      <c r="N689" s="11">
        <f>IFERROR(Table5[[#This Row],[final_sale_price]]*Table5[[#This Row],[quantity_sold ]],0)</f>
        <v>131879.28599999999</v>
      </c>
      <c r="O689" s="11">
        <f>(Table5[[#This Row],[final_sale_price]]-Table5[[#This Row],[cost_price]])*Table5[[#This Row],[quantity_sold ]]</f>
        <v>43959.761999999995</v>
      </c>
      <c r="P689" s="11">
        <f>(Table5[final_sale_price]-Table5[[#This Row],[avg_comp_price]])</f>
        <v>-998.19650000000001</v>
      </c>
      <c r="Q689" s="15">
        <f>(Table5[[#This Row],[final_sale_price]]-Table5[[#This Row],[avg_comp_price]])/Table5[[#This Row],[avg_comp_price]]</f>
        <v>-0.25825640096891767</v>
      </c>
      <c r="R689" s="11">
        <f>Table5[[#This Row],[Profit]]/Table5[[#This Row],[Revenue]]</f>
        <v>0.33333333333333331</v>
      </c>
    </row>
    <row r="690" spans="1:18" x14ac:dyDescent="0.2">
      <c r="A690" s="4">
        <v>689</v>
      </c>
      <c r="B690" s="4">
        <v>60</v>
      </c>
      <c r="C690" s="6">
        <v>45530</v>
      </c>
      <c r="D690" s="4">
        <v>25</v>
      </c>
      <c r="E690" s="4">
        <v>9</v>
      </c>
      <c r="F690" s="12">
        <f t="shared" si="10"/>
        <v>2523.0751</v>
      </c>
      <c r="G690" t="str">
        <f>VLOOKUP(B690,product_tbl[],2,FALSE)</f>
        <v>Biography 60</v>
      </c>
      <c r="H690" t="str">
        <f>VLOOKUP(B690,product_tbl[],3,FALSE)</f>
        <v>Books</v>
      </c>
      <c r="I690">
        <v>1663.566</v>
      </c>
      <c r="J690">
        <f>VLOOKUP(B690,product_tbl[],5,FALSE)</f>
        <v>2772.61</v>
      </c>
      <c r="K690">
        <f>VLOOKUP(B690,review_tbl[],3,FALSE)</f>
        <v>2</v>
      </c>
      <c r="L690" s="11">
        <v>3011.2150331078224</v>
      </c>
      <c r="M690" s="11">
        <f>AVERAGEIF(Table1[product_id],Master_tbl!B690:B1691,Table1[competitor_price])</f>
        <v>3047.7533333333336</v>
      </c>
      <c r="N690" s="11">
        <f>IFERROR(Table5[[#This Row],[final_sale_price]]*Table5[[#This Row],[quantity_sold ]],0)</f>
        <v>63076.877500000002</v>
      </c>
      <c r="O690" s="11">
        <f>(Table5[[#This Row],[final_sale_price]]-Table5[[#This Row],[cost_price]])*Table5[[#This Row],[quantity_sold ]]</f>
        <v>21487.727500000001</v>
      </c>
      <c r="P690" s="11">
        <f>(Table5[final_sale_price]-Table5[[#This Row],[avg_comp_price]])</f>
        <v>-524.67823333333354</v>
      </c>
      <c r="Q690" s="15">
        <f>(Table5[[#This Row],[final_sale_price]]-Table5[[#This Row],[avg_comp_price]])/Table5[[#This Row],[avg_comp_price]]</f>
        <v>-0.17215245984473815</v>
      </c>
      <c r="R690" s="11">
        <f>Table5[[#This Row],[Profit]]/Table5[[#This Row],[Revenue]]</f>
        <v>0.34065934065934067</v>
      </c>
    </row>
    <row r="691" spans="1:18" x14ac:dyDescent="0.2">
      <c r="A691" s="5">
        <v>690</v>
      </c>
      <c r="B691" s="5">
        <v>87</v>
      </c>
      <c r="C691" s="7">
        <v>44975</v>
      </c>
      <c r="D691" s="5">
        <v>39</v>
      </c>
      <c r="E691" s="4">
        <v>2</v>
      </c>
      <c r="F691" s="12">
        <f t="shared" si="10"/>
        <v>4012.2375999999999</v>
      </c>
      <c r="G691" t="str">
        <f>VLOOKUP(B691,product_tbl[],2,FALSE)</f>
        <v>Laptop 87</v>
      </c>
      <c r="H691" t="str">
        <f>VLOOKUP(B691,product_tbl[],3,FALSE)</f>
        <v>Electronics</v>
      </c>
      <c r="I691">
        <v>2456.4719999999998</v>
      </c>
      <c r="J691">
        <f>VLOOKUP(B691,product_tbl[],5,FALSE)</f>
        <v>4094.12</v>
      </c>
      <c r="K691">
        <f>VLOOKUP(B691,review_tbl[],3,FALSE)</f>
        <v>2</v>
      </c>
      <c r="L691" s="11">
        <v>4237.0601720213226</v>
      </c>
      <c r="M691" s="11">
        <f>AVERAGEIF(Table1[product_id],Master_tbl!B691:B1692,Table1[competitor_price])</f>
        <v>493.79250000000002</v>
      </c>
      <c r="N691" s="11">
        <f>IFERROR(Table5[[#This Row],[final_sale_price]]*Table5[[#This Row],[quantity_sold ]],0)</f>
        <v>156477.26639999999</v>
      </c>
      <c r="O691" s="11">
        <f>(Table5[[#This Row],[final_sale_price]]-Table5[[#This Row],[cost_price]])*Table5[[#This Row],[quantity_sold ]]</f>
        <v>60674.858400000005</v>
      </c>
      <c r="P691" s="11">
        <f>(Table5[final_sale_price]-Table5[[#This Row],[avg_comp_price]])</f>
        <v>3518.4450999999999</v>
      </c>
      <c r="Q691" s="15">
        <f>(Table5[[#This Row],[final_sale_price]]-Table5[[#This Row],[avg_comp_price]])/Table5[[#This Row],[avg_comp_price]]</f>
        <v>7.1253514381040617</v>
      </c>
      <c r="R691" s="11">
        <f>Table5[[#This Row],[Profit]]/Table5[[#This Row],[Revenue]]</f>
        <v>0.38775510204081637</v>
      </c>
    </row>
    <row r="692" spans="1:18" x14ac:dyDescent="0.2">
      <c r="A692" s="4">
        <v>691</v>
      </c>
      <c r="B692" s="4">
        <v>90</v>
      </c>
      <c r="C692" s="6">
        <v>45250</v>
      </c>
      <c r="D692" s="4">
        <v>22</v>
      </c>
      <c r="E692" s="4">
        <v>8</v>
      </c>
      <c r="F692" s="12">
        <f t="shared" si="10"/>
        <v>1266.5732</v>
      </c>
      <c r="G692" t="str">
        <f>VLOOKUP(B692,product_tbl[],2,FALSE)</f>
        <v>Washing Machine 90</v>
      </c>
      <c r="H692" t="str">
        <f>VLOOKUP(B692,product_tbl[],3,FALSE)</f>
        <v>Home Appliances</v>
      </c>
      <c r="I692">
        <v>826.02599999999995</v>
      </c>
      <c r="J692">
        <f>VLOOKUP(B692,product_tbl[],5,FALSE)</f>
        <v>1376.71</v>
      </c>
      <c r="K692">
        <f>VLOOKUP(B692,review_tbl[],3,FALSE)</f>
        <v>4</v>
      </c>
      <c r="L692" s="11">
        <v>1482.8111626273208</v>
      </c>
      <c r="M692" s="11">
        <f>AVERAGEIF(Table1[product_id],Master_tbl!B692:B1693,Table1[competitor_price])</f>
        <v>2414.7550000000001</v>
      </c>
      <c r="N692" s="11">
        <f>IFERROR(Table5[[#This Row],[final_sale_price]]*Table5[[#This Row],[quantity_sold ]],0)</f>
        <v>27864.610400000001</v>
      </c>
      <c r="O692" s="11">
        <f>(Table5[[#This Row],[final_sale_price]]-Table5[[#This Row],[cost_price]])*Table5[[#This Row],[quantity_sold ]]</f>
        <v>9692.0384000000013</v>
      </c>
      <c r="P692" s="11">
        <f>(Table5[final_sale_price]-Table5[[#This Row],[avg_comp_price]])</f>
        <v>-1148.1818000000001</v>
      </c>
      <c r="Q692" s="15">
        <f>(Table5[[#This Row],[final_sale_price]]-Table5[[#This Row],[avg_comp_price]])/Table5[[#This Row],[avg_comp_price]]</f>
        <v>-0.47548583603719635</v>
      </c>
      <c r="R692" s="11">
        <f>Table5[[#This Row],[Profit]]/Table5[[#This Row],[Revenue]]</f>
        <v>0.34782608695652178</v>
      </c>
    </row>
    <row r="693" spans="1:18" x14ac:dyDescent="0.2">
      <c r="A693" s="5">
        <v>692</v>
      </c>
      <c r="B693" s="5">
        <v>94</v>
      </c>
      <c r="C693" s="7">
        <v>44962</v>
      </c>
      <c r="D693" s="5">
        <v>36</v>
      </c>
      <c r="E693" s="4">
        <v>5</v>
      </c>
      <c r="F693" s="12">
        <f t="shared" si="10"/>
        <v>4420.1409999999996</v>
      </c>
      <c r="G693" t="str">
        <f>VLOOKUP(B693,product_tbl[],2,FALSE)</f>
        <v>Cricket Bat 94</v>
      </c>
      <c r="H693" t="str">
        <f>VLOOKUP(B693,product_tbl[],3,FALSE)</f>
        <v>Sports</v>
      </c>
      <c r="I693">
        <v>2791.6679999999997</v>
      </c>
      <c r="J693">
        <f>VLOOKUP(B693,product_tbl[],5,FALSE)</f>
        <v>4652.78</v>
      </c>
      <c r="K693">
        <f>VLOOKUP(B693,review_tbl[],3,FALSE)</f>
        <v>1</v>
      </c>
      <c r="L693" s="11">
        <v>6017.7169644649812</v>
      </c>
      <c r="M693" s="11">
        <f>AVERAGEIF(Table1[product_id],Master_tbl!B693:B1694,Table1[competitor_price])</f>
        <v>6485.5883333333331</v>
      </c>
      <c r="N693" s="11">
        <f>IFERROR(Table5[[#This Row],[final_sale_price]]*Table5[[#This Row],[quantity_sold ]],0)</f>
        <v>159125.076</v>
      </c>
      <c r="O693" s="11">
        <f>(Table5[[#This Row],[final_sale_price]]-Table5[[#This Row],[cost_price]])*Table5[[#This Row],[quantity_sold ]]</f>
        <v>58625.027999999998</v>
      </c>
      <c r="P693" s="11">
        <f>(Table5[final_sale_price]-Table5[[#This Row],[avg_comp_price]])</f>
        <v>-2065.4473333333335</v>
      </c>
      <c r="Q693" s="15">
        <f>(Table5[[#This Row],[final_sale_price]]-Table5[[#This Row],[avg_comp_price]])/Table5[[#This Row],[avg_comp_price]]</f>
        <v>-0.31846722720863413</v>
      </c>
      <c r="R693" s="11">
        <f>Table5[[#This Row],[Profit]]/Table5[[#This Row],[Revenue]]</f>
        <v>0.36842105263157893</v>
      </c>
    </row>
    <row r="694" spans="1:18" x14ac:dyDescent="0.2">
      <c r="A694" s="4">
        <v>693</v>
      </c>
      <c r="B694" s="4">
        <v>61</v>
      </c>
      <c r="C694" s="6">
        <v>45654</v>
      </c>
      <c r="D694" s="4">
        <v>16</v>
      </c>
      <c r="E694" s="4">
        <v>3</v>
      </c>
      <c r="F694" s="12">
        <f t="shared" si="10"/>
        <v>2368.9727999999996</v>
      </c>
      <c r="G694" t="str">
        <f>VLOOKUP(B694,product_tbl[],2,FALSE)</f>
        <v>Green Tea 61</v>
      </c>
      <c r="H694" t="str">
        <f>VLOOKUP(B694,product_tbl[],3,FALSE)</f>
        <v>Grocery</v>
      </c>
      <c r="I694">
        <v>1465.3439999999998</v>
      </c>
      <c r="J694">
        <f>VLOOKUP(B694,product_tbl[],5,FALSE)</f>
        <v>2442.2399999999998</v>
      </c>
      <c r="K694">
        <f>VLOOKUP(B694,review_tbl[],3,FALSE)</f>
        <v>5</v>
      </c>
      <c r="L694" s="11">
        <v>2620.6785654536166</v>
      </c>
      <c r="M694" s="11">
        <f>AVERAGEIF(Table1[product_id],Master_tbl!B694:B1695,Table1[competitor_price])</f>
        <v>411.75600000000003</v>
      </c>
      <c r="N694" s="11">
        <f>IFERROR(Table5[[#This Row],[final_sale_price]]*Table5[[#This Row],[quantity_sold ]],0)</f>
        <v>37903.564799999993</v>
      </c>
      <c r="O694" s="11">
        <f>(Table5[[#This Row],[final_sale_price]]-Table5[[#This Row],[cost_price]])*Table5[[#This Row],[quantity_sold ]]</f>
        <v>14458.060799999996</v>
      </c>
      <c r="P694" s="11">
        <f>(Table5[final_sale_price]-Table5[[#This Row],[avg_comp_price]])</f>
        <v>1957.2167999999995</v>
      </c>
      <c r="Q694" s="15">
        <f>(Table5[[#This Row],[final_sale_price]]-Table5[[#This Row],[avg_comp_price]])/Table5[[#This Row],[avg_comp_price]]</f>
        <v>4.7533412992160393</v>
      </c>
      <c r="R694" s="11">
        <f>Table5[[#This Row],[Profit]]/Table5[[#This Row],[Revenue]]</f>
        <v>0.38144329896907214</v>
      </c>
    </row>
    <row r="695" spans="1:18" x14ac:dyDescent="0.2">
      <c r="A695" s="5">
        <v>694</v>
      </c>
      <c r="B695" s="5">
        <v>68</v>
      </c>
      <c r="C695" s="7">
        <v>45863</v>
      </c>
      <c r="D695" s="5">
        <v>35</v>
      </c>
      <c r="E695" s="4">
        <v>9</v>
      </c>
      <c r="F695" s="12">
        <f t="shared" si="10"/>
        <v>5499.5758999999998</v>
      </c>
      <c r="G695" t="str">
        <f>VLOOKUP(B695,product_tbl[],2,FALSE)</f>
        <v>Lipstick 68</v>
      </c>
      <c r="H695" t="str">
        <f>VLOOKUP(B695,product_tbl[],3,FALSE)</f>
        <v>Beauty</v>
      </c>
      <c r="I695">
        <v>3626.0939999999996</v>
      </c>
      <c r="J695">
        <f>VLOOKUP(B695,product_tbl[],5,FALSE)</f>
        <v>6043.49</v>
      </c>
      <c r="K695">
        <f>VLOOKUP(B695,review_tbl[],3,FALSE)</f>
        <v>2</v>
      </c>
      <c r="L695" s="11">
        <v>6898.8315276734647</v>
      </c>
      <c r="M695" s="11">
        <f>AVERAGEIF(Table1[product_id],Master_tbl!B695:B1696,Table1[competitor_price])</f>
        <v>796.21333333333325</v>
      </c>
      <c r="N695" s="11">
        <f>IFERROR(Table5[[#This Row],[final_sale_price]]*Table5[[#This Row],[quantity_sold ]],0)</f>
        <v>192485.15649999998</v>
      </c>
      <c r="O695" s="11">
        <f>(Table5[[#This Row],[final_sale_price]]-Table5[[#This Row],[cost_price]])*Table5[[#This Row],[quantity_sold ]]</f>
        <v>65571.866500000004</v>
      </c>
      <c r="P695" s="11">
        <f>(Table5[final_sale_price]-Table5[[#This Row],[avg_comp_price]])</f>
        <v>4703.3625666666667</v>
      </c>
      <c r="Q695" s="15">
        <f>(Table5[[#This Row],[final_sale_price]]-Table5[[#This Row],[avg_comp_price]])/Table5[[#This Row],[avg_comp_price]]</f>
        <v>5.9071637835755917</v>
      </c>
      <c r="R695" s="11">
        <f>Table5[[#This Row],[Profit]]/Table5[[#This Row],[Revenue]]</f>
        <v>0.34065934065934073</v>
      </c>
    </row>
    <row r="696" spans="1:18" x14ac:dyDescent="0.2">
      <c r="A696" s="4">
        <v>695</v>
      </c>
      <c r="B696" s="4">
        <v>119</v>
      </c>
      <c r="C696" s="6">
        <v>45202</v>
      </c>
      <c r="D696" s="4">
        <v>25</v>
      </c>
      <c r="E696" s="4">
        <v>6</v>
      </c>
      <c r="F696" s="12">
        <f t="shared" si="10"/>
        <v>1825.3953999999999</v>
      </c>
      <c r="G696" t="str">
        <f>VLOOKUP(B696,product_tbl[],2,FALSE)</f>
        <v>Wheat Flour 119</v>
      </c>
      <c r="H696" t="str">
        <f>VLOOKUP(B696,product_tbl[],3,FALSE)</f>
        <v>Grocery</v>
      </c>
      <c r="I696">
        <v>1165.146</v>
      </c>
      <c r="J696">
        <f>VLOOKUP(B696,product_tbl[],5,FALSE)</f>
        <v>1941.91</v>
      </c>
      <c r="K696">
        <f>VLOOKUP(B696,review_tbl[],3,FALSE)</f>
        <v>4</v>
      </c>
      <c r="L696" s="11">
        <v>2265.3527525144291</v>
      </c>
      <c r="M696" s="11">
        <f>AVERAGEIF(Table1[product_id],Master_tbl!B696:B1697,Table1[competitor_price])</f>
        <v>4902.3539999999994</v>
      </c>
      <c r="N696" s="11">
        <f>IFERROR(Table5[[#This Row],[final_sale_price]]*Table5[[#This Row],[quantity_sold ]],0)</f>
        <v>45634.884999999995</v>
      </c>
      <c r="O696" s="11">
        <f>(Table5[[#This Row],[final_sale_price]]-Table5[[#This Row],[cost_price]])*Table5[[#This Row],[quantity_sold ]]</f>
        <v>16506.234999999997</v>
      </c>
      <c r="P696" s="11">
        <f>(Table5[final_sale_price]-Table5[[#This Row],[avg_comp_price]])</f>
        <v>-3076.9585999999995</v>
      </c>
      <c r="Q696" s="15">
        <f>(Table5[[#This Row],[final_sale_price]]-Table5[[#This Row],[avg_comp_price]])/Table5[[#This Row],[avg_comp_price]]</f>
        <v>-0.62764920689121995</v>
      </c>
      <c r="R696" s="11">
        <f>Table5[[#This Row],[Profit]]/Table5[[#This Row],[Revenue]]</f>
        <v>0.36170212765957444</v>
      </c>
    </row>
    <row r="697" spans="1:18" x14ac:dyDescent="0.2">
      <c r="A697" s="5">
        <v>696</v>
      </c>
      <c r="B697" s="5">
        <v>90</v>
      </c>
      <c r="C697" s="7">
        <v>45004</v>
      </c>
      <c r="D697" s="5">
        <v>45</v>
      </c>
      <c r="E697" s="4">
        <v>9</v>
      </c>
      <c r="F697" s="12">
        <f t="shared" si="10"/>
        <v>1252.8061</v>
      </c>
      <c r="G697" t="str">
        <f>VLOOKUP(B697,product_tbl[],2,FALSE)</f>
        <v>Washing Machine 90</v>
      </c>
      <c r="H697" t="str">
        <f>VLOOKUP(B697,product_tbl[],3,FALSE)</f>
        <v>Home Appliances</v>
      </c>
      <c r="I697">
        <v>826.02599999999995</v>
      </c>
      <c r="J697">
        <f>VLOOKUP(B697,product_tbl[],5,FALSE)</f>
        <v>1376.71</v>
      </c>
      <c r="K697">
        <f>VLOOKUP(B697,review_tbl[],3,FALSE)</f>
        <v>4</v>
      </c>
      <c r="L697" s="11">
        <v>1666.0465261177262</v>
      </c>
      <c r="M697" s="11">
        <f>AVERAGEIF(Table1[product_id],Master_tbl!B697:B1698,Table1[competitor_price])</f>
        <v>2414.7550000000001</v>
      </c>
      <c r="N697" s="11">
        <f>IFERROR(Table5[[#This Row],[final_sale_price]]*Table5[[#This Row],[quantity_sold ]],0)</f>
        <v>56376.2745</v>
      </c>
      <c r="O697" s="11">
        <f>(Table5[[#This Row],[final_sale_price]]-Table5[[#This Row],[cost_price]])*Table5[[#This Row],[quantity_sold ]]</f>
        <v>19205.104500000001</v>
      </c>
      <c r="P697" s="11">
        <f>(Table5[final_sale_price]-Table5[[#This Row],[avg_comp_price]])</f>
        <v>-1161.9489000000001</v>
      </c>
      <c r="Q697" s="15">
        <f>(Table5[[#This Row],[final_sale_price]]-Table5[[#This Row],[avg_comp_price]])/Table5[[#This Row],[avg_comp_price]]</f>
        <v>-0.48118707694983553</v>
      </c>
      <c r="R697" s="11">
        <f>Table5[[#This Row],[Profit]]/Table5[[#This Row],[Revenue]]</f>
        <v>0.34065934065934067</v>
      </c>
    </row>
    <row r="698" spans="1:18" x14ac:dyDescent="0.2">
      <c r="A698" s="4">
        <v>697</v>
      </c>
      <c r="B698" s="4">
        <v>70</v>
      </c>
      <c r="C698" s="6">
        <v>45598</v>
      </c>
      <c r="D698" s="4">
        <v>2</v>
      </c>
      <c r="E698" s="4">
        <v>5</v>
      </c>
      <c r="F698" s="12">
        <f t="shared" si="10"/>
        <v>3828.2624999999998</v>
      </c>
      <c r="G698" t="str">
        <f>VLOOKUP(B698,product_tbl[],2,FALSE)</f>
        <v>Green Tea 70</v>
      </c>
      <c r="H698" t="str">
        <f>VLOOKUP(B698,product_tbl[],3,FALSE)</f>
        <v>Grocery</v>
      </c>
      <c r="I698">
        <v>2417.85</v>
      </c>
      <c r="J698">
        <f>VLOOKUP(B698,product_tbl[],5,FALSE)</f>
        <v>4029.75</v>
      </c>
      <c r="K698">
        <f>VLOOKUP(B698,review_tbl[],3,FALSE)</f>
        <v>1</v>
      </c>
      <c r="L698" s="11">
        <v>4593.9630065236415</v>
      </c>
      <c r="M698" s="11">
        <f>AVERAGEIF(Table1[product_id],Master_tbl!B698:B1699,Table1[competitor_price])</f>
        <v>2158.7083333333335</v>
      </c>
      <c r="N698" s="11">
        <f>IFERROR(Table5[[#This Row],[final_sale_price]]*Table5[[#This Row],[quantity_sold ]],0)</f>
        <v>7656.5249999999996</v>
      </c>
      <c r="O698" s="11">
        <f>(Table5[[#This Row],[final_sale_price]]-Table5[[#This Row],[cost_price]])*Table5[[#This Row],[quantity_sold ]]</f>
        <v>2820.8249999999998</v>
      </c>
      <c r="P698" s="11">
        <f>(Table5[final_sale_price]-Table5[[#This Row],[avg_comp_price]])</f>
        <v>1669.5541666666663</v>
      </c>
      <c r="Q698" s="15">
        <f>(Table5[[#This Row],[final_sale_price]]-Table5[[#This Row],[avg_comp_price]])/Table5[[#This Row],[avg_comp_price]]</f>
        <v>0.77340423478546183</v>
      </c>
      <c r="R698" s="11">
        <f>Table5[[#This Row],[Profit]]/Table5[[#This Row],[Revenue]]</f>
        <v>0.36842105263157893</v>
      </c>
    </row>
    <row r="699" spans="1:18" x14ac:dyDescent="0.2">
      <c r="A699" s="5">
        <v>698</v>
      </c>
      <c r="B699" s="5">
        <v>25</v>
      </c>
      <c r="C699" s="7">
        <v>45034</v>
      </c>
      <c r="D699" s="5">
        <v>4</v>
      </c>
      <c r="E699" s="4">
        <v>7</v>
      </c>
      <c r="F699" s="12">
        <f t="shared" si="10"/>
        <v>528.39809999999989</v>
      </c>
      <c r="G699" t="str">
        <f>VLOOKUP(B699,product_tbl[],2,FALSE)</f>
        <v>Tennis Racket 25</v>
      </c>
      <c r="H699" t="str">
        <f>VLOOKUP(B699,product_tbl[],3,FALSE)</f>
        <v>Sports</v>
      </c>
      <c r="I699">
        <v>340.90199999999999</v>
      </c>
      <c r="J699">
        <f>VLOOKUP(B699,product_tbl[],5,FALSE)</f>
        <v>568.16999999999996</v>
      </c>
      <c r="K699">
        <f>VLOOKUP(B699,review_tbl[],3,FALSE)</f>
        <v>1</v>
      </c>
      <c r="L699" s="11">
        <v>569.46845569446941</v>
      </c>
      <c r="M699" s="11">
        <f>AVERAGEIF(Table1[product_id],Master_tbl!B699:B1700,Table1[competitor_price])</f>
        <v>2024.2300000000002</v>
      </c>
      <c r="N699" s="11">
        <f>IFERROR(Table5[[#This Row],[final_sale_price]]*Table5[[#This Row],[quantity_sold ]],0)</f>
        <v>2113.5923999999995</v>
      </c>
      <c r="O699" s="11">
        <f>(Table5[[#This Row],[final_sale_price]]-Table5[[#This Row],[cost_price]])*Table5[[#This Row],[quantity_sold ]]</f>
        <v>749.9843999999996</v>
      </c>
      <c r="P699" s="11">
        <f>(Table5[final_sale_price]-Table5[[#This Row],[avg_comp_price]])</f>
        <v>-1495.8319000000004</v>
      </c>
      <c r="Q699" s="15">
        <f>(Table5[[#This Row],[final_sale_price]]-Table5[[#This Row],[avg_comp_price]])/Table5[[#This Row],[avg_comp_price]]</f>
        <v>-0.7389634083083445</v>
      </c>
      <c r="R699" s="11">
        <f>Table5[[#This Row],[Profit]]/Table5[[#This Row],[Revenue]]</f>
        <v>0.35483870967741926</v>
      </c>
    </row>
    <row r="700" spans="1:18" x14ac:dyDescent="0.2">
      <c r="A700" s="4">
        <v>699</v>
      </c>
      <c r="B700" s="4">
        <v>71</v>
      </c>
      <c r="C700" s="6">
        <v>45109</v>
      </c>
      <c r="D700" s="4">
        <v>6</v>
      </c>
      <c r="E700" s="4">
        <v>8</v>
      </c>
      <c r="F700" s="12">
        <f t="shared" si="10"/>
        <v>4536.7592000000004</v>
      </c>
      <c r="G700" t="str">
        <f>VLOOKUP(B700,product_tbl[],2,FALSE)</f>
        <v>Self Help Book 71</v>
      </c>
      <c r="H700" t="str">
        <f>VLOOKUP(B700,product_tbl[],3,FALSE)</f>
        <v>Books</v>
      </c>
      <c r="I700">
        <v>2958.7559999999999</v>
      </c>
      <c r="J700">
        <f>VLOOKUP(B700,product_tbl[],5,FALSE)</f>
        <v>4931.26</v>
      </c>
      <c r="K700">
        <f>VLOOKUP(B700,review_tbl[],3,FALSE)</f>
        <v>3</v>
      </c>
      <c r="L700" s="11">
        <v>5081.3577080878167</v>
      </c>
      <c r="M700" s="11">
        <f>AVERAGEIF(Table1[product_id],Master_tbl!B700:B1701,Table1[competitor_price])</f>
        <v>2482.0633333333335</v>
      </c>
      <c r="N700" s="11">
        <f>IFERROR(Table5[[#This Row],[final_sale_price]]*Table5[[#This Row],[quantity_sold ]],0)</f>
        <v>27220.555200000003</v>
      </c>
      <c r="O700" s="11">
        <f>(Table5[[#This Row],[final_sale_price]]-Table5[[#This Row],[cost_price]])*Table5[[#This Row],[quantity_sold ]]</f>
        <v>9468.0192000000025</v>
      </c>
      <c r="P700" s="11">
        <f>(Table5[final_sale_price]-Table5[[#This Row],[avg_comp_price]])</f>
        <v>2054.6958666666669</v>
      </c>
      <c r="Q700" s="15">
        <f>(Table5[[#This Row],[final_sale_price]]-Table5[[#This Row],[avg_comp_price]])/Table5[[#This Row],[avg_comp_price]]</f>
        <v>0.82781766245556454</v>
      </c>
      <c r="R700" s="11">
        <f>Table5[[#This Row],[Profit]]/Table5[[#This Row],[Revenue]]</f>
        <v>0.34782608695652178</v>
      </c>
    </row>
    <row r="701" spans="1:18" x14ac:dyDescent="0.2">
      <c r="A701" s="5">
        <v>700</v>
      </c>
      <c r="B701" s="5">
        <v>60</v>
      </c>
      <c r="C701" s="7">
        <v>45155</v>
      </c>
      <c r="D701" s="5">
        <v>31</v>
      </c>
      <c r="E701" s="4">
        <v>7</v>
      </c>
      <c r="F701" s="12">
        <f t="shared" si="10"/>
        <v>2578.5272999999997</v>
      </c>
      <c r="G701" t="str">
        <f>VLOOKUP(B701,product_tbl[],2,FALSE)</f>
        <v>Biography 60</v>
      </c>
      <c r="H701" t="str">
        <f>VLOOKUP(B701,product_tbl[],3,FALSE)</f>
        <v>Books</v>
      </c>
      <c r="I701">
        <v>1663.566</v>
      </c>
      <c r="J701">
        <f>VLOOKUP(B701,product_tbl[],5,FALSE)</f>
        <v>2772.61</v>
      </c>
      <c r="K701">
        <f>VLOOKUP(B701,review_tbl[],3,FALSE)</f>
        <v>2</v>
      </c>
      <c r="L701" s="11">
        <v>2897.1926951446126</v>
      </c>
      <c r="M701" s="11">
        <f>AVERAGEIF(Table1[product_id],Master_tbl!B701:B1702,Table1[competitor_price])</f>
        <v>3047.7533333333336</v>
      </c>
      <c r="N701" s="11">
        <f>IFERROR(Table5[[#This Row],[final_sale_price]]*Table5[[#This Row],[quantity_sold ]],0)</f>
        <v>79934.34629999999</v>
      </c>
      <c r="O701" s="11">
        <f>(Table5[[#This Row],[final_sale_price]]-Table5[[#This Row],[cost_price]])*Table5[[#This Row],[quantity_sold ]]</f>
        <v>28363.800299999992</v>
      </c>
      <c r="P701" s="11">
        <f>(Table5[final_sale_price]-Table5[[#This Row],[avg_comp_price]])</f>
        <v>-469.22603333333382</v>
      </c>
      <c r="Q701" s="15">
        <f>(Table5[[#This Row],[final_sale_price]]-Table5[[#This Row],[avg_comp_price]])/Table5[[#This Row],[avg_comp_price]]</f>
        <v>-0.15395800841275445</v>
      </c>
      <c r="R701" s="11">
        <f>Table5[[#This Row],[Profit]]/Table5[[#This Row],[Revenue]]</f>
        <v>0.35483870967741932</v>
      </c>
    </row>
    <row r="702" spans="1:18" x14ac:dyDescent="0.2">
      <c r="A702" s="4">
        <v>701</v>
      </c>
      <c r="B702" s="4">
        <v>110</v>
      </c>
      <c r="C702" s="6">
        <v>45793</v>
      </c>
      <c r="D702" s="4">
        <v>45</v>
      </c>
      <c r="E702" s="4">
        <v>6</v>
      </c>
      <c r="F702" s="12">
        <f t="shared" si="10"/>
        <v>1460.9574</v>
      </c>
      <c r="G702" t="str">
        <f>VLOOKUP(B702,product_tbl[],2,FALSE)</f>
        <v>Cookbook 110</v>
      </c>
      <c r="H702" t="str">
        <f>VLOOKUP(B702,product_tbl[],3,FALSE)</f>
        <v>Books</v>
      </c>
      <c r="I702">
        <v>932.52599999999995</v>
      </c>
      <c r="J702">
        <f>VLOOKUP(B702,product_tbl[],5,FALSE)</f>
        <v>1554.21</v>
      </c>
      <c r="K702">
        <f>VLOOKUP(B702,review_tbl[],3,FALSE)</f>
        <v>3</v>
      </c>
      <c r="L702" s="11">
        <v>1587.1679832560239</v>
      </c>
      <c r="M702" s="11">
        <f>AVERAGEIF(Table1[product_id],Master_tbl!B702:B1703,Table1[competitor_price])</f>
        <v>764.66499999999996</v>
      </c>
      <c r="N702" s="11">
        <f>IFERROR(Table5[[#This Row],[final_sale_price]]*Table5[[#This Row],[quantity_sold ]],0)</f>
        <v>65743.082999999999</v>
      </c>
      <c r="O702" s="11">
        <f>(Table5[[#This Row],[final_sale_price]]-Table5[[#This Row],[cost_price]])*Table5[[#This Row],[quantity_sold ]]</f>
        <v>23779.413000000004</v>
      </c>
      <c r="P702" s="11">
        <f>(Table5[final_sale_price]-Table5[[#This Row],[avg_comp_price]])</f>
        <v>696.29240000000004</v>
      </c>
      <c r="Q702" s="15">
        <f>(Table5[[#This Row],[final_sale_price]]-Table5[[#This Row],[avg_comp_price]])/Table5[[#This Row],[avg_comp_price]]</f>
        <v>0.91058489665409048</v>
      </c>
      <c r="R702" s="11">
        <f>Table5[[#This Row],[Profit]]/Table5[[#This Row],[Revenue]]</f>
        <v>0.36170212765957455</v>
      </c>
    </row>
    <row r="703" spans="1:18" x14ac:dyDescent="0.2">
      <c r="A703" s="5">
        <v>702</v>
      </c>
      <c r="B703" s="5">
        <v>25</v>
      </c>
      <c r="C703" s="7">
        <v>45135</v>
      </c>
      <c r="D703" s="5">
        <v>11</v>
      </c>
      <c r="E703" s="4">
        <v>4</v>
      </c>
      <c r="F703" s="12">
        <f t="shared" si="10"/>
        <v>545.44319999999993</v>
      </c>
      <c r="G703" t="str">
        <f>VLOOKUP(B703,product_tbl[],2,FALSE)</f>
        <v>Tennis Racket 25</v>
      </c>
      <c r="H703" t="str">
        <f>VLOOKUP(B703,product_tbl[],3,FALSE)</f>
        <v>Sports</v>
      </c>
      <c r="I703">
        <v>340.90199999999999</v>
      </c>
      <c r="J703">
        <f>VLOOKUP(B703,product_tbl[],5,FALSE)</f>
        <v>568.16999999999996</v>
      </c>
      <c r="K703">
        <f>VLOOKUP(B703,review_tbl[],3,FALSE)</f>
        <v>1</v>
      </c>
      <c r="L703" s="11">
        <v>648.13426192446252</v>
      </c>
      <c r="M703" s="11">
        <f>AVERAGEIF(Table1[product_id],Master_tbl!B703:B1704,Table1[competitor_price])</f>
        <v>2024.2300000000002</v>
      </c>
      <c r="N703" s="11">
        <f>IFERROR(Table5[[#This Row],[final_sale_price]]*Table5[[#This Row],[quantity_sold ]],0)</f>
        <v>5999.8751999999995</v>
      </c>
      <c r="O703" s="11">
        <f>(Table5[[#This Row],[final_sale_price]]-Table5[[#This Row],[cost_price]])*Table5[[#This Row],[quantity_sold ]]</f>
        <v>2249.9531999999995</v>
      </c>
      <c r="P703" s="11">
        <f>(Table5[final_sale_price]-Table5[[#This Row],[avg_comp_price]])</f>
        <v>-1478.7868000000003</v>
      </c>
      <c r="Q703" s="15">
        <f>(Table5[[#This Row],[final_sale_price]]-Table5[[#This Row],[avg_comp_price]])/Table5[[#This Row],[avg_comp_price]]</f>
        <v>-0.73054287309248467</v>
      </c>
      <c r="R703" s="11">
        <f>Table5[[#This Row],[Profit]]/Table5[[#This Row],[Revenue]]</f>
        <v>0.37499999999999994</v>
      </c>
    </row>
    <row r="704" spans="1:18" x14ac:dyDescent="0.2">
      <c r="A704" s="4">
        <v>703</v>
      </c>
      <c r="B704" s="4">
        <v>41</v>
      </c>
      <c r="C704" s="6">
        <v>45002</v>
      </c>
      <c r="D704" s="4">
        <v>47</v>
      </c>
      <c r="E704" s="4">
        <v>9</v>
      </c>
      <c r="F704" s="12">
        <f t="shared" si="10"/>
        <v>2804.1376999999998</v>
      </c>
      <c r="G704" t="str">
        <f>VLOOKUP(B704,product_tbl[],2,FALSE)</f>
        <v>Olive Oil 41</v>
      </c>
      <c r="H704" t="str">
        <f>VLOOKUP(B704,product_tbl[],3,FALSE)</f>
        <v>Grocery</v>
      </c>
      <c r="I704">
        <v>1848.8819999999998</v>
      </c>
      <c r="J704">
        <f>VLOOKUP(B704,product_tbl[],5,FALSE)</f>
        <v>3081.47</v>
      </c>
      <c r="K704">
        <f>VLOOKUP(B704,review_tbl[],3,FALSE)</f>
        <v>1</v>
      </c>
      <c r="L704" s="11">
        <v>3124.0274873762842</v>
      </c>
      <c r="M704" s="11">
        <f>AVERAGEIF(Table1[product_id],Master_tbl!B704:B1705,Table1[competitor_price])</f>
        <v>1589.1249999999998</v>
      </c>
      <c r="N704" s="11">
        <f>IFERROR(Table5[[#This Row],[final_sale_price]]*Table5[[#This Row],[quantity_sold ]],0)</f>
        <v>131794.47189999997</v>
      </c>
      <c r="O704" s="11">
        <f>(Table5[[#This Row],[final_sale_price]]-Table5[[#This Row],[cost_price]])*Table5[[#This Row],[quantity_sold ]]</f>
        <v>44897.017899999999</v>
      </c>
      <c r="P704" s="11">
        <f>(Table5[final_sale_price]-Table5[[#This Row],[avg_comp_price]])</f>
        <v>1215.0127</v>
      </c>
      <c r="Q704" s="15">
        <f>(Table5[[#This Row],[final_sale_price]]-Table5[[#This Row],[avg_comp_price]])/Table5[[#This Row],[avg_comp_price]]</f>
        <v>0.76457969008101956</v>
      </c>
      <c r="R704" s="11">
        <f>Table5[[#This Row],[Profit]]/Table5[[#This Row],[Revenue]]</f>
        <v>0.34065934065934073</v>
      </c>
    </row>
    <row r="705" spans="1:18" x14ac:dyDescent="0.2">
      <c r="A705" s="5">
        <v>704</v>
      </c>
      <c r="B705" s="5">
        <v>149</v>
      </c>
      <c r="C705" s="7">
        <v>45216</v>
      </c>
      <c r="D705" s="5">
        <v>43</v>
      </c>
      <c r="E705" s="4">
        <v>6</v>
      </c>
      <c r="F705" s="12">
        <f t="shared" si="10"/>
        <v>5760.1131999999998</v>
      </c>
      <c r="G705" t="str">
        <f>VLOOKUP(B705,product_tbl[],2,FALSE)</f>
        <v>Smartphone 149</v>
      </c>
      <c r="H705" t="str">
        <f>VLOOKUP(B705,product_tbl[],3,FALSE)</f>
        <v>Electronics</v>
      </c>
      <c r="I705">
        <v>3676.6679999999997</v>
      </c>
      <c r="J705">
        <f>VLOOKUP(B705,product_tbl[],5,FALSE)</f>
        <v>6127.78</v>
      </c>
      <c r="K705">
        <f>VLOOKUP(B705,review_tbl[],3,FALSE)</f>
        <v>4</v>
      </c>
      <c r="L705" s="11">
        <v>7404.4279553081215</v>
      </c>
      <c r="M705" s="11">
        <f>AVERAGEIF(Table1[product_id],Master_tbl!B705:B1706,Table1[competitor_price])</f>
        <v>3159.4639999999999</v>
      </c>
      <c r="N705" s="11">
        <f>IFERROR(Table5[[#This Row],[final_sale_price]]*Table5[[#This Row],[quantity_sold ]],0)</f>
        <v>247684.8676</v>
      </c>
      <c r="O705" s="11">
        <f>(Table5[[#This Row],[final_sale_price]]-Table5[[#This Row],[cost_price]])*Table5[[#This Row],[quantity_sold ]]</f>
        <v>89588.14360000001</v>
      </c>
      <c r="P705" s="11">
        <f>(Table5[final_sale_price]-Table5[[#This Row],[avg_comp_price]])</f>
        <v>2600.6491999999998</v>
      </c>
      <c r="Q705" s="15">
        <f>(Table5[[#This Row],[final_sale_price]]-Table5[[#This Row],[avg_comp_price]])/Table5[[#This Row],[avg_comp_price]]</f>
        <v>0.82312987266194515</v>
      </c>
      <c r="R705" s="11">
        <f>Table5[[#This Row],[Profit]]/Table5[[#This Row],[Revenue]]</f>
        <v>0.36170212765957449</v>
      </c>
    </row>
    <row r="706" spans="1:18" x14ac:dyDescent="0.2">
      <c r="A706" s="4">
        <v>705</v>
      </c>
      <c r="B706" s="4">
        <v>56</v>
      </c>
      <c r="C706" s="6">
        <v>45699</v>
      </c>
      <c r="D706" s="4">
        <v>27</v>
      </c>
      <c r="E706" s="4">
        <v>7</v>
      </c>
      <c r="F706" s="12">
        <f t="shared" ref="F706:F769" si="11">J706*(1-E706/100)</f>
        <v>7423.0739999999996</v>
      </c>
      <c r="G706" t="str">
        <f>VLOOKUP(B706,product_tbl[],2,FALSE)</f>
        <v>Smartwatch 56</v>
      </c>
      <c r="H706" t="str">
        <f>VLOOKUP(B706,product_tbl[],3,FALSE)</f>
        <v>Electronics</v>
      </c>
      <c r="I706">
        <v>4789.08</v>
      </c>
      <c r="J706">
        <f>VLOOKUP(B706,product_tbl[],5,FALSE)</f>
        <v>7981.8</v>
      </c>
      <c r="K706">
        <f>VLOOKUP(B706,review_tbl[],3,FALSE)</f>
        <v>5</v>
      </c>
      <c r="L706" s="11">
        <v>10370.746557352233</v>
      </c>
      <c r="M706" s="11">
        <f>AVERAGEIF(Table1[product_id],Master_tbl!B706:B1707,Table1[competitor_price])</f>
        <v>3458.9274999999998</v>
      </c>
      <c r="N706" s="11">
        <f>IFERROR(Table5[[#This Row],[final_sale_price]]*Table5[[#This Row],[quantity_sold ]],0)</f>
        <v>200422.99799999999</v>
      </c>
      <c r="O706" s="11">
        <f>(Table5[[#This Row],[final_sale_price]]-Table5[[#This Row],[cost_price]])*Table5[[#This Row],[quantity_sold ]]</f>
        <v>71117.837999999989</v>
      </c>
      <c r="P706" s="11">
        <f>(Table5[final_sale_price]-Table5[[#This Row],[avg_comp_price]])</f>
        <v>3964.1464999999998</v>
      </c>
      <c r="Q706" s="15">
        <f>(Table5[[#This Row],[final_sale_price]]-Table5[[#This Row],[avg_comp_price]])/Table5[[#This Row],[avg_comp_price]]</f>
        <v>1.146062327123075</v>
      </c>
      <c r="R706" s="11">
        <f>Table5[[#This Row],[Profit]]/Table5[[#This Row],[Revenue]]</f>
        <v>0.35483870967741932</v>
      </c>
    </row>
    <row r="707" spans="1:18" x14ac:dyDescent="0.2">
      <c r="A707" s="5">
        <v>706</v>
      </c>
      <c r="B707" s="5">
        <v>22</v>
      </c>
      <c r="C707" s="7">
        <v>45923</v>
      </c>
      <c r="D707" s="5">
        <v>38</v>
      </c>
      <c r="E707" s="4">
        <v>8</v>
      </c>
      <c r="F707" s="12">
        <f t="shared" si="11"/>
        <v>1503.74</v>
      </c>
      <c r="G707" t="str">
        <f>VLOOKUP(B707,product_tbl[],2,FALSE)</f>
        <v>Dress 22</v>
      </c>
      <c r="H707" t="str">
        <f>VLOOKUP(B707,product_tbl[],3,FALSE)</f>
        <v>Fashion</v>
      </c>
      <c r="I707">
        <v>980.69999999999993</v>
      </c>
      <c r="J707">
        <f>VLOOKUP(B707,product_tbl[],5,FALSE)</f>
        <v>1634.5</v>
      </c>
      <c r="K707">
        <f>VLOOKUP(B707,review_tbl[],3,FALSE)</f>
        <v>1</v>
      </c>
      <c r="L707" s="11">
        <v>1846.4561093255379</v>
      </c>
      <c r="M707" s="11">
        <f>AVERAGEIF(Table1[product_id],Master_tbl!B707:B1708,Table1[competitor_price])</f>
        <v>3187.4450000000002</v>
      </c>
      <c r="N707" s="11">
        <f>IFERROR(Table5[[#This Row],[final_sale_price]]*Table5[[#This Row],[quantity_sold ]],0)</f>
        <v>57142.12</v>
      </c>
      <c r="O707" s="11">
        <f>(Table5[[#This Row],[final_sale_price]]-Table5[[#This Row],[cost_price]])*Table5[[#This Row],[quantity_sold ]]</f>
        <v>19875.520000000004</v>
      </c>
      <c r="P707" s="11">
        <f>(Table5[final_sale_price]-Table5[[#This Row],[avg_comp_price]])</f>
        <v>-1683.7050000000002</v>
      </c>
      <c r="Q707" s="15">
        <f>(Table5[[#This Row],[final_sale_price]]-Table5[[#This Row],[avg_comp_price]])/Table5[[#This Row],[avg_comp_price]]</f>
        <v>-0.52823029103247277</v>
      </c>
      <c r="R707" s="11">
        <f>Table5[[#This Row],[Profit]]/Table5[[#This Row],[Revenue]]</f>
        <v>0.34782608695652178</v>
      </c>
    </row>
    <row r="708" spans="1:18" x14ac:dyDescent="0.2">
      <c r="A708" s="4">
        <v>707</v>
      </c>
      <c r="B708" s="4">
        <v>7</v>
      </c>
      <c r="C708" s="6">
        <v>45601</v>
      </c>
      <c r="D708" s="4">
        <v>44</v>
      </c>
      <c r="E708" s="4">
        <v>7</v>
      </c>
      <c r="F708" s="12">
        <f t="shared" si="11"/>
        <v>7779.2639999999992</v>
      </c>
      <c r="G708" t="str">
        <f>VLOOKUP(B708,product_tbl[],2,FALSE)</f>
        <v>Handbag 7</v>
      </c>
      <c r="H708" t="str">
        <f>VLOOKUP(B708,product_tbl[],3,FALSE)</f>
        <v>Fashion</v>
      </c>
      <c r="I708">
        <v>5018.8799999999992</v>
      </c>
      <c r="J708">
        <f>VLOOKUP(B708,product_tbl[],5,FALSE)</f>
        <v>8364.7999999999993</v>
      </c>
      <c r="K708">
        <f>VLOOKUP(B708,review_tbl[],3,FALSE)</f>
        <v>1</v>
      </c>
      <c r="L708" s="11">
        <v>8526.5294010857797</v>
      </c>
      <c r="M708" s="11">
        <f>AVERAGEIF(Table1[product_id],Master_tbl!B708:B1709,Table1[competitor_price])</f>
        <v>1679.8333333333333</v>
      </c>
      <c r="N708" s="11">
        <f>IFERROR(Table5[[#This Row],[final_sale_price]]*Table5[[#This Row],[quantity_sold ]],0)</f>
        <v>342287.61599999998</v>
      </c>
      <c r="O708" s="11">
        <f>(Table5[[#This Row],[final_sale_price]]-Table5[[#This Row],[cost_price]])*Table5[[#This Row],[quantity_sold ]]</f>
        <v>121456.89600000001</v>
      </c>
      <c r="P708" s="11">
        <f>(Table5[final_sale_price]-Table5[[#This Row],[avg_comp_price]])</f>
        <v>6099.4306666666662</v>
      </c>
      <c r="Q708" s="15">
        <f>(Table5[[#This Row],[final_sale_price]]-Table5[[#This Row],[avg_comp_price]])/Table5[[#This Row],[avg_comp_price]]</f>
        <v>3.630973707709098</v>
      </c>
      <c r="R708" s="11">
        <f>Table5[[#This Row],[Profit]]/Table5[[#This Row],[Revenue]]</f>
        <v>0.35483870967741937</v>
      </c>
    </row>
    <row r="709" spans="1:18" x14ac:dyDescent="0.2">
      <c r="A709" s="5">
        <v>708</v>
      </c>
      <c r="B709" s="5">
        <v>110</v>
      </c>
      <c r="C709" s="7">
        <v>45335</v>
      </c>
      <c r="D709" s="5">
        <v>28</v>
      </c>
      <c r="E709" s="4">
        <v>9</v>
      </c>
      <c r="F709" s="12">
        <f t="shared" si="11"/>
        <v>1414.3311000000001</v>
      </c>
      <c r="G709" t="str">
        <f>VLOOKUP(B709,product_tbl[],2,FALSE)</f>
        <v>Cookbook 110</v>
      </c>
      <c r="H709" t="str">
        <f>VLOOKUP(B709,product_tbl[],3,FALSE)</f>
        <v>Books</v>
      </c>
      <c r="I709">
        <v>932.52599999999995</v>
      </c>
      <c r="J709">
        <f>VLOOKUP(B709,product_tbl[],5,FALSE)</f>
        <v>1554.21</v>
      </c>
      <c r="K709">
        <f>VLOOKUP(B709,review_tbl[],3,FALSE)</f>
        <v>3</v>
      </c>
      <c r="L709" s="11">
        <v>1980.4734810980497</v>
      </c>
      <c r="M709" s="11">
        <f>AVERAGEIF(Table1[product_id],Master_tbl!B709:B1710,Table1[competitor_price])</f>
        <v>764.66499999999996</v>
      </c>
      <c r="N709" s="11">
        <f>IFERROR(Table5[[#This Row],[final_sale_price]]*Table5[[#This Row],[quantity_sold ]],0)</f>
        <v>39601.270800000006</v>
      </c>
      <c r="O709" s="11">
        <f>(Table5[[#This Row],[final_sale_price]]-Table5[[#This Row],[cost_price]])*Table5[[#This Row],[quantity_sold ]]</f>
        <v>13490.542800000005</v>
      </c>
      <c r="P709" s="11">
        <f>(Table5[final_sale_price]-Table5[[#This Row],[avg_comp_price]])</f>
        <v>649.66610000000014</v>
      </c>
      <c r="Q709" s="15">
        <f>(Table5[[#This Row],[final_sale_price]]-Table5[[#This Row],[avg_comp_price]])/Table5[[#This Row],[avg_comp_price]]</f>
        <v>0.84960878293108766</v>
      </c>
      <c r="R709" s="11">
        <f>Table5[[#This Row],[Profit]]/Table5[[#This Row],[Revenue]]</f>
        <v>0.34065934065934073</v>
      </c>
    </row>
    <row r="710" spans="1:18" x14ac:dyDescent="0.2">
      <c r="A710" s="4">
        <v>709</v>
      </c>
      <c r="B710" s="4">
        <v>16</v>
      </c>
      <c r="C710" s="6">
        <v>45576</v>
      </c>
      <c r="D710" s="4">
        <v>24</v>
      </c>
      <c r="E710" s="4">
        <v>10</v>
      </c>
      <c r="F710" s="12">
        <f t="shared" si="11"/>
        <v>6076.62</v>
      </c>
      <c r="G710" t="str">
        <f>VLOOKUP(B710,product_tbl[],2,FALSE)</f>
        <v>Cookbook 16</v>
      </c>
      <c r="H710" t="str">
        <f>VLOOKUP(B710,product_tbl[],3,FALSE)</f>
        <v>Books</v>
      </c>
      <c r="I710">
        <v>4051.08</v>
      </c>
      <c r="J710">
        <f>VLOOKUP(B710,product_tbl[],5,FALSE)</f>
        <v>6751.8</v>
      </c>
      <c r="K710">
        <f>VLOOKUP(B710,review_tbl[],3,FALSE)</f>
        <v>4</v>
      </c>
      <c r="L710" s="11">
        <v>8749.059192021281</v>
      </c>
      <c r="M710" s="11">
        <f>AVERAGEIF(Table1[product_id],Master_tbl!B710:B1711,Table1[competitor_price])</f>
        <v>6827.7939999999999</v>
      </c>
      <c r="N710" s="11">
        <f>IFERROR(Table5[[#This Row],[final_sale_price]]*Table5[[#This Row],[quantity_sold ]],0)</f>
        <v>145838.88</v>
      </c>
      <c r="O710" s="11">
        <f>(Table5[[#This Row],[final_sale_price]]-Table5[[#This Row],[cost_price]])*Table5[[#This Row],[quantity_sold ]]</f>
        <v>48612.959999999999</v>
      </c>
      <c r="P710" s="11">
        <f>(Table5[final_sale_price]-Table5[[#This Row],[avg_comp_price]])</f>
        <v>-751.17399999999998</v>
      </c>
      <c r="Q710" s="15">
        <f>(Table5[[#This Row],[final_sale_price]]-Table5[[#This Row],[avg_comp_price]])/Table5[[#This Row],[avg_comp_price]]</f>
        <v>-0.11001708604565398</v>
      </c>
      <c r="R710" s="11">
        <f>Table5[[#This Row],[Profit]]/Table5[[#This Row],[Revenue]]</f>
        <v>0.33333333333333331</v>
      </c>
    </row>
    <row r="711" spans="1:18" x14ac:dyDescent="0.2">
      <c r="A711" s="5">
        <v>710</v>
      </c>
      <c r="B711" s="5">
        <v>23</v>
      </c>
      <c r="C711" s="7">
        <v>45506</v>
      </c>
      <c r="D711" s="5">
        <v>3</v>
      </c>
      <c r="E711" s="4">
        <v>3</v>
      </c>
      <c r="F711" s="12">
        <f t="shared" si="11"/>
        <v>3844.498</v>
      </c>
      <c r="G711" t="str">
        <f>VLOOKUP(B711,product_tbl[],2,FALSE)</f>
        <v>Bluetooth Speaker 23</v>
      </c>
      <c r="H711" t="str">
        <f>VLOOKUP(B711,product_tbl[],3,FALSE)</f>
        <v>Electronics</v>
      </c>
      <c r="I711">
        <v>2378.04</v>
      </c>
      <c r="J711">
        <f>VLOOKUP(B711,product_tbl[],5,FALSE)</f>
        <v>3963.4</v>
      </c>
      <c r="K711">
        <f>VLOOKUP(B711,review_tbl[],3,FALSE)</f>
        <v>5</v>
      </c>
      <c r="L711" s="11">
        <v>5121.912519345271</v>
      </c>
      <c r="M711" s="11">
        <f>AVERAGEIF(Table1[product_id],Master_tbl!B711:B1712,Table1[competitor_price])</f>
        <v>5343.3279999999995</v>
      </c>
      <c r="N711" s="11">
        <f>IFERROR(Table5[[#This Row],[final_sale_price]]*Table5[[#This Row],[quantity_sold ]],0)</f>
        <v>11533.494000000001</v>
      </c>
      <c r="O711" s="11">
        <f>(Table5[[#This Row],[final_sale_price]]-Table5[[#This Row],[cost_price]])*Table5[[#This Row],[quantity_sold ]]</f>
        <v>4399.3739999999998</v>
      </c>
      <c r="P711" s="11">
        <f>(Table5[final_sale_price]-Table5[[#This Row],[avg_comp_price]])</f>
        <v>-1498.8299999999995</v>
      </c>
      <c r="Q711" s="15">
        <f>(Table5[[#This Row],[final_sale_price]]-Table5[[#This Row],[avg_comp_price]])/Table5[[#This Row],[avg_comp_price]]</f>
        <v>-0.28050495870738229</v>
      </c>
      <c r="R711" s="11">
        <f>Table5[[#This Row],[Profit]]/Table5[[#This Row],[Revenue]]</f>
        <v>0.38144329896907214</v>
      </c>
    </row>
    <row r="712" spans="1:18" x14ac:dyDescent="0.2">
      <c r="A712" s="4">
        <v>711</v>
      </c>
      <c r="B712" s="4">
        <v>26</v>
      </c>
      <c r="C712" s="6">
        <v>45328</v>
      </c>
      <c r="D712" s="4">
        <v>41</v>
      </c>
      <c r="E712" s="4">
        <v>10</v>
      </c>
      <c r="F712" s="12">
        <f t="shared" si="11"/>
        <v>5073.2280000000001</v>
      </c>
      <c r="G712" t="str">
        <f>VLOOKUP(B712,product_tbl[],2,FALSE)</f>
        <v>Rice Pack 26</v>
      </c>
      <c r="H712" t="str">
        <f>VLOOKUP(B712,product_tbl[],3,FALSE)</f>
        <v>Grocery</v>
      </c>
      <c r="I712">
        <v>3382.152</v>
      </c>
      <c r="J712">
        <f>VLOOKUP(B712,product_tbl[],5,FALSE)</f>
        <v>5636.92</v>
      </c>
      <c r="K712">
        <f>VLOOKUP(B712,review_tbl[],3,FALSE)</f>
        <v>4</v>
      </c>
      <c r="L712" s="11">
        <v>5684.0561157751008</v>
      </c>
      <c r="M712" s="11">
        <f>AVERAGEIF(Table1[product_id],Master_tbl!B712:B1713,Table1[competitor_price])</f>
        <v>3474.7766666666666</v>
      </c>
      <c r="N712" s="11">
        <f>IFERROR(Table5[[#This Row],[final_sale_price]]*Table5[[#This Row],[quantity_sold ]],0)</f>
        <v>208002.348</v>
      </c>
      <c r="O712" s="11">
        <f>(Table5[[#This Row],[final_sale_price]]-Table5[[#This Row],[cost_price]])*Table5[[#This Row],[quantity_sold ]]</f>
        <v>69334.115999999995</v>
      </c>
      <c r="P712" s="11">
        <f>(Table5[final_sale_price]-Table5[[#This Row],[avg_comp_price]])</f>
        <v>1598.4513333333334</v>
      </c>
      <c r="Q712" s="15">
        <f>(Table5[[#This Row],[final_sale_price]]-Table5[[#This Row],[avg_comp_price]])/Table5[[#This Row],[avg_comp_price]]</f>
        <v>0.46001555975300096</v>
      </c>
      <c r="R712" s="11">
        <f>Table5[[#This Row],[Profit]]/Table5[[#This Row],[Revenue]]</f>
        <v>0.33333333333333331</v>
      </c>
    </row>
    <row r="713" spans="1:18" x14ac:dyDescent="0.2">
      <c r="A713" s="5">
        <v>712</v>
      </c>
      <c r="B713" s="5">
        <v>59</v>
      </c>
      <c r="C713" s="7">
        <v>45816</v>
      </c>
      <c r="D713" s="5">
        <v>15</v>
      </c>
      <c r="E713" s="4">
        <v>8</v>
      </c>
      <c r="F713" s="12">
        <f t="shared" si="11"/>
        <v>3818.4692000000005</v>
      </c>
      <c r="G713" t="str">
        <f>VLOOKUP(B713,product_tbl[],2,FALSE)</f>
        <v>Smartwatch 59</v>
      </c>
      <c r="H713" t="str">
        <f>VLOOKUP(B713,product_tbl[],3,FALSE)</f>
        <v>Electronics</v>
      </c>
      <c r="I713">
        <v>2490.306</v>
      </c>
      <c r="J713">
        <f>VLOOKUP(B713,product_tbl[],5,FALSE)</f>
        <v>4150.51</v>
      </c>
      <c r="K713">
        <f>VLOOKUP(B713,review_tbl[],3,FALSE)</f>
        <v>3</v>
      </c>
      <c r="L713" s="11">
        <v>4415.6377097437235</v>
      </c>
      <c r="M713" s="11">
        <f>AVERAGEIF(Table1[product_id],Master_tbl!B713:B1714,Table1[competitor_price])</f>
        <v>6105.9674999999997</v>
      </c>
      <c r="N713" s="11">
        <f>IFERROR(Table5[[#This Row],[final_sale_price]]*Table5[[#This Row],[quantity_sold ]],0)</f>
        <v>57277.038000000008</v>
      </c>
      <c r="O713" s="11">
        <f>(Table5[[#This Row],[final_sale_price]]-Table5[[#This Row],[cost_price]])*Table5[[#This Row],[quantity_sold ]]</f>
        <v>19922.448000000008</v>
      </c>
      <c r="P713" s="11">
        <f>(Table5[final_sale_price]-Table5[[#This Row],[avg_comp_price]])</f>
        <v>-2287.4982999999993</v>
      </c>
      <c r="Q713" s="15">
        <f>(Table5[[#This Row],[final_sale_price]]-Table5[[#This Row],[avg_comp_price]])/Table5[[#This Row],[avg_comp_price]]</f>
        <v>-0.374633225610847</v>
      </c>
      <c r="R713" s="11">
        <f>Table5[[#This Row],[Profit]]/Table5[[#This Row],[Revenue]]</f>
        <v>0.34782608695652184</v>
      </c>
    </row>
    <row r="714" spans="1:18" x14ac:dyDescent="0.2">
      <c r="A714" s="4">
        <v>713</v>
      </c>
      <c r="B714" s="4">
        <v>150</v>
      </c>
      <c r="C714" s="6">
        <v>45413</v>
      </c>
      <c r="D714" s="4">
        <v>49</v>
      </c>
      <c r="E714" s="4">
        <v>7</v>
      </c>
      <c r="F714" s="12">
        <f t="shared" si="11"/>
        <v>2129.4395999999997</v>
      </c>
      <c r="G714" t="str">
        <f>VLOOKUP(B714,product_tbl[],2,FALSE)</f>
        <v>Puzzle Set 150</v>
      </c>
      <c r="H714" t="str">
        <f>VLOOKUP(B714,product_tbl[],3,FALSE)</f>
        <v>Toys</v>
      </c>
      <c r="I714">
        <v>1373.8319999999999</v>
      </c>
      <c r="J714">
        <f>VLOOKUP(B714,product_tbl[],5,FALSE)</f>
        <v>2289.7199999999998</v>
      </c>
      <c r="K714">
        <f>VLOOKUP(B714,review_tbl[],3,FALSE)</f>
        <v>3</v>
      </c>
      <c r="L714" s="11">
        <v>2499.7113925790641</v>
      </c>
      <c r="M714" s="11">
        <f>AVERAGEIF(Table1[product_id],Master_tbl!B714:B1715,Table1[competitor_price])</f>
        <v>1810.3166666666666</v>
      </c>
      <c r="N714" s="11">
        <f>IFERROR(Table5[[#This Row],[final_sale_price]]*Table5[[#This Row],[quantity_sold ]],0)</f>
        <v>104342.54039999998</v>
      </c>
      <c r="O714" s="11">
        <f>(Table5[[#This Row],[final_sale_price]]-Table5[[#This Row],[cost_price]])*Table5[[#This Row],[quantity_sold ]]</f>
        <v>37024.772399999994</v>
      </c>
      <c r="P714" s="11">
        <f>(Table5[final_sale_price]-Table5[[#This Row],[avg_comp_price]])</f>
        <v>319.12293333333309</v>
      </c>
      <c r="Q714" s="15">
        <f>(Table5[[#This Row],[final_sale_price]]-Table5[[#This Row],[avg_comp_price]])/Table5[[#This Row],[avg_comp_price]]</f>
        <v>0.17628017197727824</v>
      </c>
      <c r="R714" s="11">
        <f>Table5[[#This Row],[Profit]]/Table5[[#This Row],[Revenue]]</f>
        <v>0.35483870967741937</v>
      </c>
    </row>
    <row r="715" spans="1:18" x14ac:dyDescent="0.2">
      <c r="A715" s="5">
        <v>714</v>
      </c>
      <c r="B715" s="5">
        <v>95</v>
      </c>
      <c r="C715" s="7">
        <v>45176</v>
      </c>
      <c r="D715" s="5">
        <v>9</v>
      </c>
      <c r="E715" s="4">
        <v>8</v>
      </c>
      <c r="F715" s="12">
        <f t="shared" si="11"/>
        <v>6411.1764000000003</v>
      </c>
      <c r="G715" t="str">
        <f>VLOOKUP(B715,product_tbl[],2,FALSE)</f>
        <v>Coffee Beans 95</v>
      </c>
      <c r="H715" t="str">
        <f>VLOOKUP(B715,product_tbl[],3,FALSE)</f>
        <v>Grocery</v>
      </c>
      <c r="I715">
        <v>4181.2020000000002</v>
      </c>
      <c r="J715">
        <f>VLOOKUP(B715,product_tbl[],5,FALSE)</f>
        <v>6968.67</v>
      </c>
      <c r="K715">
        <f>VLOOKUP(B715,review_tbl[],3,FALSE)</f>
        <v>2</v>
      </c>
      <c r="L715" s="11">
        <v>7085.7663270964213</v>
      </c>
      <c r="M715" s="11">
        <f>AVERAGEIF(Table1[product_id],Master_tbl!B715:B1716,Table1[competitor_price])</f>
        <v>2797.7239999999997</v>
      </c>
      <c r="N715" s="11">
        <f>IFERROR(Table5[[#This Row],[final_sale_price]]*Table5[[#This Row],[quantity_sold ]],0)</f>
        <v>57700.587599999999</v>
      </c>
      <c r="O715" s="11">
        <f>(Table5[[#This Row],[final_sale_price]]-Table5[[#This Row],[cost_price]])*Table5[[#This Row],[quantity_sold ]]</f>
        <v>20069.7696</v>
      </c>
      <c r="P715" s="11">
        <f>(Table5[final_sale_price]-Table5[[#This Row],[avg_comp_price]])</f>
        <v>3613.4524000000006</v>
      </c>
      <c r="Q715" s="15">
        <f>(Table5[[#This Row],[final_sale_price]]-Table5[[#This Row],[avg_comp_price]])/Table5[[#This Row],[avg_comp_price]]</f>
        <v>1.2915685750274155</v>
      </c>
      <c r="R715" s="11">
        <f>Table5[[#This Row],[Profit]]/Table5[[#This Row],[Revenue]]</f>
        <v>0.34782608695652173</v>
      </c>
    </row>
    <row r="716" spans="1:18" x14ac:dyDescent="0.2">
      <c r="A716" s="4">
        <v>715</v>
      </c>
      <c r="B716" s="4">
        <v>69</v>
      </c>
      <c r="C716" s="6">
        <v>45768</v>
      </c>
      <c r="D716" s="4">
        <v>21</v>
      </c>
      <c r="E716" s="4">
        <v>3</v>
      </c>
      <c r="F716" s="12">
        <f t="shared" si="11"/>
        <v>7234.9389999999994</v>
      </c>
      <c r="G716" t="str">
        <f>VLOOKUP(B716,product_tbl[],2,FALSE)</f>
        <v>Doll 69</v>
      </c>
      <c r="H716" t="str">
        <f>VLOOKUP(B716,product_tbl[],3,FALSE)</f>
        <v>Toys</v>
      </c>
      <c r="I716">
        <v>4475.2199999999993</v>
      </c>
      <c r="J716">
        <f>VLOOKUP(B716,product_tbl[],5,FALSE)</f>
        <v>7458.7</v>
      </c>
      <c r="K716">
        <f>VLOOKUP(B716,review_tbl[],3,FALSE)</f>
        <v>3</v>
      </c>
      <c r="L716" s="11">
        <v>7565.4758992973429</v>
      </c>
      <c r="M716" s="11">
        <f>AVERAGEIF(Table1[product_id],Master_tbl!B716:B1717,Table1[competitor_price])</f>
        <v>809.57599999999991</v>
      </c>
      <c r="N716" s="11">
        <f>IFERROR(Table5[[#This Row],[final_sale_price]]*Table5[[#This Row],[quantity_sold ]],0)</f>
        <v>151933.71899999998</v>
      </c>
      <c r="O716" s="11">
        <f>(Table5[[#This Row],[final_sale_price]]-Table5[[#This Row],[cost_price]])*Table5[[#This Row],[quantity_sold ]]</f>
        <v>57954.099000000002</v>
      </c>
      <c r="P716" s="11">
        <f>(Table5[final_sale_price]-Table5[[#This Row],[avg_comp_price]])</f>
        <v>6425.3629999999994</v>
      </c>
      <c r="Q716" s="15">
        <f>(Table5[[#This Row],[final_sale_price]]-Table5[[#This Row],[avg_comp_price]])/Table5[[#This Row],[avg_comp_price]]</f>
        <v>7.9367014338369719</v>
      </c>
      <c r="R716" s="11">
        <f>Table5[[#This Row],[Profit]]/Table5[[#This Row],[Revenue]]</f>
        <v>0.3814432989690722</v>
      </c>
    </row>
    <row r="717" spans="1:18" x14ac:dyDescent="0.2">
      <c r="A717" s="5">
        <v>716</v>
      </c>
      <c r="B717" s="5">
        <v>102</v>
      </c>
      <c r="C717" s="7">
        <v>45746</v>
      </c>
      <c r="D717" s="5">
        <v>11</v>
      </c>
      <c r="E717" s="4">
        <v>4</v>
      </c>
      <c r="F717" s="12">
        <f t="shared" si="11"/>
        <v>3978.1823999999997</v>
      </c>
      <c r="G717" t="str">
        <f>VLOOKUP(B717,product_tbl[],2,FALSE)</f>
        <v>Action Figure 102</v>
      </c>
      <c r="H717" t="str">
        <f>VLOOKUP(B717,product_tbl[],3,FALSE)</f>
        <v>Toys</v>
      </c>
      <c r="I717">
        <v>2486.3639999999996</v>
      </c>
      <c r="J717">
        <f>VLOOKUP(B717,product_tbl[],5,FALSE)</f>
        <v>4143.9399999999996</v>
      </c>
      <c r="K717">
        <f>VLOOKUP(B717,review_tbl[],3,FALSE)</f>
        <v>4</v>
      </c>
      <c r="L717" s="11">
        <v>5109.1793585928999</v>
      </c>
      <c r="M717" s="11">
        <f>AVERAGEIF(Table1[product_id],Master_tbl!B717:B1718,Table1[competitor_price])</f>
        <v>2740.84</v>
      </c>
      <c r="N717" s="11">
        <f>IFERROR(Table5[[#This Row],[final_sale_price]]*Table5[[#This Row],[quantity_sold ]],0)</f>
        <v>43760.006399999998</v>
      </c>
      <c r="O717" s="11">
        <f>(Table5[[#This Row],[final_sale_price]]-Table5[[#This Row],[cost_price]])*Table5[[#This Row],[quantity_sold ]]</f>
        <v>16410.002400000001</v>
      </c>
      <c r="P717" s="11">
        <f>(Table5[final_sale_price]-Table5[[#This Row],[avg_comp_price]])</f>
        <v>1237.3423999999995</v>
      </c>
      <c r="Q717" s="15">
        <f>(Table5[[#This Row],[final_sale_price]]-Table5[[#This Row],[avg_comp_price]])/Table5[[#This Row],[avg_comp_price]]</f>
        <v>0.45144641788648715</v>
      </c>
      <c r="R717" s="11">
        <f>Table5[[#This Row],[Profit]]/Table5[[#This Row],[Revenue]]</f>
        <v>0.37500000000000006</v>
      </c>
    </row>
    <row r="718" spans="1:18" x14ac:dyDescent="0.2">
      <c r="A718" s="4">
        <v>717</v>
      </c>
      <c r="B718" s="4">
        <v>112</v>
      </c>
      <c r="C718" s="6">
        <v>45647</v>
      </c>
      <c r="D718" s="4">
        <v>20</v>
      </c>
      <c r="E718" s="4">
        <v>4</v>
      </c>
      <c r="F718" s="12">
        <f t="shared" si="11"/>
        <v>2625.0335999999998</v>
      </c>
      <c r="G718" t="str">
        <f>VLOOKUP(B718,product_tbl[],2,FALSE)</f>
        <v>Lipstick 112</v>
      </c>
      <c r="H718" t="str">
        <f>VLOOKUP(B718,product_tbl[],3,FALSE)</f>
        <v>Beauty</v>
      </c>
      <c r="I718">
        <v>1640.646</v>
      </c>
      <c r="J718">
        <f>VLOOKUP(B718,product_tbl[],5,FALSE)</f>
        <v>2734.41</v>
      </c>
      <c r="K718">
        <f>VLOOKUP(B718,review_tbl[],3,FALSE)</f>
        <v>1</v>
      </c>
      <c r="L718" s="11">
        <v>3158.9754451682425</v>
      </c>
      <c r="M718" s="11">
        <f>AVERAGEIF(Table1[product_id],Master_tbl!B718:B1719,Table1[competitor_price])</f>
        <v>7409.5025000000005</v>
      </c>
      <c r="N718" s="11">
        <f>IFERROR(Table5[[#This Row],[final_sale_price]]*Table5[[#This Row],[quantity_sold ]],0)</f>
        <v>52500.671999999991</v>
      </c>
      <c r="O718" s="11">
        <f>(Table5[[#This Row],[final_sale_price]]-Table5[[#This Row],[cost_price]])*Table5[[#This Row],[quantity_sold ]]</f>
        <v>19687.751999999997</v>
      </c>
      <c r="P718" s="11">
        <f>(Table5[final_sale_price]-Table5[[#This Row],[avg_comp_price]])</f>
        <v>-4784.4689000000008</v>
      </c>
      <c r="Q718" s="15">
        <f>(Table5[[#This Row],[final_sale_price]]-Table5[[#This Row],[avg_comp_price]])/Table5[[#This Row],[avg_comp_price]]</f>
        <v>-0.64572066748071144</v>
      </c>
      <c r="R718" s="11">
        <f>Table5[[#This Row],[Profit]]/Table5[[#This Row],[Revenue]]</f>
        <v>0.375</v>
      </c>
    </row>
    <row r="719" spans="1:18" x14ac:dyDescent="0.2">
      <c r="A719" s="5">
        <v>718</v>
      </c>
      <c r="B719" s="5">
        <v>73</v>
      </c>
      <c r="C719" s="7">
        <v>45301</v>
      </c>
      <c r="D719" s="5">
        <v>16</v>
      </c>
      <c r="E719" s="4">
        <v>4</v>
      </c>
      <c r="F719" s="12">
        <f t="shared" si="11"/>
        <v>4354.1664000000001</v>
      </c>
      <c r="G719" t="str">
        <f>VLOOKUP(B719,product_tbl[],2,FALSE)</f>
        <v>Action Figure 73</v>
      </c>
      <c r="H719" t="str">
        <f>VLOOKUP(B719,product_tbl[],3,FALSE)</f>
        <v>Toys</v>
      </c>
      <c r="I719">
        <v>2721.3539999999998</v>
      </c>
      <c r="J719">
        <f>VLOOKUP(B719,product_tbl[],5,FALSE)</f>
        <v>4535.59</v>
      </c>
      <c r="K719">
        <f>VLOOKUP(B719,review_tbl[],3,FALSE)</f>
        <v>1</v>
      </c>
      <c r="L719" s="11">
        <v>5696.4923671298629</v>
      </c>
      <c r="M719" s="11">
        <f>AVERAGEIF(Table1[product_id],Master_tbl!B719:B1720,Table1[competitor_price])</f>
        <v>5380.9516666666668</v>
      </c>
      <c r="N719" s="11">
        <f>IFERROR(Table5[[#This Row],[final_sale_price]]*Table5[[#This Row],[quantity_sold ]],0)</f>
        <v>69666.662400000001</v>
      </c>
      <c r="O719" s="11">
        <f>(Table5[[#This Row],[final_sale_price]]-Table5[[#This Row],[cost_price]])*Table5[[#This Row],[quantity_sold ]]</f>
        <v>26124.998400000004</v>
      </c>
      <c r="P719" s="11">
        <f>(Table5[final_sale_price]-Table5[[#This Row],[avg_comp_price]])</f>
        <v>-1026.7852666666668</v>
      </c>
      <c r="Q719" s="15">
        <f>(Table5[[#This Row],[final_sale_price]]-Table5[[#This Row],[avg_comp_price]])/Table5[[#This Row],[avg_comp_price]]</f>
        <v>-0.19081852621484863</v>
      </c>
      <c r="R719" s="11">
        <f>Table5[[#This Row],[Profit]]/Table5[[#This Row],[Revenue]]</f>
        <v>0.37500000000000006</v>
      </c>
    </row>
    <row r="720" spans="1:18" x14ac:dyDescent="0.2">
      <c r="A720" s="4">
        <v>719</v>
      </c>
      <c r="B720" s="4">
        <v>89</v>
      </c>
      <c r="C720" s="6">
        <v>45615</v>
      </c>
      <c r="D720" s="4">
        <v>10</v>
      </c>
      <c r="E720" s="4">
        <v>5</v>
      </c>
      <c r="F720" s="12">
        <f t="shared" si="11"/>
        <v>957.95150000000001</v>
      </c>
      <c r="G720" t="str">
        <f>VLOOKUP(B720,product_tbl[],2,FALSE)</f>
        <v>Remote Car 89</v>
      </c>
      <c r="H720" t="str">
        <f>VLOOKUP(B720,product_tbl[],3,FALSE)</f>
        <v>Toys</v>
      </c>
      <c r="I720">
        <v>605.02199999999993</v>
      </c>
      <c r="J720">
        <f>VLOOKUP(B720,product_tbl[],5,FALSE)</f>
        <v>1008.37</v>
      </c>
      <c r="K720">
        <f>VLOOKUP(B720,review_tbl[],3,FALSE)</f>
        <v>4</v>
      </c>
      <c r="L720" s="11">
        <v>1116.398304523048</v>
      </c>
      <c r="M720" s="11">
        <f>AVERAGEIF(Table1[product_id],Master_tbl!B720:B1721,Table1[competitor_price])</f>
        <v>913.02</v>
      </c>
      <c r="N720" s="11">
        <f>IFERROR(Table5[[#This Row],[final_sale_price]]*Table5[[#This Row],[quantity_sold ]],0)</f>
        <v>9579.5149999999994</v>
      </c>
      <c r="O720" s="11">
        <f>(Table5[[#This Row],[final_sale_price]]-Table5[[#This Row],[cost_price]])*Table5[[#This Row],[quantity_sold ]]</f>
        <v>3529.295000000001</v>
      </c>
      <c r="P720" s="11">
        <f>(Table5[final_sale_price]-Table5[[#This Row],[avg_comp_price]])</f>
        <v>44.931500000000028</v>
      </c>
      <c r="Q720" s="15">
        <f>(Table5[[#This Row],[final_sale_price]]-Table5[[#This Row],[avg_comp_price]])/Table5[[#This Row],[avg_comp_price]]</f>
        <v>4.9211955926485758E-2</v>
      </c>
      <c r="R720" s="11">
        <f>Table5[[#This Row],[Profit]]/Table5[[#This Row],[Revenue]]</f>
        <v>0.36842105263157909</v>
      </c>
    </row>
    <row r="721" spans="1:18" x14ac:dyDescent="0.2">
      <c r="A721" s="5">
        <v>720</v>
      </c>
      <c r="B721" s="5">
        <v>33</v>
      </c>
      <c r="C721" s="7">
        <v>45000</v>
      </c>
      <c r="D721" s="5">
        <v>9</v>
      </c>
      <c r="E721" s="4">
        <v>2</v>
      </c>
      <c r="F721" s="12">
        <f t="shared" si="11"/>
        <v>4951.9301999999998</v>
      </c>
      <c r="G721" t="str">
        <f>VLOOKUP(B721,product_tbl[],2,FALSE)</f>
        <v>Washing Machine 33</v>
      </c>
      <c r="H721" t="str">
        <f>VLOOKUP(B721,product_tbl[],3,FALSE)</f>
        <v>Home Appliances</v>
      </c>
      <c r="I721">
        <v>3031.7939999999999</v>
      </c>
      <c r="J721">
        <f>VLOOKUP(B721,product_tbl[],5,FALSE)</f>
        <v>5052.99</v>
      </c>
      <c r="K721">
        <f>VLOOKUP(B721,review_tbl[],3,FALSE)</f>
        <v>3</v>
      </c>
      <c r="L721" s="11">
        <v>5087.8832279223725</v>
      </c>
      <c r="M721" s="11">
        <f>AVERAGEIF(Table1[product_id],Master_tbl!B721:B1722,Table1[competitor_price])</f>
        <v>2776.7875000000004</v>
      </c>
      <c r="N721" s="11">
        <f>IFERROR(Table5[[#This Row],[final_sale_price]]*Table5[[#This Row],[quantity_sold ]],0)</f>
        <v>44567.371800000001</v>
      </c>
      <c r="O721" s="11">
        <f>(Table5[[#This Row],[final_sale_price]]-Table5[[#This Row],[cost_price]])*Table5[[#This Row],[quantity_sold ]]</f>
        <v>17281.2258</v>
      </c>
      <c r="P721" s="11">
        <f>(Table5[final_sale_price]-Table5[[#This Row],[avg_comp_price]])</f>
        <v>2175.1426999999994</v>
      </c>
      <c r="Q721" s="15">
        <f>(Table5[[#This Row],[final_sale_price]]-Table5[[#This Row],[avg_comp_price]])/Table5[[#This Row],[avg_comp_price]]</f>
        <v>0.78333062936936992</v>
      </c>
      <c r="R721" s="11">
        <f>Table5[[#This Row],[Profit]]/Table5[[#This Row],[Revenue]]</f>
        <v>0.38775510204081631</v>
      </c>
    </row>
    <row r="722" spans="1:18" x14ac:dyDescent="0.2">
      <c r="A722" s="4">
        <v>721</v>
      </c>
      <c r="B722" s="4">
        <v>63</v>
      </c>
      <c r="C722" s="6">
        <v>45096</v>
      </c>
      <c r="D722" s="4">
        <v>21</v>
      </c>
      <c r="E722" s="4">
        <v>4</v>
      </c>
      <c r="F722" s="12">
        <f t="shared" si="11"/>
        <v>6721.6992</v>
      </c>
      <c r="G722" t="str">
        <f>VLOOKUP(B722,product_tbl[],2,FALSE)</f>
        <v>Sugar 63</v>
      </c>
      <c r="H722" t="str">
        <f>VLOOKUP(B722,product_tbl[],3,FALSE)</f>
        <v>Grocery</v>
      </c>
      <c r="I722">
        <v>4201.0619999999999</v>
      </c>
      <c r="J722">
        <f>VLOOKUP(B722,product_tbl[],5,FALSE)</f>
        <v>7001.77</v>
      </c>
      <c r="K722">
        <f>VLOOKUP(B722,review_tbl[],3,FALSE)</f>
        <v>4</v>
      </c>
      <c r="L722" s="11">
        <v>8688.0307629535637</v>
      </c>
      <c r="M722" s="11">
        <f>AVERAGEIF(Table1[product_id],Master_tbl!B722:B1723,Table1[competitor_price])</f>
        <v>4859.22</v>
      </c>
      <c r="N722" s="11">
        <f>IFERROR(Table5[[#This Row],[final_sale_price]]*Table5[[#This Row],[quantity_sold ]],0)</f>
        <v>141155.6832</v>
      </c>
      <c r="O722" s="11">
        <f>(Table5[[#This Row],[final_sale_price]]-Table5[[#This Row],[cost_price]])*Table5[[#This Row],[quantity_sold ]]</f>
        <v>52933.381200000003</v>
      </c>
      <c r="P722" s="11">
        <f>(Table5[final_sale_price]-Table5[[#This Row],[avg_comp_price]])</f>
        <v>1862.4791999999998</v>
      </c>
      <c r="Q722" s="15">
        <f>(Table5[[#This Row],[final_sale_price]]-Table5[[#This Row],[avg_comp_price]])/Table5[[#This Row],[avg_comp_price]]</f>
        <v>0.38328768814748038</v>
      </c>
      <c r="R722" s="11">
        <f>Table5[[#This Row],[Profit]]/Table5[[#This Row],[Revenue]]</f>
        <v>0.375</v>
      </c>
    </row>
    <row r="723" spans="1:18" x14ac:dyDescent="0.2">
      <c r="A723" s="5">
        <v>722</v>
      </c>
      <c r="B723" s="5">
        <v>139</v>
      </c>
      <c r="C723" s="7">
        <v>45911</v>
      </c>
      <c r="D723" s="5">
        <v>3</v>
      </c>
      <c r="E723" s="4">
        <v>5</v>
      </c>
      <c r="F723" s="12">
        <f t="shared" si="11"/>
        <v>2461.5259999999998</v>
      </c>
      <c r="G723" t="str">
        <f>VLOOKUP(B723,product_tbl[],2,FALSE)</f>
        <v>Jacket 139</v>
      </c>
      <c r="H723" t="str">
        <f>VLOOKUP(B723,product_tbl[],3,FALSE)</f>
        <v>Fashion</v>
      </c>
      <c r="I723">
        <v>1554.6479999999999</v>
      </c>
      <c r="J723">
        <f>VLOOKUP(B723,product_tbl[],5,FALSE)</f>
        <v>2591.08</v>
      </c>
      <c r="K723">
        <f>VLOOKUP(B723,review_tbl[],3,FALSE)</f>
        <v>5</v>
      </c>
      <c r="L723" s="11">
        <v>3358.5674624961944</v>
      </c>
      <c r="M723" s="11">
        <f>AVERAGEIF(Table1[product_id],Master_tbl!B723:B1724,Table1[competitor_price])</f>
        <v>2839.1733333333336</v>
      </c>
      <c r="N723" s="11">
        <f>IFERROR(Table5[[#This Row],[final_sale_price]]*Table5[[#This Row],[quantity_sold ]],0)</f>
        <v>7384.5779999999995</v>
      </c>
      <c r="O723" s="11">
        <f>(Table5[[#This Row],[final_sale_price]]-Table5[[#This Row],[cost_price]])*Table5[[#This Row],[quantity_sold ]]</f>
        <v>2720.634</v>
      </c>
      <c r="P723" s="11">
        <f>(Table5[final_sale_price]-Table5[[#This Row],[avg_comp_price]])</f>
        <v>-377.64733333333379</v>
      </c>
      <c r="Q723" s="15">
        <f>(Table5[[#This Row],[final_sale_price]]-Table5[[#This Row],[avg_comp_price]])/Table5[[#This Row],[avg_comp_price]]</f>
        <v>-0.13301313058261105</v>
      </c>
      <c r="R723" s="11">
        <f>Table5[[#This Row],[Profit]]/Table5[[#This Row],[Revenue]]</f>
        <v>0.36842105263157898</v>
      </c>
    </row>
    <row r="724" spans="1:18" x14ac:dyDescent="0.2">
      <c r="A724" s="4">
        <v>723</v>
      </c>
      <c r="B724" s="4">
        <v>49</v>
      </c>
      <c r="C724" s="6">
        <v>46015</v>
      </c>
      <c r="D724" s="4">
        <v>19</v>
      </c>
      <c r="E724" s="4">
        <v>9</v>
      </c>
      <c r="F724" s="12">
        <f t="shared" si="11"/>
        <v>3063.3694</v>
      </c>
      <c r="G724" t="str">
        <f>VLOOKUP(B724,product_tbl[],2,FALSE)</f>
        <v>Foundation 49</v>
      </c>
      <c r="H724" t="str">
        <f>VLOOKUP(B724,product_tbl[],3,FALSE)</f>
        <v>Beauty</v>
      </c>
      <c r="I724">
        <v>2019.8040000000001</v>
      </c>
      <c r="J724">
        <f>VLOOKUP(B724,product_tbl[],5,FALSE)</f>
        <v>3366.34</v>
      </c>
      <c r="K724">
        <f>VLOOKUP(B724,review_tbl[],3,FALSE)</f>
        <v>4</v>
      </c>
      <c r="L724" s="11">
        <v>4072.6816534949844</v>
      </c>
      <c r="M724" s="11">
        <f>AVERAGEIF(Table1[product_id],Master_tbl!B724:B1725,Table1[competitor_price])</f>
        <v>1635.5425</v>
      </c>
      <c r="N724" s="11">
        <f>IFERROR(Table5[[#This Row],[final_sale_price]]*Table5[[#This Row],[quantity_sold ]],0)</f>
        <v>58204.018600000003</v>
      </c>
      <c r="O724" s="11">
        <f>(Table5[[#This Row],[final_sale_price]]-Table5[[#This Row],[cost_price]])*Table5[[#This Row],[quantity_sold ]]</f>
        <v>19827.742599999998</v>
      </c>
      <c r="P724" s="11">
        <f>(Table5[final_sale_price]-Table5[[#This Row],[avg_comp_price]])</f>
        <v>1427.8269</v>
      </c>
      <c r="Q724" s="15">
        <f>(Table5[[#This Row],[final_sale_price]]-Table5[[#This Row],[avg_comp_price]])/Table5[[#This Row],[avg_comp_price]]</f>
        <v>0.87299895906098435</v>
      </c>
      <c r="R724" s="11">
        <f>Table5[[#This Row],[Profit]]/Table5[[#This Row],[Revenue]]</f>
        <v>0.34065934065934061</v>
      </c>
    </row>
    <row r="725" spans="1:18" x14ac:dyDescent="0.2">
      <c r="A725" s="5">
        <v>724</v>
      </c>
      <c r="B725" s="5">
        <v>102</v>
      </c>
      <c r="C725" s="7">
        <v>45647</v>
      </c>
      <c r="D725" s="5">
        <v>24</v>
      </c>
      <c r="E725" s="4">
        <v>7</v>
      </c>
      <c r="F725" s="12">
        <f t="shared" si="11"/>
        <v>3853.8641999999995</v>
      </c>
      <c r="G725" t="str">
        <f>VLOOKUP(B725,product_tbl[],2,FALSE)</f>
        <v>Action Figure 102</v>
      </c>
      <c r="H725" t="str">
        <f>VLOOKUP(B725,product_tbl[],3,FALSE)</f>
        <v>Toys</v>
      </c>
      <c r="I725">
        <v>2486.3639999999996</v>
      </c>
      <c r="J725">
        <f>VLOOKUP(B725,product_tbl[],5,FALSE)</f>
        <v>4143.9399999999996</v>
      </c>
      <c r="K725">
        <f>VLOOKUP(B725,review_tbl[],3,FALSE)</f>
        <v>4</v>
      </c>
      <c r="L725" s="11">
        <v>4276.7750438335916</v>
      </c>
      <c r="M725" s="11">
        <f>AVERAGEIF(Table1[product_id],Master_tbl!B725:B1726,Table1[competitor_price])</f>
        <v>2740.84</v>
      </c>
      <c r="N725" s="11">
        <f>IFERROR(Table5[[#This Row],[final_sale_price]]*Table5[[#This Row],[quantity_sold ]],0)</f>
        <v>92492.740799999985</v>
      </c>
      <c r="O725" s="11">
        <f>(Table5[[#This Row],[final_sale_price]]-Table5[[#This Row],[cost_price]])*Table5[[#This Row],[quantity_sold ]]</f>
        <v>32820.004799999995</v>
      </c>
      <c r="P725" s="11">
        <f>(Table5[final_sale_price]-Table5[[#This Row],[avg_comp_price]])</f>
        <v>1113.0241999999994</v>
      </c>
      <c r="Q725" s="15">
        <f>(Table5[[#This Row],[final_sale_price]]-Table5[[#This Row],[avg_comp_price]])/Table5[[#This Row],[avg_comp_price]]</f>
        <v>0.40608871732753438</v>
      </c>
      <c r="R725" s="11">
        <f>Table5[[#This Row],[Profit]]/Table5[[#This Row],[Revenue]]</f>
        <v>0.35483870967741937</v>
      </c>
    </row>
    <row r="726" spans="1:18" x14ac:dyDescent="0.2">
      <c r="A726" s="4">
        <v>725</v>
      </c>
      <c r="B726" s="4">
        <v>60</v>
      </c>
      <c r="C726" s="6">
        <v>45834</v>
      </c>
      <c r="D726" s="4">
        <v>4</v>
      </c>
      <c r="E726" s="4">
        <v>4</v>
      </c>
      <c r="F726" s="12">
        <f t="shared" si="11"/>
        <v>2661.7056000000002</v>
      </c>
      <c r="G726" t="str">
        <f>VLOOKUP(B726,product_tbl[],2,FALSE)</f>
        <v>Biography 60</v>
      </c>
      <c r="H726" t="str">
        <f>VLOOKUP(B726,product_tbl[],3,FALSE)</f>
        <v>Books</v>
      </c>
      <c r="I726">
        <v>1663.566</v>
      </c>
      <c r="J726">
        <f>VLOOKUP(B726,product_tbl[],5,FALSE)</f>
        <v>2772.61</v>
      </c>
      <c r="K726">
        <f>VLOOKUP(B726,review_tbl[],3,FALSE)</f>
        <v>2</v>
      </c>
      <c r="L726" s="11">
        <v>3084.412633526978</v>
      </c>
      <c r="M726" s="11">
        <f>AVERAGEIF(Table1[product_id],Master_tbl!B726:B1727,Table1[competitor_price])</f>
        <v>3047.7533333333336</v>
      </c>
      <c r="N726" s="11">
        <f>IFERROR(Table5[[#This Row],[final_sale_price]]*Table5[[#This Row],[quantity_sold ]],0)</f>
        <v>10646.822400000001</v>
      </c>
      <c r="O726" s="11">
        <f>(Table5[[#This Row],[final_sale_price]]-Table5[[#This Row],[cost_price]])*Table5[[#This Row],[quantity_sold ]]</f>
        <v>3992.5584000000008</v>
      </c>
      <c r="P726" s="11">
        <f>(Table5[final_sale_price]-Table5[[#This Row],[avg_comp_price]])</f>
        <v>-386.04773333333333</v>
      </c>
      <c r="Q726" s="15">
        <f>(Table5[[#This Row],[final_sale_price]]-Table5[[#This Row],[avg_comp_price]])/Table5[[#This Row],[avg_comp_price]]</f>
        <v>-0.12666633126477864</v>
      </c>
      <c r="R726" s="11">
        <f>Table5[[#This Row],[Profit]]/Table5[[#This Row],[Revenue]]</f>
        <v>0.37500000000000006</v>
      </c>
    </row>
    <row r="727" spans="1:18" x14ac:dyDescent="0.2">
      <c r="A727" s="5">
        <v>726</v>
      </c>
      <c r="B727" s="5">
        <v>49</v>
      </c>
      <c r="C727" s="7">
        <v>45031</v>
      </c>
      <c r="D727" s="5">
        <v>15</v>
      </c>
      <c r="E727" s="4">
        <v>5</v>
      </c>
      <c r="F727" s="12">
        <f t="shared" si="11"/>
        <v>3198.0230000000001</v>
      </c>
      <c r="G727" t="str">
        <f>VLOOKUP(B727,product_tbl[],2,FALSE)</f>
        <v>Foundation 49</v>
      </c>
      <c r="H727" t="str">
        <f>VLOOKUP(B727,product_tbl[],3,FALSE)</f>
        <v>Beauty</v>
      </c>
      <c r="I727">
        <v>2019.8040000000001</v>
      </c>
      <c r="J727">
        <f>VLOOKUP(B727,product_tbl[],5,FALSE)</f>
        <v>3366.34</v>
      </c>
      <c r="K727">
        <f>VLOOKUP(B727,review_tbl[],3,FALSE)</f>
        <v>4</v>
      </c>
      <c r="L727" s="11">
        <v>4254.4395411070736</v>
      </c>
      <c r="M727" s="11">
        <f>AVERAGEIF(Table1[product_id],Master_tbl!B727:B1728,Table1[competitor_price])</f>
        <v>1635.5425</v>
      </c>
      <c r="N727" s="11">
        <f>IFERROR(Table5[[#This Row],[final_sale_price]]*Table5[[#This Row],[quantity_sold ]],0)</f>
        <v>47970.345000000001</v>
      </c>
      <c r="O727" s="11">
        <f>(Table5[[#This Row],[final_sale_price]]-Table5[[#This Row],[cost_price]])*Table5[[#This Row],[quantity_sold ]]</f>
        <v>17673.285</v>
      </c>
      <c r="P727" s="11">
        <f>(Table5[final_sale_price]-Table5[[#This Row],[avg_comp_price]])</f>
        <v>1562.4805000000001</v>
      </c>
      <c r="Q727" s="15">
        <f>(Table5[[#This Row],[final_sale_price]]-Table5[[#This Row],[avg_comp_price]])/Table5[[#This Row],[avg_comp_price]]</f>
        <v>0.95532858363509365</v>
      </c>
      <c r="R727" s="11">
        <f>Table5[[#This Row],[Profit]]/Table5[[#This Row],[Revenue]]</f>
        <v>0.36842105263157893</v>
      </c>
    </row>
    <row r="728" spans="1:18" x14ac:dyDescent="0.2">
      <c r="A728" s="4">
        <v>727</v>
      </c>
      <c r="B728" s="4">
        <v>62</v>
      </c>
      <c r="C728" s="6">
        <v>45240</v>
      </c>
      <c r="D728" s="4">
        <v>48</v>
      </c>
      <c r="E728" s="4">
        <v>8</v>
      </c>
      <c r="F728" s="12">
        <f t="shared" si="11"/>
        <v>3181.3048000000003</v>
      </c>
      <c r="G728" t="str">
        <f>VLOOKUP(B728,product_tbl[],2,FALSE)</f>
        <v>Olive Oil 62</v>
      </c>
      <c r="H728" t="str">
        <f>VLOOKUP(B728,product_tbl[],3,FALSE)</f>
        <v>Grocery</v>
      </c>
      <c r="I728">
        <v>2074.7640000000001</v>
      </c>
      <c r="J728">
        <f>VLOOKUP(B728,product_tbl[],5,FALSE)</f>
        <v>3457.94</v>
      </c>
      <c r="K728">
        <f>VLOOKUP(B728,review_tbl[],3,FALSE)</f>
        <v>4</v>
      </c>
      <c r="L728" s="11">
        <v>4422.7884207238621</v>
      </c>
      <c r="M728" s="11">
        <f>AVERAGEIF(Table1[product_id],Master_tbl!B728:B1729,Table1[competitor_price])</f>
        <v>5560.3266666666668</v>
      </c>
      <c r="N728" s="11">
        <f>IFERROR(Table5[[#This Row],[final_sale_price]]*Table5[[#This Row],[quantity_sold ]],0)</f>
        <v>152702.63040000002</v>
      </c>
      <c r="O728" s="11">
        <f>(Table5[[#This Row],[final_sale_price]]-Table5[[#This Row],[cost_price]])*Table5[[#This Row],[quantity_sold ]]</f>
        <v>53113.95840000001</v>
      </c>
      <c r="P728" s="11">
        <f>(Table5[final_sale_price]-Table5[[#This Row],[avg_comp_price]])</f>
        <v>-2379.0218666666665</v>
      </c>
      <c r="Q728" s="15">
        <f>(Table5[[#This Row],[final_sale_price]]-Table5[[#This Row],[avg_comp_price]])/Table5[[#This Row],[avg_comp_price]]</f>
        <v>-0.42785649284394556</v>
      </c>
      <c r="R728" s="11">
        <f>Table5[[#This Row],[Profit]]/Table5[[#This Row],[Revenue]]</f>
        <v>0.34782608695652173</v>
      </c>
    </row>
    <row r="729" spans="1:18" x14ac:dyDescent="0.2">
      <c r="A729" s="5">
        <v>728</v>
      </c>
      <c r="B729" s="5">
        <v>44</v>
      </c>
      <c r="C729" s="7">
        <v>45967</v>
      </c>
      <c r="D729" s="5">
        <v>42</v>
      </c>
      <c r="E729" s="4">
        <v>5</v>
      </c>
      <c r="F729" s="12">
        <f t="shared" si="11"/>
        <v>335.92</v>
      </c>
      <c r="G729" t="str">
        <f>VLOOKUP(B729,product_tbl[],2,FALSE)</f>
        <v>Coffee Beans 44</v>
      </c>
      <c r="H729" t="str">
        <f>VLOOKUP(B729,product_tbl[],3,FALSE)</f>
        <v>Grocery</v>
      </c>
      <c r="I729">
        <v>212.16</v>
      </c>
      <c r="J729">
        <f>VLOOKUP(B729,product_tbl[],5,FALSE)</f>
        <v>353.6</v>
      </c>
      <c r="K729">
        <f>VLOOKUP(B729,review_tbl[],3,FALSE)</f>
        <v>4</v>
      </c>
      <c r="L729" s="11">
        <v>420.99996740093752</v>
      </c>
      <c r="M729" s="11">
        <f>AVERAGEIF(Table1[product_id],Master_tbl!B729:B1730,Table1[competitor_price])</f>
        <v>4064.8233333333333</v>
      </c>
      <c r="N729" s="11">
        <f>IFERROR(Table5[[#This Row],[final_sale_price]]*Table5[[#This Row],[quantity_sold ]],0)</f>
        <v>14108.640000000001</v>
      </c>
      <c r="O729" s="11">
        <f>(Table5[[#This Row],[final_sale_price]]-Table5[[#This Row],[cost_price]])*Table5[[#This Row],[quantity_sold ]]</f>
        <v>5197.920000000001</v>
      </c>
      <c r="P729" s="11">
        <f>(Table5[final_sale_price]-Table5[[#This Row],[avg_comp_price]])</f>
        <v>-3728.9033333333332</v>
      </c>
      <c r="Q729" s="15">
        <f>(Table5[[#This Row],[final_sale_price]]-Table5[[#This Row],[avg_comp_price]])/Table5[[#This Row],[avg_comp_price]]</f>
        <v>-0.91735926202614793</v>
      </c>
      <c r="R729" s="11">
        <f>Table5[[#This Row],[Profit]]/Table5[[#This Row],[Revenue]]</f>
        <v>0.36842105263157898</v>
      </c>
    </row>
    <row r="730" spans="1:18" x14ac:dyDescent="0.2">
      <c r="A730" s="4">
        <v>729</v>
      </c>
      <c r="B730" s="4">
        <v>25</v>
      </c>
      <c r="C730" s="6">
        <v>45769</v>
      </c>
      <c r="D730" s="4">
        <v>47</v>
      </c>
      <c r="E730" s="4">
        <v>6</v>
      </c>
      <c r="F730" s="12">
        <f t="shared" si="11"/>
        <v>534.07979999999998</v>
      </c>
      <c r="G730" t="str">
        <f>VLOOKUP(B730,product_tbl[],2,FALSE)</f>
        <v>Tennis Racket 25</v>
      </c>
      <c r="H730" t="str">
        <f>VLOOKUP(B730,product_tbl[],3,FALSE)</f>
        <v>Sports</v>
      </c>
      <c r="I730">
        <v>340.90199999999999</v>
      </c>
      <c r="J730">
        <f>VLOOKUP(B730,product_tbl[],5,FALSE)</f>
        <v>568.16999999999996</v>
      </c>
      <c r="K730">
        <f>VLOOKUP(B730,review_tbl[],3,FALSE)</f>
        <v>1</v>
      </c>
      <c r="L730" s="11">
        <v>648.23920323138623</v>
      </c>
      <c r="M730" s="11">
        <f>AVERAGEIF(Table1[product_id],Master_tbl!B730:B1731,Table1[competitor_price])</f>
        <v>2024.2300000000002</v>
      </c>
      <c r="N730" s="11">
        <f>IFERROR(Table5[[#This Row],[final_sale_price]]*Table5[[#This Row],[quantity_sold ]],0)</f>
        <v>25101.750599999999</v>
      </c>
      <c r="O730" s="11">
        <f>(Table5[[#This Row],[final_sale_price]]-Table5[[#This Row],[cost_price]])*Table5[[#This Row],[quantity_sold ]]</f>
        <v>9079.3565999999992</v>
      </c>
      <c r="P730" s="11">
        <f>(Table5[final_sale_price]-Table5[[#This Row],[avg_comp_price]])</f>
        <v>-1490.1502000000003</v>
      </c>
      <c r="Q730" s="15">
        <f>(Table5[[#This Row],[final_sale_price]]-Table5[[#This Row],[avg_comp_price]])/Table5[[#This Row],[avg_comp_price]]</f>
        <v>-0.73615656323639111</v>
      </c>
      <c r="R730" s="11">
        <f>Table5[[#This Row],[Profit]]/Table5[[#This Row],[Revenue]]</f>
        <v>0.36170212765957444</v>
      </c>
    </row>
    <row r="731" spans="1:18" x14ac:dyDescent="0.2">
      <c r="A731" s="5">
        <v>730</v>
      </c>
      <c r="B731" s="5">
        <v>130</v>
      </c>
      <c r="C731" s="7">
        <v>45671</v>
      </c>
      <c r="D731" s="5">
        <v>15</v>
      </c>
      <c r="E731" s="4">
        <v>7</v>
      </c>
      <c r="F731" s="12">
        <f t="shared" si="11"/>
        <v>2962.5056999999997</v>
      </c>
      <c r="G731" t="str">
        <f>VLOOKUP(B731,product_tbl[],2,FALSE)</f>
        <v>Gym Gloves 130</v>
      </c>
      <c r="H731" t="str">
        <f>VLOOKUP(B731,product_tbl[],3,FALSE)</f>
        <v>Sports</v>
      </c>
      <c r="I731">
        <v>1911.2939999999999</v>
      </c>
      <c r="J731">
        <f>VLOOKUP(B731,product_tbl[],5,FALSE)</f>
        <v>3185.49</v>
      </c>
      <c r="K731">
        <f>VLOOKUP(B731,review_tbl[],3,FALSE)</f>
        <v>5</v>
      </c>
      <c r="L731" s="11">
        <v>3324.9763578046718</v>
      </c>
      <c r="M731" s="11">
        <f>AVERAGEIF(Table1[product_id],Master_tbl!B731:B1732,Table1[competitor_price])</f>
        <v>3865.1374999999998</v>
      </c>
      <c r="N731" s="11">
        <f>IFERROR(Table5[[#This Row],[final_sale_price]]*Table5[[#This Row],[quantity_sold ]],0)</f>
        <v>44437.585499999994</v>
      </c>
      <c r="O731" s="11">
        <f>(Table5[[#This Row],[final_sale_price]]-Table5[[#This Row],[cost_price]])*Table5[[#This Row],[quantity_sold ]]</f>
        <v>15768.175499999998</v>
      </c>
      <c r="P731" s="11">
        <f>(Table5[final_sale_price]-Table5[[#This Row],[avg_comp_price]])</f>
        <v>-902.63180000000011</v>
      </c>
      <c r="Q731" s="15">
        <f>(Table5[[#This Row],[final_sale_price]]-Table5[[#This Row],[avg_comp_price]])/Table5[[#This Row],[avg_comp_price]]</f>
        <v>-0.2335316143345483</v>
      </c>
      <c r="R731" s="11">
        <f>Table5[[#This Row],[Profit]]/Table5[[#This Row],[Revenue]]</f>
        <v>0.35483870967741937</v>
      </c>
    </row>
    <row r="732" spans="1:18" x14ac:dyDescent="0.2">
      <c r="A732" s="4">
        <v>731</v>
      </c>
      <c r="B732" s="4">
        <v>81</v>
      </c>
      <c r="C732" s="6">
        <v>45731</v>
      </c>
      <c r="D732" s="4">
        <v>12</v>
      </c>
      <c r="E732" s="4">
        <v>4</v>
      </c>
      <c r="F732" s="12">
        <f t="shared" si="11"/>
        <v>7452.8735999999999</v>
      </c>
      <c r="G732" t="str">
        <f>VLOOKUP(B732,product_tbl[],2,FALSE)</f>
        <v>Water Purifier 81</v>
      </c>
      <c r="H732" t="str">
        <f>VLOOKUP(B732,product_tbl[],3,FALSE)</f>
        <v>Home Appliances</v>
      </c>
      <c r="I732">
        <v>4658.0459999999994</v>
      </c>
      <c r="J732">
        <f>VLOOKUP(B732,product_tbl[],5,FALSE)</f>
        <v>7763.41</v>
      </c>
      <c r="K732">
        <f>VLOOKUP(B732,review_tbl[],3,FALSE)</f>
        <v>2</v>
      </c>
      <c r="L732" s="11">
        <v>8149.8920551136371</v>
      </c>
      <c r="M732" s="11">
        <f>AVERAGEIF(Table1[product_id],Master_tbl!B732:B1733,Table1[competitor_price])</f>
        <v>290.31399999999996</v>
      </c>
      <c r="N732" s="11">
        <f>IFERROR(Table5[[#This Row],[final_sale_price]]*Table5[[#This Row],[quantity_sold ]],0)</f>
        <v>89434.483200000002</v>
      </c>
      <c r="O732" s="11">
        <f>(Table5[[#This Row],[final_sale_price]]-Table5[[#This Row],[cost_price]])*Table5[[#This Row],[quantity_sold ]]</f>
        <v>33537.931200000006</v>
      </c>
      <c r="P732" s="11">
        <f>(Table5[final_sale_price]-Table5[[#This Row],[avg_comp_price]])</f>
        <v>7162.5595999999996</v>
      </c>
      <c r="Q732" s="15">
        <f>(Table5[[#This Row],[final_sale_price]]-Table5[[#This Row],[avg_comp_price]])/Table5[[#This Row],[avg_comp_price]]</f>
        <v>24.671767810026388</v>
      </c>
      <c r="R732" s="11">
        <f>Table5[[#This Row],[Profit]]/Table5[[#This Row],[Revenue]]</f>
        <v>0.37500000000000006</v>
      </c>
    </row>
    <row r="733" spans="1:18" x14ac:dyDescent="0.2">
      <c r="A733" s="5">
        <v>732</v>
      </c>
      <c r="B733" s="5">
        <v>72</v>
      </c>
      <c r="C733" s="7">
        <v>45771</v>
      </c>
      <c r="D733" s="5">
        <v>22</v>
      </c>
      <c r="E733" s="4">
        <v>9</v>
      </c>
      <c r="F733" s="12">
        <f t="shared" si="11"/>
        <v>5279.2739999999994</v>
      </c>
      <c r="G733" t="str">
        <f>VLOOKUP(B733,product_tbl[],2,FALSE)</f>
        <v>Smartwatch 72</v>
      </c>
      <c r="H733" t="str">
        <f>VLOOKUP(B733,product_tbl[],3,FALSE)</f>
        <v>Electronics</v>
      </c>
      <c r="I733">
        <v>3480.8399999999997</v>
      </c>
      <c r="J733">
        <f>VLOOKUP(B733,product_tbl[],5,FALSE)</f>
        <v>5801.4</v>
      </c>
      <c r="K733">
        <f>VLOOKUP(B733,review_tbl[],3,FALSE)</f>
        <v>3</v>
      </c>
      <c r="L733" s="11">
        <v>5819.4991414085307</v>
      </c>
      <c r="M733" s="11">
        <f>AVERAGEIF(Table1[product_id],Master_tbl!B733:B1734,Table1[competitor_price])</f>
        <v>5210.5919999999996</v>
      </c>
      <c r="N733" s="11">
        <f>IFERROR(Table5[[#This Row],[final_sale_price]]*Table5[[#This Row],[quantity_sold ]],0)</f>
        <v>116144.02799999999</v>
      </c>
      <c r="O733" s="11">
        <f>(Table5[[#This Row],[final_sale_price]]-Table5[[#This Row],[cost_price]])*Table5[[#This Row],[quantity_sold ]]</f>
        <v>39565.547999999995</v>
      </c>
      <c r="P733" s="11">
        <f>(Table5[final_sale_price]-Table5[[#This Row],[avg_comp_price]])</f>
        <v>68.681999999999789</v>
      </c>
      <c r="Q733" s="15">
        <f>(Table5[[#This Row],[final_sale_price]]-Table5[[#This Row],[avg_comp_price]])/Table5[[#This Row],[avg_comp_price]]</f>
        <v>1.3181227776037693E-2</v>
      </c>
      <c r="R733" s="11">
        <f>Table5[[#This Row],[Profit]]/Table5[[#This Row],[Revenue]]</f>
        <v>0.34065934065934067</v>
      </c>
    </row>
    <row r="734" spans="1:18" x14ac:dyDescent="0.2">
      <c r="A734" s="4">
        <v>733</v>
      </c>
      <c r="B734" s="4">
        <v>73</v>
      </c>
      <c r="C734" s="6">
        <v>45211</v>
      </c>
      <c r="D734" s="4">
        <v>25</v>
      </c>
      <c r="E734" s="4">
        <v>10</v>
      </c>
      <c r="F734" s="12">
        <f t="shared" si="11"/>
        <v>4082.0310000000004</v>
      </c>
      <c r="G734" t="str">
        <f>VLOOKUP(B734,product_tbl[],2,FALSE)</f>
        <v>Action Figure 73</v>
      </c>
      <c r="H734" t="str">
        <f>VLOOKUP(B734,product_tbl[],3,FALSE)</f>
        <v>Toys</v>
      </c>
      <c r="I734">
        <v>2721.3539999999998</v>
      </c>
      <c r="J734">
        <f>VLOOKUP(B734,product_tbl[],5,FALSE)</f>
        <v>4535.59</v>
      </c>
      <c r="K734">
        <f>VLOOKUP(B734,review_tbl[],3,FALSE)</f>
        <v>1</v>
      </c>
      <c r="L734" s="11">
        <v>5813.6935725347375</v>
      </c>
      <c r="M734" s="11">
        <f>AVERAGEIF(Table1[product_id],Master_tbl!B734:B1735,Table1[competitor_price])</f>
        <v>5380.9516666666668</v>
      </c>
      <c r="N734" s="11">
        <f>IFERROR(Table5[[#This Row],[final_sale_price]]*Table5[[#This Row],[quantity_sold ]],0)</f>
        <v>102050.77500000001</v>
      </c>
      <c r="O734" s="11">
        <f>(Table5[[#This Row],[final_sale_price]]-Table5[[#This Row],[cost_price]])*Table5[[#This Row],[quantity_sold ]]</f>
        <v>34016.925000000017</v>
      </c>
      <c r="P734" s="11">
        <f>(Table5[final_sale_price]-Table5[[#This Row],[avg_comp_price]])</f>
        <v>-1298.9206666666664</v>
      </c>
      <c r="Q734" s="15">
        <f>(Table5[[#This Row],[final_sale_price]]-Table5[[#This Row],[avg_comp_price]])/Table5[[#This Row],[avg_comp_price]]</f>
        <v>-0.24139236832642053</v>
      </c>
      <c r="R734" s="11">
        <f>Table5[[#This Row],[Profit]]/Table5[[#This Row],[Revenue]]</f>
        <v>0.33333333333333348</v>
      </c>
    </row>
    <row r="735" spans="1:18" x14ac:dyDescent="0.2">
      <c r="A735" s="5">
        <v>734</v>
      </c>
      <c r="B735" s="5">
        <v>58</v>
      </c>
      <c r="C735" s="7">
        <v>45356</v>
      </c>
      <c r="D735" s="5">
        <v>27</v>
      </c>
      <c r="E735" s="4">
        <v>6</v>
      </c>
      <c r="F735" s="12">
        <f t="shared" si="11"/>
        <v>1070.2651999999998</v>
      </c>
      <c r="G735" t="str">
        <f>VLOOKUP(B735,product_tbl[],2,FALSE)</f>
        <v>Wheat Flour 58</v>
      </c>
      <c r="H735" t="str">
        <f>VLOOKUP(B735,product_tbl[],3,FALSE)</f>
        <v>Grocery</v>
      </c>
      <c r="I735">
        <v>683.14799999999991</v>
      </c>
      <c r="J735">
        <f>VLOOKUP(B735,product_tbl[],5,FALSE)</f>
        <v>1138.58</v>
      </c>
      <c r="K735">
        <f>VLOOKUP(B735,review_tbl[],3,FALSE)</f>
        <v>2</v>
      </c>
      <c r="L735" s="11">
        <v>1234.5456713227345</v>
      </c>
      <c r="M735" s="11">
        <f>AVERAGEIF(Table1[product_id],Master_tbl!B735:B1736,Table1[competitor_price])</f>
        <v>1439.8525</v>
      </c>
      <c r="N735" s="11">
        <f>IFERROR(Table5[[#This Row],[final_sale_price]]*Table5[[#This Row],[quantity_sold ]],0)</f>
        <v>28897.160399999993</v>
      </c>
      <c r="O735" s="11">
        <f>(Table5[[#This Row],[final_sale_price]]-Table5[[#This Row],[cost_price]])*Table5[[#This Row],[quantity_sold ]]</f>
        <v>10452.164399999998</v>
      </c>
      <c r="P735" s="11">
        <f>(Table5[final_sale_price]-Table5[[#This Row],[avg_comp_price]])</f>
        <v>-369.58730000000014</v>
      </c>
      <c r="Q735" s="15">
        <f>(Table5[[#This Row],[final_sale_price]]-Table5[[#This Row],[avg_comp_price]])/Table5[[#This Row],[avg_comp_price]]</f>
        <v>-0.25668413952123581</v>
      </c>
      <c r="R735" s="11">
        <f>Table5[[#This Row],[Profit]]/Table5[[#This Row],[Revenue]]</f>
        <v>0.36170212765957449</v>
      </c>
    </row>
    <row r="736" spans="1:18" x14ac:dyDescent="0.2">
      <c r="A736" s="4">
        <v>735</v>
      </c>
      <c r="B736" s="4">
        <v>82</v>
      </c>
      <c r="C736" s="6">
        <v>45505</v>
      </c>
      <c r="D736" s="4">
        <v>48</v>
      </c>
      <c r="E736" s="4">
        <v>3</v>
      </c>
      <c r="F736" s="12">
        <f t="shared" si="11"/>
        <v>1233.0834</v>
      </c>
      <c r="G736" t="str">
        <f>VLOOKUP(B736,product_tbl[],2,FALSE)</f>
        <v>Yoga Mat 82</v>
      </c>
      <c r="H736" t="str">
        <f>VLOOKUP(B736,product_tbl[],3,FALSE)</f>
        <v>Sports</v>
      </c>
      <c r="I736">
        <v>762.73199999999997</v>
      </c>
      <c r="J736">
        <f>VLOOKUP(B736,product_tbl[],5,FALSE)</f>
        <v>1271.22</v>
      </c>
      <c r="K736">
        <f>VLOOKUP(B736,review_tbl[],3,FALSE)</f>
        <v>2</v>
      </c>
      <c r="L736" s="11">
        <v>1550.9713290444424</v>
      </c>
      <c r="M736" s="11">
        <f>AVERAGEIF(Table1[product_id],Master_tbl!B736:B1737,Table1[competitor_price])</f>
        <v>2617.7080000000001</v>
      </c>
      <c r="N736" s="11">
        <f>IFERROR(Table5[[#This Row],[final_sale_price]]*Table5[[#This Row],[quantity_sold ]],0)</f>
        <v>59188.003199999999</v>
      </c>
      <c r="O736" s="11">
        <f>(Table5[[#This Row],[final_sale_price]]-Table5[[#This Row],[cost_price]])*Table5[[#This Row],[quantity_sold ]]</f>
        <v>22576.867200000001</v>
      </c>
      <c r="P736" s="11">
        <f>(Table5[final_sale_price]-Table5[[#This Row],[avg_comp_price]])</f>
        <v>-1384.6246000000001</v>
      </c>
      <c r="Q736" s="15">
        <f>(Table5[[#This Row],[final_sale_price]]-Table5[[#This Row],[avg_comp_price]])/Table5[[#This Row],[avg_comp_price]]</f>
        <v>-0.52894539803522778</v>
      </c>
      <c r="R736" s="11">
        <f>Table5[[#This Row],[Profit]]/Table5[[#This Row],[Revenue]]</f>
        <v>0.3814432989690722</v>
      </c>
    </row>
    <row r="737" spans="1:18" x14ac:dyDescent="0.2">
      <c r="A737" s="5">
        <v>736</v>
      </c>
      <c r="B737" s="5">
        <v>100</v>
      </c>
      <c r="C737" s="7">
        <v>45712</v>
      </c>
      <c r="D737" s="5">
        <v>17</v>
      </c>
      <c r="E737" s="4">
        <v>8</v>
      </c>
      <c r="F737" s="12">
        <f t="shared" si="11"/>
        <v>3757.1512000000002</v>
      </c>
      <c r="G737" t="str">
        <f>VLOOKUP(B737,product_tbl[],2,FALSE)</f>
        <v>T-Shirt 100</v>
      </c>
      <c r="H737" t="str">
        <f>VLOOKUP(B737,product_tbl[],3,FALSE)</f>
        <v>Fashion</v>
      </c>
      <c r="I737">
        <v>2450.3159999999998</v>
      </c>
      <c r="J737">
        <f>VLOOKUP(B737,product_tbl[],5,FALSE)</f>
        <v>4083.86</v>
      </c>
      <c r="K737">
        <f>VLOOKUP(B737,review_tbl[],3,FALSE)</f>
        <v>3</v>
      </c>
      <c r="L737" s="11">
        <v>4451.52552424433</v>
      </c>
      <c r="M737" s="11">
        <f>AVERAGEIF(Table1[product_id],Master_tbl!B737:B1738,Table1[competitor_price])</f>
        <v>3659.5875000000001</v>
      </c>
      <c r="N737" s="11">
        <f>IFERROR(Table5[[#This Row],[final_sale_price]]*Table5[[#This Row],[quantity_sold ]],0)</f>
        <v>63871.570400000004</v>
      </c>
      <c r="O737" s="11">
        <f>(Table5[[#This Row],[final_sale_price]]-Table5[[#This Row],[cost_price]])*Table5[[#This Row],[quantity_sold ]]</f>
        <v>22216.198400000008</v>
      </c>
      <c r="P737" s="11">
        <f>(Table5[final_sale_price]-Table5[[#This Row],[avg_comp_price]])</f>
        <v>97.563700000000154</v>
      </c>
      <c r="Q737" s="15">
        <f>(Table5[[#This Row],[final_sale_price]]-Table5[[#This Row],[avg_comp_price]])/Table5[[#This Row],[avg_comp_price]]</f>
        <v>2.6659753319192438E-2</v>
      </c>
      <c r="R737" s="11">
        <f>Table5[[#This Row],[Profit]]/Table5[[#This Row],[Revenue]]</f>
        <v>0.34782608695652184</v>
      </c>
    </row>
    <row r="738" spans="1:18" x14ac:dyDescent="0.2">
      <c r="A738" s="4">
        <v>737</v>
      </c>
      <c r="B738" s="4">
        <v>140</v>
      </c>
      <c r="C738" s="6">
        <v>45423</v>
      </c>
      <c r="D738" s="4">
        <v>13</v>
      </c>
      <c r="E738" s="4">
        <v>5</v>
      </c>
      <c r="F738" s="12">
        <f t="shared" si="11"/>
        <v>849.072</v>
      </c>
      <c r="G738" t="str">
        <f>VLOOKUP(B738,product_tbl[],2,FALSE)</f>
        <v>Remote Car 140</v>
      </c>
      <c r="H738" t="str">
        <f>VLOOKUP(B738,product_tbl[],3,FALSE)</f>
        <v>Toys</v>
      </c>
      <c r="I738">
        <v>536.25599999999997</v>
      </c>
      <c r="J738">
        <f>VLOOKUP(B738,product_tbl[],5,FALSE)</f>
        <v>893.76</v>
      </c>
      <c r="K738">
        <f>VLOOKUP(B738,review_tbl[],3,FALSE)</f>
        <v>3</v>
      </c>
      <c r="L738" s="11">
        <v>1095.6274075550746</v>
      </c>
      <c r="M738" s="11">
        <f>AVERAGEIF(Table1[product_id],Master_tbl!B738:B1739,Table1[competitor_price])</f>
        <v>4472.5149999999994</v>
      </c>
      <c r="N738" s="11">
        <f>IFERROR(Table5[[#This Row],[final_sale_price]]*Table5[[#This Row],[quantity_sold ]],0)</f>
        <v>11037.936</v>
      </c>
      <c r="O738" s="11">
        <f>(Table5[[#This Row],[final_sale_price]]-Table5[[#This Row],[cost_price]])*Table5[[#This Row],[quantity_sold ]]</f>
        <v>4066.6080000000002</v>
      </c>
      <c r="P738" s="11">
        <f>(Table5[final_sale_price]-Table5[[#This Row],[avg_comp_price]])</f>
        <v>-3623.4429999999993</v>
      </c>
      <c r="Q738" s="15">
        <f>(Table5[[#This Row],[final_sale_price]]-Table5[[#This Row],[avg_comp_price]])/Table5[[#This Row],[avg_comp_price]]</f>
        <v>-0.81015781948187982</v>
      </c>
      <c r="R738" s="11">
        <f>Table5[[#This Row],[Profit]]/Table5[[#This Row],[Revenue]]</f>
        <v>0.36842105263157898</v>
      </c>
    </row>
    <row r="739" spans="1:18" x14ac:dyDescent="0.2">
      <c r="A739" s="5">
        <v>738</v>
      </c>
      <c r="B739" s="5">
        <v>97</v>
      </c>
      <c r="C739" s="7">
        <v>45557</v>
      </c>
      <c r="D739" s="5">
        <v>2</v>
      </c>
      <c r="E739" s="4">
        <v>4</v>
      </c>
      <c r="F739" s="12">
        <f t="shared" si="11"/>
        <v>884.7743999999999</v>
      </c>
      <c r="G739" t="str">
        <f>VLOOKUP(B739,product_tbl[],2,FALSE)</f>
        <v>Washing Machine 97</v>
      </c>
      <c r="H739" t="str">
        <f>VLOOKUP(B739,product_tbl[],3,FALSE)</f>
        <v>Home Appliances</v>
      </c>
      <c r="I739">
        <v>552.98399999999992</v>
      </c>
      <c r="J739">
        <f>VLOOKUP(B739,product_tbl[],5,FALSE)</f>
        <v>921.64</v>
      </c>
      <c r="K739">
        <f>VLOOKUP(B739,review_tbl[],3,FALSE)</f>
        <v>3</v>
      </c>
      <c r="L739" s="11">
        <v>955.24505656986685</v>
      </c>
      <c r="M739" s="11">
        <f>AVERAGEIF(Table1[product_id],Master_tbl!B739:B1740,Table1[competitor_price])</f>
        <v>2464.87</v>
      </c>
      <c r="N739" s="11">
        <f>IFERROR(Table5[[#This Row],[final_sale_price]]*Table5[[#This Row],[quantity_sold ]],0)</f>
        <v>1769.5487999999998</v>
      </c>
      <c r="O739" s="11">
        <f>(Table5[[#This Row],[final_sale_price]]-Table5[[#This Row],[cost_price]])*Table5[[#This Row],[quantity_sold ]]</f>
        <v>663.58079999999995</v>
      </c>
      <c r="P739" s="11">
        <f>(Table5[final_sale_price]-Table5[[#This Row],[avg_comp_price]])</f>
        <v>-1580.0956000000001</v>
      </c>
      <c r="Q739" s="15">
        <f>(Table5[[#This Row],[final_sale_price]]-Table5[[#This Row],[avg_comp_price]])/Table5[[#This Row],[avg_comp_price]]</f>
        <v>-0.64104622150458246</v>
      </c>
      <c r="R739" s="11">
        <f>Table5[[#This Row],[Profit]]/Table5[[#This Row],[Revenue]]</f>
        <v>0.375</v>
      </c>
    </row>
    <row r="740" spans="1:18" x14ac:dyDescent="0.2">
      <c r="A740" s="4">
        <v>739</v>
      </c>
      <c r="B740" s="4">
        <v>54</v>
      </c>
      <c r="C740" s="6">
        <v>45328</v>
      </c>
      <c r="D740" s="4">
        <v>33</v>
      </c>
      <c r="E740" s="4">
        <v>8</v>
      </c>
      <c r="F740" s="12">
        <f t="shared" si="11"/>
        <v>855.18600000000004</v>
      </c>
      <c r="G740" t="str">
        <f>VLOOKUP(B740,product_tbl[],2,FALSE)</f>
        <v>Cookbook 54</v>
      </c>
      <c r="H740" t="str">
        <f>VLOOKUP(B740,product_tbl[],3,FALSE)</f>
        <v>Books</v>
      </c>
      <c r="I740">
        <v>557.7299999999999</v>
      </c>
      <c r="J740">
        <f>VLOOKUP(B740,product_tbl[],5,FALSE)</f>
        <v>929.55</v>
      </c>
      <c r="K740">
        <f>VLOOKUP(B740,review_tbl[],3,FALSE)</f>
        <v>3</v>
      </c>
      <c r="L740" s="11">
        <v>972.38422740692988</v>
      </c>
      <c r="M740" s="11">
        <f>AVERAGEIF(Table1[product_id],Master_tbl!B740:B1741,Table1[competitor_price])</f>
        <v>2958.2974999999997</v>
      </c>
      <c r="N740" s="11">
        <f>IFERROR(Table5[[#This Row],[final_sale_price]]*Table5[[#This Row],[quantity_sold ]],0)</f>
        <v>28221.138000000003</v>
      </c>
      <c r="O740" s="11">
        <f>(Table5[[#This Row],[final_sale_price]]-Table5[[#This Row],[cost_price]])*Table5[[#This Row],[quantity_sold ]]</f>
        <v>9816.0480000000043</v>
      </c>
      <c r="P740" s="11">
        <f>(Table5[final_sale_price]-Table5[[#This Row],[avg_comp_price]])</f>
        <v>-2103.1114999999995</v>
      </c>
      <c r="Q740" s="15">
        <f>(Table5[[#This Row],[final_sale_price]]-Table5[[#This Row],[avg_comp_price]])/Table5[[#This Row],[avg_comp_price]]</f>
        <v>-0.71091954071556351</v>
      </c>
      <c r="R740" s="11">
        <f>Table5[[#This Row],[Profit]]/Table5[[#This Row],[Revenue]]</f>
        <v>0.34782608695652184</v>
      </c>
    </row>
    <row r="741" spans="1:18" x14ac:dyDescent="0.2">
      <c r="A741" s="5">
        <v>740</v>
      </c>
      <c r="B741" s="5">
        <v>78</v>
      </c>
      <c r="C741" s="7">
        <v>45167</v>
      </c>
      <c r="D741" s="5">
        <v>19</v>
      </c>
      <c r="E741" s="4">
        <v>2</v>
      </c>
      <c r="F741" s="12">
        <f t="shared" si="11"/>
        <v>848.42520000000002</v>
      </c>
      <c r="G741" t="str">
        <f>VLOOKUP(B741,product_tbl[],2,FALSE)</f>
        <v>Biography 78</v>
      </c>
      <c r="H741" t="str">
        <f>VLOOKUP(B741,product_tbl[],3,FALSE)</f>
        <v>Books</v>
      </c>
      <c r="I741">
        <v>519.44399999999996</v>
      </c>
      <c r="J741">
        <f>VLOOKUP(B741,product_tbl[],5,FALSE)</f>
        <v>865.74</v>
      </c>
      <c r="K741">
        <f>VLOOKUP(B741,review_tbl[],3,FALSE)</f>
        <v>4</v>
      </c>
      <c r="L741" s="11">
        <v>1023.1517910893868</v>
      </c>
      <c r="M741" s="11">
        <f>AVERAGEIF(Table1[product_id],Master_tbl!B741:B1742,Table1[competitor_price])</f>
        <v>398.392</v>
      </c>
      <c r="N741" s="11">
        <f>IFERROR(Table5[[#This Row],[final_sale_price]]*Table5[[#This Row],[quantity_sold ]],0)</f>
        <v>16120.078800000001</v>
      </c>
      <c r="O741" s="11">
        <f>(Table5[[#This Row],[final_sale_price]]-Table5[[#This Row],[cost_price]])*Table5[[#This Row],[quantity_sold ]]</f>
        <v>6250.6428000000014</v>
      </c>
      <c r="P741" s="11">
        <f>(Table5[final_sale_price]-Table5[[#This Row],[avg_comp_price]])</f>
        <v>450.03320000000002</v>
      </c>
      <c r="Q741" s="15">
        <f>(Table5[[#This Row],[final_sale_price]]-Table5[[#This Row],[avg_comp_price]])/Table5[[#This Row],[avg_comp_price]]</f>
        <v>1.1296240888371254</v>
      </c>
      <c r="R741" s="11">
        <f>Table5[[#This Row],[Profit]]/Table5[[#This Row],[Revenue]]</f>
        <v>0.38775510204081637</v>
      </c>
    </row>
    <row r="742" spans="1:18" x14ac:dyDescent="0.2">
      <c r="A742" s="4">
        <v>741</v>
      </c>
      <c r="B742" s="4">
        <v>135</v>
      </c>
      <c r="C742" s="6">
        <v>45617</v>
      </c>
      <c r="D742" s="4">
        <v>30</v>
      </c>
      <c r="E742" s="4">
        <v>7</v>
      </c>
      <c r="F742" s="12">
        <f t="shared" si="11"/>
        <v>7235.1302999999998</v>
      </c>
      <c r="G742" t="str">
        <f>VLOOKUP(B742,product_tbl[],2,FALSE)</f>
        <v>Water Purifier 135</v>
      </c>
      <c r="H742" t="str">
        <f>VLOOKUP(B742,product_tbl[],3,FALSE)</f>
        <v>Home Appliances</v>
      </c>
      <c r="I742">
        <v>4667.826</v>
      </c>
      <c r="J742">
        <f>VLOOKUP(B742,product_tbl[],5,FALSE)</f>
        <v>7779.71</v>
      </c>
      <c r="K742">
        <f>VLOOKUP(B742,review_tbl[],3,FALSE)</f>
        <v>5</v>
      </c>
      <c r="L742" s="11">
        <v>8819.99650146567</v>
      </c>
      <c r="M742" s="11">
        <f>AVERAGEIF(Table1[product_id],Master_tbl!B742:B1743,Table1[competitor_price])</f>
        <v>4172.7833333333338</v>
      </c>
      <c r="N742" s="11">
        <f>IFERROR(Table5[[#This Row],[final_sale_price]]*Table5[[#This Row],[quantity_sold ]],0)</f>
        <v>217053.90899999999</v>
      </c>
      <c r="O742" s="11">
        <f>(Table5[[#This Row],[final_sale_price]]-Table5[[#This Row],[cost_price]])*Table5[[#This Row],[quantity_sold ]]</f>
        <v>77019.128999999986</v>
      </c>
      <c r="P742" s="11">
        <f>(Table5[final_sale_price]-Table5[[#This Row],[avg_comp_price]])</f>
        <v>3062.346966666666</v>
      </c>
      <c r="Q742" s="15">
        <f>(Table5[[#This Row],[final_sale_price]]-Table5[[#This Row],[avg_comp_price]])/Table5[[#This Row],[avg_comp_price]]</f>
        <v>0.73388592745849068</v>
      </c>
      <c r="R742" s="11">
        <f>Table5[[#This Row],[Profit]]/Table5[[#This Row],[Revenue]]</f>
        <v>0.35483870967741932</v>
      </c>
    </row>
    <row r="743" spans="1:18" x14ac:dyDescent="0.2">
      <c r="A743" s="5">
        <v>742</v>
      </c>
      <c r="B743" s="5">
        <v>18</v>
      </c>
      <c r="C743" s="7">
        <v>44936</v>
      </c>
      <c r="D743" s="5">
        <v>17</v>
      </c>
      <c r="E743" s="4">
        <v>9</v>
      </c>
      <c r="F743" s="12">
        <f t="shared" si="11"/>
        <v>7676.714500000001</v>
      </c>
      <c r="G743" t="str">
        <f>VLOOKUP(B743,product_tbl[],2,FALSE)</f>
        <v>Coffee Beans 18</v>
      </c>
      <c r="H743" t="str">
        <f>VLOOKUP(B743,product_tbl[],3,FALSE)</f>
        <v>Grocery</v>
      </c>
      <c r="I743">
        <v>5061.5700000000006</v>
      </c>
      <c r="J743">
        <f>VLOOKUP(B743,product_tbl[],5,FALSE)</f>
        <v>8435.9500000000007</v>
      </c>
      <c r="K743">
        <f>VLOOKUP(B743,review_tbl[],3,FALSE)</f>
        <v>3</v>
      </c>
      <c r="L743" s="11">
        <v>10325.956352636169</v>
      </c>
      <c r="M743" s="11">
        <f>AVERAGEIF(Table1[product_id],Master_tbl!B743:B1744,Table1[competitor_price])</f>
        <v>1552.9240000000002</v>
      </c>
      <c r="N743" s="11">
        <f>IFERROR(Table5[[#This Row],[final_sale_price]]*Table5[[#This Row],[quantity_sold ]],0)</f>
        <v>130504.14650000002</v>
      </c>
      <c r="O743" s="11">
        <f>(Table5[[#This Row],[final_sale_price]]-Table5[[#This Row],[cost_price]])*Table5[[#This Row],[quantity_sold ]]</f>
        <v>44457.456500000008</v>
      </c>
      <c r="P743" s="11">
        <f>(Table5[final_sale_price]-Table5[[#This Row],[avg_comp_price]])</f>
        <v>6123.790500000001</v>
      </c>
      <c r="Q743" s="15">
        <f>(Table5[[#This Row],[final_sale_price]]-Table5[[#This Row],[avg_comp_price]])/Table5[[#This Row],[avg_comp_price]]</f>
        <v>3.9433935595045218</v>
      </c>
      <c r="R743" s="11">
        <f>Table5[[#This Row],[Profit]]/Table5[[#This Row],[Revenue]]</f>
        <v>0.34065934065934067</v>
      </c>
    </row>
    <row r="744" spans="1:18" x14ac:dyDescent="0.2">
      <c r="A744" s="4">
        <v>743</v>
      </c>
      <c r="B744" s="4">
        <v>43</v>
      </c>
      <c r="C744" s="6">
        <v>45375</v>
      </c>
      <c r="D744" s="4">
        <v>40</v>
      </c>
      <c r="E744" s="4">
        <v>5</v>
      </c>
      <c r="F744" s="12">
        <f t="shared" si="11"/>
        <v>3063.7309999999998</v>
      </c>
      <c r="G744" t="str">
        <f>VLOOKUP(B744,product_tbl[],2,FALSE)</f>
        <v>Jeans 43</v>
      </c>
      <c r="H744" t="str">
        <f>VLOOKUP(B744,product_tbl[],3,FALSE)</f>
        <v>Fashion</v>
      </c>
      <c r="I744">
        <v>1934.9879999999998</v>
      </c>
      <c r="J744">
        <f>VLOOKUP(B744,product_tbl[],5,FALSE)</f>
        <v>3224.98</v>
      </c>
      <c r="K744">
        <f>VLOOKUP(B744,review_tbl[],3,FALSE)</f>
        <v>2</v>
      </c>
      <c r="L744" s="11">
        <v>3799.2786886835011</v>
      </c>
      <c r="M744" s="11">
        <f>AVERAGEIF(Table1[product_id],Master_tbl!B744:B1745,Table1[competitor_price])</f>
        <v>445.53000000000003</v>
      </c>
      <c r="N744" s="11">
        <f>IFERROR(Table5[[#This Row],[final_sale_price]]*Table5[[#This Row],[quantity_sold ]],0)</f>
        <v>122549.23999999999</v>
      </c>
      <c r="O744" s="11">
        <f>(Table5[[#This Row],[final_sale_price]]-Table5[[#This Row],[cost_price]])*Table5[[#This Row],[quantity_sold ]]</f>
        <v>45149.72</v>
      </c>
      <c r="P744" s="11">
        <f>(Table5[final_sale_price]-Table5[[#This Row],[avg_comp_price]])</f>
        <v>2618.2009999999996</v>
      </c>
      <c r="Q744" s="15">
        <f>(Table5[[#This Row],[final_sale_price]]-Table5[[#This Row],[avg_comp_price]])/Table5[[#This Row],[avg_comp_price]]</f>
        <v>5.8765986577783753</v>
      </c>
      <c r="R744" s="11">
        <f>Table5[[#This Row],[Profit]]/Table5[[#This Row],[Revenue]]</f>
        <v>0.36842105263157898</v>
      </c>
    </row>
    <row r="745" spans="1:18" x14ac:dyDescent="0.2">
      <c r="A745" s="5">
        <v>744</v>
      </c>
      <c r="B745" s="5">
        <v>78</v>
      </c>
      <c r="C745" s="7">
        <v>44948</v>
      </c>
      <c r="D745" s="5">
        <v>34</v>
      </c>
      <c r="E745" s="4">
        <v>10</v>
      </c>
      <c r="F745" s="12">
        <f t="shared" si="11"/>
        <v>779.16600000000005</v>
      </c>
      <c r="G745" t="str">
        <f>VLOOKUP(B745,product_tbl[],2,FALSE)</f>
        <v>Biography 78</v>
      </c>
      <c r="H745" t="str">
        <f>VLOOKUP(B745,product_tbl[],3,FALSE)</f>
        <v>Books</v>
      </c>
      <c r="I745">
        <v>519.44399999999996</v>
      </c>
      <c r="J745">
        <f>VLOOKUP(B745,product_tbl[],5,FALSE)</f>
        <v>865.74</v>
      </c>
      <c r="K745">
        <f>VLOOKUP(B745,review_tbl[],3,FALSE)</f>
        <v>4</v>
      </c>
      <c r="L745" s="11">
        <v>1110.1156632993047</v>
      </c>
      <c r="M745" s="11">
        <f>AVERAGEIF(Table1[product_id],Master_tbl!B745:B1746,Table1[competitor_price])</f>
        <v>398.392</v>
      </c>
      <c r="N745" s="11">
        <f>IFERROR(Table5[[#This Row],[final_sale_price]]*Table5[[#This Row],[quantity_sold ]],0)</f>
        <v>26491.644</v>
      </c>
      <c r="O745" s="11">
        <f>(Table5[[#This Row],[final_sale_price]]-Table5[[#This Row],[cost_price]])*Table5[[#This Row],[quantity_sold ]]</f>
        <v>8830.5480000000025</v>
      </c>
      <c r="P745" s="11">
        <f>(Table5[final_sale_price]-Table5[[#This Row],[avg_comp_price]])</f>
        <v>380.77400000000006</v>
      </c>
      <c r="Q745" s="15">
        <f>(Table5[[#This Row],[final_sale_price]]-Table5[[#This Row],[avg_comp_price]])/Table5[[#This Row],[avg_comp_price]]</f>
        <v>0.95577722444225799</v>
      </c>
      <c r="R745" s="11">
        <f>Table5[[#This Row],[Profit]]/Table5[[#This Row],[Revenue]]</f>
        <v>0.33333333333333343</v>
      </c>
    </row>
    <row r="746" spans="1:18" x14ac:dyDescent="0.2">
      <c r="A746" s="4">
        <v>745</v>
      </c>
      <c r="B746" s="4">
        <v>41</v>
      </c>
      <c r="C746" s="6">
        <v>45786</v>
      </c>
      <c r="D746" s="4">
        <v>20</v>
      </c>
      <c r="E746" s="4">
        <v>7</v>
      </c>
      <c r="F746" s="12">
        <f t="shared" si="11"/>
        <v>2865.7670999999996</v>
      </c>
      <c r="G746" t="str">
        <f>VLOOKUP(B746,product_tbl[],2,FALSE)</f>
        <v>Olive Oil 41</v>
      </c>
      <c r="H746" t="str">
        <f>VLOOKUP(B746,product_tbl[],3,FALSE)</f>
        <v>Grocery</v>
      </c>
      <c r="I746">
        <v>1848.8819999999998</v>
      </c>
      <c r="J746">
        <f>VLOOKUP(B746,product_tbl[],5,FALSE)</f>
        <v>3081.47</v>
      </c>
      <c r="K746">
        <f>VLOOKUP(B746,review_tbl[],3,FALSE)</f>
        <v>1</v>
      </c>
      <c r="L746" s="11">
        <v>3934.3135933429899</v>
      </c>
      <c r="M746" s="11">
        <f>AVERAGEIF(Table1[product_id],Master_tbl!B746:B1747,Table1[competitor_price])</f>
        <v>1589.1249999999998</v>
      </c>
      <c r="N746" s="11">
        <f>IFERROR(Table5[[#This Row],[final_sale_price]]*Table5[[#This Row],[quantity_sold ]],0)</f>
        <v>57315.34199999999</v>
      </c>
      <c r="O746" s="11">
        <f>(Table5[[#This Row],[final_sale_price]]-Table5[[#This Row],[cost_price]])*Table5[[#This Row],[quantity_sold ]]</f>
        <v>20337.701999999994</v>
      </c>
      <c r="P746" s="11">
        <f>(Table5[final_sale_price]-Table5[[#This Row],[avg_comp_price]])</f>
        <v>1276.6420999999998</v>
      </c>
      <c r="Q746" s="15">
        <f>(Table5[[#This Row],[final_sale_price]]-Table5[[#This Row],[avg_comp_price]])/Table5[[#This Row],[avg_comp_price]]</f>
        <v>0.80336166129159126</v>
      </c>
      <c r="R746" s="11">
        <f>Table5[[#This Row],[Profit]]/Table5[[#This Row],[Revenue]]</f>
        <v>0.35483870967741932</v>
      </c>
    </row>
    <row r="747" spans="1:18" x14ac:dyDescent="0.2">
      <c r="A747" s="5">
        <v>746</v>
      </c>
      <c r="B747" s="5">
        <v>59</v>
      </c>
      <c r="C747" s="7">
        <v>45682</v>
      </c>
      <c r="D747" s="5">
        <v>5</v>
      </c>
      <c r="E747" s="4">
        <v>7</v>
      </c>
      <c r="F747" s="12">
        <f t="shared" si="11"/>
        <v>3859.9742999999999</v>
      </c>
      <c r="G747" t="str">
        <f>VLOOKUP(B747,product_tbl[],2,FALSE)</f>
        <v>Smartwatch 59</v>
      </c>
      <c r="H747" t="str">
        <f>VLOOKUP(B747,product_tbl[],3,FALSE)</f>
        <v>Electronics</v>
      </c>
      <c r="I747">
        <v>2490.306</v>
      </c>
      <c r="J747">
        <f>VLOOKUP(B747,product_tbl[],5,FALSE)</f>
        <v>4150.51</v>
      </c>
      <c r="K747">
        <f>VLOOKUP(B747,review_tbl[],3,FALSE)</f>
        <v>3</v>
      </c>
      <c r="L747" s="11">
        <v>4786.6143871350905</v>
      </c>
      <c r="M747" s="11">
        <f>AVERAGEIF(Table1[product_id],Master_tbl!B747:B1748,Table1[competitor_price])</f>
        <v>6105.9674999999997</v>
      </c>
      <c r="N747" s="11">
        <f>IFERROR(Table5[[#This Row],[final_sale_price]]*Table5[[#This Row],[quantity_sold ]],0)</f>
        <v>19299.871500000001</v>
      </c>
      <c r="O747" s="11">
        <f>(Table5[[#This Row],[final_sale_price]]-Table5[[#This Row],[cost_price]])*Table5[[#This Row],[quantity_sold ]]</f>
        <v>6848.3414999999986</v>
      </c>
      <c r="P747" s="11">
        <f>(Table5[final_sale_price]-Table5[[#This Row],[avg_comp_price]])</f>
        <v>-2245.9931999999999</v>
      </c>
      <c r="Q747" s="15">
        <f>(Table5[[#This Row],[final_sale_price]]-Table5[[#This Row],[avg_comp_price]])/Table5[[#This Row],[avg_comp_price]]</f>
        <v>-0.36783576067183454</v>
      </c>
      <c r="R747" s="11">
        <f>Table5[[#This Row],[Profit]]/Table5[[#This Row],[Revenue]]</f>
        <v>0.35483870967741926</v>
      </c>
    </row>
    <row r="748" spans="1:18" x14ac:dyDescent="0.2">
      <c r="A748" s="4">
        <v>747</v>
      </c>
      <c r="B748" s="4">
        <v>126</v>
      </c>
      <c r="C748" s="6">
        <v>46013</v>
      </c>
      <c r="D748" s="4">
        <v>14</v>
      </c>
      <c r="E748" s="4">
        <v>4</v>
      </c>
      <c r="F748" s="12">
        <f t="shared" si="11"/>
        <v>972.70079999999996</v>
      </c>
      <c r="G748" t="str">
        <f>VLOOKUP(B748,product_tbl[],2,FALSE)</f>
        <v>Cricket Bat 126</v>
      </c>
      <c r="H748" t="str">
        <f>VLOOKUP(B748,product_tbl[],3,FALSE)</f>
        <v>Sports</v>
      </c>
      <c r="I748">
        <v>607.93799999999999</v>
      </c>
      <c r="J748">
        <f>VLOOKUP(B748,product_tbl[],5,FALSE)</f>
        <v>1013.23</v>
      </c>
      <c r="K748">
        <f>VLOOKUP(B748,review_tbl[],3,FALSE)</f>
        <v>5</v>
      </c>
      <c r="L748" s="11">
        <v>1095.9504059533529</v>
      </c>
      <c r="M748" s="11">
        <f>AVERAGEIF(Table1[product_id],Master_tbl!B748:B1749,Table1[competitor_price])</f>
        <v>7593.0025000000005</v>
      </c>
      <c r="N748" s="11">
        <f>IFERROR(Table5[[#This Row],[final_sale_price]]*Table5[[#This Row],[quantity_sold ]],0)</f>
        <v>13617.8112</v>
      </c>
      <c r="O748" s="11">
        <f>(Table5[[#This Row],[final_sale_price]]-Table5[[#This Row],[cost_price]])*Table5[[#This Row],[quantity_sold ]]</f>
        <v>5106.6791999999996</v>
      </c>
      <c r="P748" s="11">
        <f>(Table5[final_sale_price]-Table5[[#This Row],[avg_comp_price]])</f>
        <v>-6620.3017000000009</v>
      </c>
      <c r="Q748" s="15">
        <f>(Table5[[#This Row],[final_sale_price]]-Table5[[#This Row],[avg_comp_price]])/Table5[[#This Row],[avg_comp_price]]</f>
        <v>-0.87189510341923371</v>
      </c>
      <c r="R748" s="11">
        <f>Table5[[#This Row],[Profit]]/Table5[[#This Row],[Revenue]]</f>
        <v>0.37499999999999994</v>
      </c>
    </row>
    <row r="749" spans="1:18" x14ac:dyDescent="0.2">
      <c r="A749" s="5">
        <v>748</v>
      </c>
      <c r="B749" s="5">
        <v>35</v>
      </c>
      <c r="C749" s="7">
        <v>45448</v>
      </c>
      <c r="D749" s="5">
        <v>16</v>
      </c>
      <c r="E749" s="4">
        <v>7</v>
      </c>
      <c r="F749" s="12">
        <f t="shared" si="11"/>
        <v>125.72669999999999</v>
      </c>
      <c r="G749" t="str">
        <f>VLOOKUP(B749,product_tbl[],2,FALSE)</f>
        <v>Sneakers 35</v>
      </c>
      <c r="H749" t="str">
        <f>VLOOKUP(B749,product_tbl[],3,FALSE)</f>
        <v>Fashion</v>
      </c>
      <c r="I749">
        <v>81.11399999999999</v>
      </c>
      <c r="J749">
        <f>VLOOKUP(B749,product_tbl[],5,FALSE)</f>
        <v>135.19</v>
      </c>
      <c r="K749">
        <f>VLOOKUP(B749,review_tbl[],3,FALSE)</f>
        <v>3</v>
      </c>
      <c r="L749" s="11">
        <v>153.5234315101296</v>
      </c>
      <c r="M749" s="11">
        <f>AVERAGEIF(Table1[product_id],Master_tbl!B749:B1750,Table1[competitor_price])</f>
        <v>2089.5899999999997</v>
      </c>
      <c r="N749" s="11">
        <f>IFERROR(Table5[[#This Row],[final_sale_price]]*Table5[[#This Row],[quantity_sold ]],0)</f>
        <v>2011.6271999999999</v>
      </c>
      <c r="O749" s="11">
        <f>(Table5[[#This Row],[final_sale_price]]-Table5[[#This Row],[cost_price]])*Table5[[#This Row],[quantity_sold ]]</f>
        <v>713.80320000000006</v>
      </c>
      <c r="P749" s="11">
        <f>(Table5[final_sale_price]-Table5[[#This Row],[avg_comp_price]])</f>
        <v>-1963.8632999999998</v>
      </c>
      <c r="Q749" s="15">
        <f>(Table5[[#This Row],[final_sale_price]]-Table5[[#This Row],[avg_comp_price]])/Table5[[#This Row],[avg_comp_price]]</f>
        <v>-0.93983188089529524</v>
      </c>
      <c r="R749" s="11">
        <f>Table5[[#This Row],[Profit]]/Table5[[#This Row],[Revenue]]</f>
        <v>0.35483870967741943</v>
      </c>
    </row>
    <row r="750" spans="1:18" x14ac:dyDescent="0.2">
      <c r="A750" s="4">
        <v>749</v>
      </c>
      <c r="B750" s="4">
        <v>12</v>
      </c>
      <c r="C750" s="6">
        <v>45685</v>
      </c>
      <c r="D750" s="4">
        <v>39</v>
      </c>
      <c r="E750" s="4">
        <v>9</v>
      </c>
      <c r="F750" s="12">
        <f t="shared" si="11"/>
        <v>1469.8775000000001</v>
      </c>
      <c r="G750" t="str">
        <f>VLOOKUP(B750,product_tbl[],2,FALSE)</f>
        <v>Running Shoes 12</v>
      </c>
      <c r="H750" t="str">
        <f>VLOOKUP(B750,product_tbl[],3,FALSE)</f>
        <v>Sports</v>
      </c>
      <c r="I750">
        <v>969.15</v>
      </c>
      <c r="J750">
        <f>VLOOKUP(B750,product_tbl[],5,FALSE)</f>
        <v>1615.25</v>
      </c>
      <c r="K750">
        <f>VLOOKUP(B750,review_tbl[],3,FALSE)</f>
        <v>3</v>
      </c>
      <c r="L750" s="11">
        <v>1923.4029370285027</v>
      </c>
      <c r="M750" s="11">
        <f>AVERAGEIF(Table1[product_id],Master_tbl!B750:B1751,Table1[competitor_price])</f>
        <v>4365.21</v>
      </c>
      <c r="N750" s="11">
        <f>IFERROR(Table5[[#This Row],[final_sale_price]]*Table5[[#This Row],[quantity_sold ]],0)</f>
        <v>57325.222500000003</v>
      </c>
      <c r="O750" s="11">
        <f>(Table5[[#This Row],[final_sale_price]]-Table5[[#This Row],[cost_price]])*Table5[[#This Row],[quantity_sold ]]</f>
        <v>19528.372500000001</v>
      </c>
      <c r="P750" s="11">
        <f>(Table5[final_sale_price]-Table5[[#This Row],[avg_comp_price]])</f>
        <v>-2895.3325</v>
      </c>
      <c r="Q750" s="15">
        <f>(Table5[[#This Row],[final_sale_price]]-Table5[[#This Row],[avg_comp_price]])/Table5[[#This Row],[avg_comp_price]]</f>
        <v>-0.66327450454846382</v>
      </c>
      <c r="R750" s="11">
        <f>Table5[[#This Row],[Profit]]/Table5[[#This Row],[Revenue]]</f>
        <v>0.34065934065934067</v>
      </c>
    </row>
    <row r="751" spans="1:18" x14ac:dyDescent="0.2">
      <c r="A751" s="5">
        <v>750</v>
      </c>
      <c r="B751" s="5">
        <v>60</v>
      </c>
      <c r="C751" s="7">
        <v>45994</v>
      </c>
      <c r="D751" s="5">
        <v>41</v>
      </c>
      <c r="E751" s="4">
        <v>10</v>
      </c>
      <c r="F751" s="12">
        <f t="shared" si="11"/>
        <v>2495.3490000000002</v>
      </c>
      <c r="G751" t="str">
        <f>VLOOKUP(B751,product_tbl[],2,FALSE)</f>
        <v>Biography 60</v>
      </c>
      <c r="H751" t="str">
        <f>VLOOKUP(B751,product_tbl[],3,FALSE)</f>
        <v>Books</v>
      </c>
      <c r="I751">
        <v>1663.566</v>
      </c>
      <c r="J751">
        <f>VLOOKUP(B751,product_tbl[],5,FALSE)</f>
        <v>2772.61</v>
      </c>
      <c r="K751">
        <f>VLOOKUP(B751,review_tbl[],3,FALSE)</f>
        <v>2</v>
      </c>
      <c r="L751" s="11">
        <v>3145.8174581806807</v>
      </c>
      <c r="M751" s="11">
        <f>AVERAGEIF(Table1[product_id],Master_tbl!B751:B1752,Table1[competitor_price])</f>
        <v>3047.7533333333336</v>
      </c>
      <c r="N751" s="11">
        <f>IFERROR(Table5[[#This Row],[final_sale_price]]*Table5[[#This Row],[quantity_sold ]],0)</f>
        <v>102309.30900000001</v>
      </c>
      <c r="O751" s="11">
        <f>(Table5[[#This Row],[final_sale_price]]-Table5[[#This Row],[cost_price]])*Table5[[#This Row],[quantity_sold ]]</f>
        <v>34103.103000000003</v>
      </c>
      <c r="P751" s="11">
        <f>(Table5[final_sale_price]-Table5[[#This Row],[avg_comp_price]])</f>
        <v>-552.4043333333334</v>
      </c>
      <c r="Q751" s="15">
        <f>(Table5[[#This Row],[final_sale_price]]-Table5[[#This Row],[avg_comp_price]])/Table5[[#This Row],[avg_comp_price]]</f>
        <v>-0.18124968556072998</v>
      </c>
      <c r="R751" s="11">
        <f>Table5[[#This Row],[Profit]]/Table5[[#This Row],[Revenue]]</f>
        <v>0.33333333333333331</v>
      </c>
    </row>
    <row r="752" spans="1:18" x14ac:dyDescent="0.2">
      <c r="A752" s="4">
        <v>751</v>
      </c>
      <c r="B752" s="4">
        <v>97</v>
      </c>
      <c r="C752" s="6">
        <v>45224</v>
      </c>
      <c r="D752" s="4">
        <v>15</v>
      </c>
      <c r="E752" s="4">
        <v>9</v>
      </c>
      <c r="F752" s="12">
        <f t="shared" si="11"/>
        <v>838.69240000000002</v>
      </c>
      <c r="G752" t="str">
        <f>VLOOKUP(B752,product_tbl[],2,FALSE)</f>
        <v>Washing Machine 97</v>
      </c>
      <c r="H752" t="str">
        <f>VLOOKUP(B752,product_tbl[],3,FALSE)</f>
        <v>Home Appliances</v>
      </c>
      <c r="I752">
        <v>552.98399999999992</v>
      </c>
      <c r="J752">
        <f>VLOOKUP(B752,product_tbl[],5,FALSE)</f>
        <v>921.64</v>
      </c>
      <c r="K752">
        <f>VLOOKUP(B752,review_tbl[],3,FALSE)</f>
        <v>3</v>
      </c>
      <c r="L752" s="11">
        <v>1109.8276813382556</v>
      </c>
      <c r="M752" s="11">
        <f>AVERAGEIF(Table1[product_id],Master_tbl!B752:B1753,Table1[competitor_price])</f>
        <v>2464.87</v>
      </c>
      <c r="N752" s="11">
        <f>IFERROR(Table5[[#This Row],[final_sale_price]]*Table5[[#This Row],[quantity_sold ]],0)</f>
        <v>12580.386</v>
      </c>
      <c r="O752" s="11">
        <f>(Table5[[#This Row],[final_sale_price]]-Table5[[#This Row],[cost_price]])*Table5[[#This Row],[quantity_sold ]]</f>
        <v>4285.6260000000011</v>
      </c>
      <c r="P752" s="11">
        <f>(Table5[final_sale_price]-Table5[[#This Row],[avg_comp_price]])</f>
        <v>-1626.1776</v>
      </c>
      <c r="Q752" s="15">
        <f>(Table5[[#This Row],[final_sale_price]]-Table5[[#This Row],[avg_comp_price]])/Table5[[#This Row],[avg_comp_price]]</f>
        <v>-0.65974173080121878</v>
      </c>
      <c r="R752" s="11">
        <f>Table5[[#This Row],[Profit]]/Table5[[#This Row],[Revenue]]</f>
        <v>0.34065934065934073</v>
      </c>
    </row>
    <row r="753" spans="1:18" x14ac:dyDescent="0.2">
      <c r="A753" s="5">
        <v>752</v>
      </c>
      <c r="B753" s="5">
        <v>49</v>
      </c>
      <c r="C753" s="7">
        <v>44992</v>
      </c>
      <c r="D753" s="5">
        <v>23</v>
      </c>
      <c r="E753" s="4">
        <v>7</v>
      </c>
      <c r="F753" s="12">
        <f t="shared" si="11"/>
        <v>3130.6961999999999</v>
      </c>
      <c r="G753" t="str">
        <f>VLOOKUP(B753,product_tbl[],2,FALSE)</f>
        <v>Foundation 49</v>
      </c>
      <c r="H753" t="str">
        <f>VLOOKUP(B753,product_tbl[],3,FALSE)</f>
        <v>Beauty</v>
      </c>
      <c r="I753">
        <v>2019.8040000000001</v>
      </c>
      <c r="J753">
        <f>VLOOKUP(B753,product_tbl[],5,FALSE)</f>
        <v>3366.34</v>
      </c>
      <c r="K753">
        <f>VLOOKUP(B753,review_tbl[],3,FALSE)</f>
        <v>4</v>
      </c>
      <c r="L753" s="11">
        <v>4203.7159204609034</v>
      </c>
      <c r="M753" s="11">
        <f>AVERAGEIF(Table1[product_id],Master_tbl!B753:B1754,Table1[competitor_price])</f>
        <v>1635.5425</v>
      </c>
      <c r="N753" s="11">
        <f>IFERROR(Table5[[#This Row],[final_sale_price]]*Table5[[#This Row],[quantity_sold ]],0)</f>
        <v>72006.012600000002</v>
      </c>
      <c r="O753" s="11">
        <f>(Table5[[#This Row],[final_sale_price]]-Table5[[#This Row],[cost_price]])*Table5[[#This Row],[quantity_sold ]]</f>
        <v>25550.520599999996</v>
      </c>
      <c r="P753" s="11">
        <f>(Table5[final_sale_price]-Table5[[#This Row],[avg_comp_price]])</f>
        <v>1495.1536999999998</v>
      </c>
      <c r="Q753" s="15">
        <f>(Table5[[#This Row],[final_sale_price]]-Table5[[#This Row],[avg_comp_price]])/Table5[[#This Row],[avg_comp_price]]</f>
        <v>0.91416377134803883</v>
      </c>
      <c r="R753" s="11">
        <f>Table5[[#This Row],[Profit]]/Table5[[#This Row],[Revenue]]</f>
        <v>0.35483870967741932</v>
      </c>
    </row>
    <row r="754" spans="1:18" x14ac:dyDescent="0.2">
      <c r="A754" s="4">
        <v>753</v>
      </c>
      <c r="B754" s="4">
        <v>84</v>
      </c>
      <c r="C754" s="6">
        <v>45003</v>
      </c>
      <c r="D754" s="4">
        <v>5</v>
      </c>
      <c r="E754" s="4">
        <v>4</v>
      </c>
      <c r="F754" s="12">
        <f t="shared" si="11"/>
        <v>7449.7536</v>
      </c>
      <c r="G754" t="str">
        <f>VLOOKUP(B754,product_tbl[],2,FALSE)</f>
        <v>Moisturizer 84</v>
      </c>
      <c r="H754" t="str">
        <f>VLOOKUP(B754,product_tbl[],3,FALSE)</f>
        <v>Beauty</v>
      </c>
      <c r="I754">
        <v>4656.0959999999995</v>
      </c>
      <c r="J754">
        <f>VLOOKUP(B754,product_tbl[],5,FALSE)</f>
        <v>7760.16</v>
      </c>
      <c r="K754">
        <f>VLOOKUP(B754,review_tbl[],3,FALSE)</f>
        <v>1</v>
      </c>
      <c r="L754" s="11">
        <v>10018.231184798364</v>
      </c>
      <c r="M754" s="11">
        <f>AVERAGEIF(Table1[product_id],Master_tbl!B754:B1755,Table1[competitor_price])</f>
        <v>2588.9250000000002</v>
      </c>
      <c r="N754" s="11">
        <f>IFERROR(Table5[[#This Row],[final_sale_price]]*Table5[[#This Row],[quantity_sold ]],0)</f>
        <v>37248.767999999996</v>
      </c>
      <c r="O754" s="11">
        <f>(Table5[[#This Row],[final_sale_price]]-Table5[[#This Row],[cost_price]])*Table5[[#This Row],[quantity_sold ]]</f>
        <v>13968.288000000002</v>
      </c>
      <c r="P754" s="11">
        <f>(Table5[final_sale_price]-Table5[[#This Row],[avg_comp_price]])</f>
        <v>4860.8285999999998</v>
      </c>
      <c r="Q754" s="15">
        <f>(Table5[[#This Row],[final_sale_price]]-Table5[[#This Row],[avg_comp_price]])/Table5[[#This Row],[avg_comp_price]]</f>
        <v>1.877547090008401</v>
      </c>
      <c r="R754" s="11">
        <f>Table5[[#This Row],[Profit]]/Table5[[#This Row],[Revenue]]</f>
        <v>0.37500000000000011</v>
      </c>
    </row>
    <row r="755" spans="1:18" x14ac:dyDescent="0.2">
      <c r="A755" s="5">
        <v>754</v>
      </c>
      <c r="B755" s="5">
        <v>12</v>
      </c>
      <c r="C755" s="7">
        <v>45862</v>
      </c>
      <c r="D755" s="5">
        <v>48</v>
      </c>
      <c r="E755" s="4">
        <v>4</v>
      </c>
      <c r="F755" s="12">
        <f t="shared" si="11"/>
        <v>1550.6399999999999</v>
      </c>
      <c r="G755" t="str">
        <f>VLOOKUP(B755,product_tbl[],2,FALSE)</f>
        <v>Running Shoes 12</v>
      </c>
      <c r="H755" t="str">
        <f>VLOOKUP(B755,product_tbl[],3,FALSE)</f>
        <v>Sports</v>
      </c>
      <c r="I755">
        <v>969.15</v>
      </c>
      <c r="J755">
        <f>VLOOKUP(B755,product_tbl[],5,FALSE)</f>
        <v>1615.25</v>
      </c>
      <c r="K755">
        <f>VLOOKUP(B755,review_tbl[],3,FALSE)</f>
        <v>3</v>
      </c>
      <c r="L755" s="11">
        <v>1880.8604985715042</v>
      </c>
      <c r="M755" s="11">
        <f>AVERAGEIF(Table1[product_id],Master_tbl!B755:B1756,Table1[competitor_price])</f>
        <v>4365.21</v>
      </c>
      <c r="N755" s="11">
        <f>IFERROR(Table5[[#This Row],[final_sale_price]]*Table5[[#This Row],[quantity_sold ]],0)</f>
        <v>74430.720000000001</v>
      </c>
      <c r="O755" s="11">
        <f>(Table5[[#This Row],[final_sale_price]]-Table5[[#This Row],[cost_price]])*Table5[[#This Row],[quantity_sold ]]</f>
        <v>27911.519999999997</v>
      </c>
      <c r="P755" s="11">
        <f>(Table5[final_sale_price]-Table5[[#This Row],[avg_comp_price]])</f>
        <v>-2814.57</v>
      </c>
      <c r="Q755" s="15">
        <f>(Table5[[#This Row],[final_sale_price]]-Table5[[#This Row],[avg_comp_price]])/Table5[[#This Row],[avg_comp_price]]</f>
        <v>-0.64477310369947838</v>
      </c>
      <c r="R755" s="11">
        <f>Table5[[#This Row],[Profit]]/Table5[[#This Row],[Revenue]]</f>
        <v>0.37499999999999994</v>
      </c>
    </row>
    <row r="756" spans="1:18" x14ac:dyDescent="0.2">
      <c r="A756" s="4">
        <v>755</v>
      </c>
      <c r="B756" s="4">
        <v>47</v>
      </c>
      <c r="C756" s="6">
        <v>45042</v>
      </c>
      <c r="D756" s="4">
        <v>25</v>
      </c>
      <c r="E756" s="4">
        <v>9</v>
      </c>
      <c r="F756" s="12">
        <f t="shared" si="11"/>
        <v>3106.3578000000002</v>
      </c>
      <c r="G756" t="str">
        <f>VLOOKUP(B756,product_tbl[],2,FALSE)</f>
        <v>Cookbook 47</v>
      </c>
      <c r="H756" t="str">
        <f>VLOOKUP(B756,product_tbl[],3,FALSE)</f>
        <v>Books</v>
      </c>
      <c r="I756">
        <v>2048.1479999999997</v>
      </c>
      <c r="J756">
        <f>VLOOKUP(B756,product_tbl[],5,FALSE)</f>
        <v>3413.58</v>
      </c>
      <c r="K756">
        <f>VLOOKUP(B756,review_tbl[],3,FALSE)</f>
        <v>5</v>
      </c>
      <c r="L756" s="11">
        <v>3668.5562295698742</v>
      </c>
      <c r="M756" s="11">
        <f>AVERAGEIF(Table1[product_id],Master_tbl!B756:B1757,Table1[competitor_price])</f>
        <v>2051.0440000000003</v>
      </c>
      <c r="N756" s="11">
        <f>IFERROR(Table5[[#This Row],[final_sale_price]]*Table5[[#This Row],[quantity_sold ]],0)</f>
        <v>77658.945000000007</v>
      </c>
      <c r="O756" s="11">
        <f>(Table5[[#This Row],[final_sale_price]]-Table5[[#This Row],[cost_price]])*Table5[[#This Row],[quantity_sold ]]</f>
        <v>26455.245000000014</v>
      </c>
      <c r="P756" s="11">
        <f>(Table5[final_sale_price]-Table5[[#This Row],[avg_comp_price]])</f>
        <v>1055.3137999999999</v>
      </c>
      <c r="Q756" s="15">
        <f>(Table5[[#This Row],[final_sale_price]]-Table5[[#This Row],[avg_comp_price]])/Table5[[#This Row],[avg_comp_price]]</f>
        <v>0.51452518814808446</v>
      </c>
      <c r="R756" s="11">
        <f>Table5[[#This Row],[Profit]]/Table5[[#This Row],[Revenue]]</f>
        <v>0.34065934065934078</v>
      </c>
    </row>
    <row r="757" spans="1:18" x14ac:dyDescent="0.2">
      <c r="A757" s="5">
        <v>756</v>
      </c>
      <c r="B757" s="5">
        <v>112</v>
      </c>
      <c r="C757" s="7">
        <v>45200</v>
      </c>
      <c r="D757" s="5">
        <v>6</v>
      </c>
      <c r="E757" s="4">
        <v>7</v>
      </c>
      <c r="F757" s="12">
        <f t="shared" si="11"/>
        <v>2543.0012999999999</v>
      </c>
      <c r="G757" t="str">
        <f>VLOOKUP(B757,product_tbl[],2,FALSE)</f>
        <v>Lipstick 112</v>
      </c>
      <c r="H757" t="str">
        <f>VLOOKUP(B757,product_tbl[],3,FALSE)</f>
        <v>Beauty</v>
      </c>
      <c r="I757">
        <v>1640.646</v>
      </c>
      <c r="J757">
        <f>VLOOKUP(B757,product_tbl[],5,FALSE)</f>
        <v>2734.41</v>
      </c>
      <c r="K757">
        <f>VLOOKUP(B757,review_tbl[],3,FALSE)</f>
        <v>1</v>
      </c>
      <c r="L757" s="11">
        <v>3074.8147798440086</v>
      </c>
      <c r="M757" s="11">
        <f>AVERAGEIF(Table1[product_id],Master_tbl!B757:B1758,Table1[competitor_price])</f>
        <v>7409.5025000000005</v>
      </c>
      <c r="N757" s="11">
        <f>IFERROR(Table5[[#This Row],[final_sale_price]]*Table5[[#This Row],[quantity_sold ]],0)</f>
        <v>15258.007799999999</v>
      </c>
      <c r="O757" s="11">
        <f>(Table5[[#This Row],[final_sale_price]]-Table5[[#This Row],[cost_price]])*Table5[[#This Row],[quantity_sold ]]</f>
        <v>5414.1317999999992</v>
      </c>
      <c r="P757" s="11">
        <f>(Table5[final_sale_price]-Table5[[#This Row],[avg_comp_price]])</f>
        <v>-4866.5012000000006</v>
      </c>
      <c r="Q757" s="15">
        <f>(Table5[[#This Row],[final_sale_price]]-Table5[[#This Row],[avg_comp_price]])/Table5[[#This Row],[avg_comp_price]]</f>
        <v>-0.65679189662193926</v>
      </c>
      <c r="R757" s="11">
        <f>Table5[[#This Row],[Profit]]/Table5[[#This Row],[Revenue]]</f>
        <v>0.35483870967741932</v>
      </c>
    </row>
    <row r="758" spans="1:18" x14ac:dyDescent="0.2">
      <c r="A758" s="4">
        <v>757</v>
      </c>
      <c r="B758" s="4">
        <v>87</v>
      </c>
      <c r="C758" s="6">
        <v>45961</v>
      </c>
      <c r="D758" s="4">
        <v>33</v>
      </c>
      <c r="E758" s="4">
        <v>10</v>
      </c>
      <c r="F758" s="12">
        <f t="shared" si="11"/>
        <v>3684.7080000000001</v>
      </c>
      <c r="G758" t="str">
        <f>VLOOKUP(B758,product_tbl[],2,FALSE)</f>
        <v>Laptop 87</v>
      </c>
      <c r="H758" t="str">
        <f>VLOOKUP(B758,product_tbl[],3,FALSE)</f>
        <v>Electronics</v>
      </c>
      <c r="I758">
        <v>2456.4719999999998</v>
      </c>
      <c r="J758">
        <f>VLOOKUP(B758,product_tbl[],5,FALSE)</f>
        <v>4094.12</v>
      </c>
      <c r="K758">
        <f>VLOOKUP(B758,review_tbl[],3,FALSE)</f>
        <v>2</v>
      </c>
      <c r="L758" s="11">
        <v>4650.0180806354456</v>
      </c>
      <c r="M758" s="11">
        <f>AVERAGEIF(Table1[product_id],Master_tbl!B758:B1759,Table1[competitor_price])</f>
        <v>493.79250000000002</v>
      </c>
      <c r="N758" s="11">
        <f>IFERROR(Table5[[#This Row],[final_sale_price]]*Table5[[#This Row],[quantity_sold ]],0)</f>
        <v>121595.364</v>
      </c>
      <c r="O758" s="11">
        <f>(Table5[[#This Row],[final_sale_price]]-Table5[[#This Row],[cost_price]])*Table5[[#This Row],[quantity_sold ]]</f>
        <v>40531.788000000008</v>
      </c>
      <c r="P758" s="11">
        <f>(Table5[final_sale_price]-Table5[[#This Row],[avg_comp_price]])</f>
        <v>3190.9155000000001</v>
      </c>
      <c r="Q758" s="15">
        <f>(Table5[[#This Row],[final_sale_price]]-Table5[[#This Row],[avg_comp_price]])/Table5[[#This Row],[avg_comp_price]]</f>
        <v>6.4620574431567919</v>
      </c>
      <c r="R758" s="11">
        <f>Table5[[#This Row],[Profit]]/Table5[[#This Row],[Revenue]]</f>
        <v>0.33333333333333337</v>
      </c>
    </row>
    <row r="759" spans="1:18" x14ac:dyDescent="0.2">
      <c r="A759" s="5">
        <v>758</v>
      </c>
      <c r="B759" s="5">
        <v>61</v>
      </c>
      <c r="C759" s="7">
        <v>45571</v>
      </c>
      <c r="D759" s="5">
        <v>9</v>
      </c>
      <c r="E759" s="4">
        <v>8</v>
      </c>
      <c r="F759" s="12">
        <f t="shared" si="11"/>
        <v>2246.8607999999999</v>
      </c>
      <c r="G759" t="str">
        <f>VLOOKUP(B759,product_tbl[],2,FALSE)</f>
        <v>Green Tea 61</v>
      </c>
      <c r="H759" t="str">
        <f>VLOOKUP(B759,product_tbl[],3,FALSE)</f>
        <v>Grocery</v>
      </c>
      <c r="I759">
        <v>1465.3439999999998</v>
      </c>
      <c r="J759">
        <f>VLOOKUP(B759,product_tbl[],5,FALSE)</f>
        <v>2442.2399999999998</v>
      </c>
      <c r="K759">
        <f>VLOOKUP(B759,review_tbl[],3,FALSE)</f>
        <v>5</v>
      </c>
      <c r="L759" s="11">
        <v>2648.3965535890679</v>
      </c>
      <c r="M759" s="11">
        <f>AVERAGEIF(Table1[product_id],Master_tbl!B759:B1760,Table1[competitor_price])</f>
        <v>411.75600000000003</v>
      </c>
      <c r="N759" s="11">
        <f>IFERROR(Table5[[#This Row],[final_sale_price]]*Table5[[#This Row],[quantity_sold ]],0)</f>
        <v>20221.747199999998</v>
      </c>
      <c r="O759" s="11">
        <f>(Table5[[#This Row],[final_sale_price]]-Table5[[#This Row],[cost_price]])*Table5[[#This Row],[quantity_sold ]]</f>
        <v>7033.6512000000012</v>
      </c>
      <c r="P759" s="11">
        <f>(Table5[final_sale_price]-Table5[[#This Row],[avg_comp_price]])</f>
        <v>1835.1047999999998</v>
      </c>
      <c r="Q759" s="15">
        <f>(Table5[[#This Row],[final_sale_price]]-Table5[[#This Row],[avg_comp_price]])/Table5[[#This Row],[avg_comp_price]]</f>
        <v>4.4567773147203678</v>
      </c>
      <c r="R759" s="11">
        <f>Table5[[#This Row],[Profit]]/Table5[[#This Row],[Revenue]]</f>
        <v>0.34782608695652184</v>
      </c>
    </row>
    <row r="760" spans="1:18" x14ac:dyDescent="0.2">
      <c r="A760" s="4">
        <v>759</v>
      </c>
      <c r="B760" s="4">
        <v>18</v>
      </c>
      <c r="C760" s="6">
        <v>45165</v>
      </c>
      <c r="D760" s="4">
        <v>43</v>
      </c>
      <c r="E760" s="4">
        <v>2</v>
      </c>
      <c r="F760" s="12">
        <f t="shared" si="11"/>
        <v>8267.2309999999998</v>
      </c>
      <c r="G760" t="str">
        <f>VLOOKUP(B760,product_tbl[],2,FALSE)</f>
        <v>Coffee Beans 18</v>
      </c>
      <c r="H760" t="str">
        <f>VLOOKUP(B760,product_tbl[],3,FALSE)</f>
        <v>Grocery</v>
      </c>
      <c r="I760">
        <v>5061.5700000000006</v>
      </c>
      <c r="J760">
        <f>VLOOKUP(B760,product_tbl[],5,FALSE)</f>
        <v>8435.9500000000007</v>
      </c>
      <c r="K760">
        <f>VLOOKUP(B760,review_tbl[],3,FALSE)</f>
        <v>3</v>
      </c>
      <c r="L760" s="11">
        <v>9463.9007704780233</v>
      </c>
      <c r="M760" s="11">
        <f>AVERAGEIF(Table1[product_id],Master_tbl!B760:B1761,Table1[competitor_price])</f>
        <v>1552.9240000000002</v>
      </c>
      <c r="N760" s="11">
        <f>IFERROR(Table5[[#This Row],[final_sale_price]]*Table5[[#This Row],[quantity_sold ]],0)</f>
        <v>355490.93299999996</v>
      </c>
      <c r="O760" s="11">
        <f>(Table5[[#This Row],[final_sale_price]]-Table5[[#This Row],[cost_price]])*Table5[[#This Row],[quantity_sold ]]</f>
        <v>137843.42299999995</v>
      </c>
      <c r="P760" s="11">
        <f>(Table5[final_sale_price]-Table5[[#This Row],[avg_comp_price]])</f>
        <v>6714.3069999999998</v>
      </c>
      <c r="Q760" s="15">
        <f>(Table5[[#This Row],[final_sale_price]]-Table5[[#This Row],[avg_comp_price]])/Table5[[#This Row],[avg_comp_price]]</f>
        <v>4.3236546025433302</v>
      </c>
      <c r="R760" s="11">
        <f>Table5[[#This Row],[Profit]]/Table5[[#This Row],[Revenue]]</f>
        <v>0.38775510204081626</v>
      </c>
    </row>
    <row r="761" spans="1:18" x14ac:dyDescent="0.2">
      <c r="A761" s="5">
        <v>760</v>
      </c>
      <c r="B761" s="5">
        <v>139</v>
      </c>
      <c r="C761" s="7">
        <v>45698</v>
      </c>
      <c r="D761" s="5">
        <v>50</v>
      </c>
      <c r="E761" s="4">
        <v>2</v>
      </c>
      <c r="F761" s="12">
        <f t="shared" si="11"/>
        <v>2539.2583999999997</v>
      </c>
      <c r="G761" t="str">
        <f>VLOOKUP(B761,product_tbl[],2,FALSE)</f>
        <v>Jacket 139</v>
      </c>
      <c r="H761" t="str">
        <f>VLOOKUP(B761,product_tbl[],3,FALSE)</f>
        <v>Fashion</v>
      </c>
      <c r="I761">
        <v>1554.6479999999999</v>
      </c>
      <c r="J761">
        <f>VLOOKUP(B761,product_tbl[],5,FALSE)</f>
        <v>2591.08</v>
      </c>
      <c r="K761">
        <f>VLOOKUP(B761,review_tbl[],3,FALSE)</f>
        <v>5</v>
      </c>
      <c r="L761" s="11">
        <v>3038.2307582838093</v>
      </c>
      <c r="M761" s="11">
        <f>AVERAGEIF(Table1[product_id],Master_tbl!B761:B1762,Table1[competitor_price])</f>
        <v>2839.1733333333336</v>
      </c>
      <c r="N761" s="11">
        <f>IFERROR(Table5[[#This Row],[final_sale_price]]*Table5[[#This Row],[quantity_sold ]],0)</f>
        <v>126962.91999999998</v>
      </c>
      <c r="O761" s="11">
        <f>(Table5[[#This Row],[final_sale_price]]-Table5[[#This Row],[cost_price]])*Table5[[#This Row],[quantity_sold ]]</f>
        <v>49230.51999999999</v>
      </c>
      <c r="P761" s="11">
        <f>(Table5[final_sale_price]-Table5[[#This Row],[avg_comp_price]])</f>
        <v>-299.91493333333392</v>
      </c>
      <c r="Q761" s="15">
        <f>(Table5[[#This Row],[final_sale_price]]-Table5[[#This Row],[avg_comp_price]])/Table5[[#This Row],[avg_comp_price]]</f>
        <v>-0.10563459786416723</v>
      </c>
      <c r="R761" s="11">
        <f>Table5[[#This Row],[Profit]]/Table5[[#This Row],[Revenue]]</f>
        <v>0.38775510204081631</v>
      </c>
    </row>
    <row r="762" spans="1:18" x14ac:dyDescent="0.2">
      <c r="A762" s="4">
        <v>761</v>
      </c>
      <c r="B762" s="4">
        <v>9</v>
      </c>
      <c r="C762" s="6">
        <v>45072</v>
      </c>
      <c r="D762" s="4">
        <v>28</v>
      </c>
      <c r="E762" s="4">
        <v>9</v>
      </c>
      <c r="F762" s="12">
        <f t="shared" si="11"/>
        <v>2606.1035000000002</v>
      </c>
      <c r="G762" t="str">
        <f>VLOOKUP(B762,product_tbl[],2,FALSE)</f>
        <v>Air Conditioner 9</v>
      </c>
      <c r="H762" t="str">
        <f>VLOOKUP(B762,product_tbl[],3,FALSE)</f>
        <v>Home Appliances</v>
      </c>
      <c r="I762">
        <v>1718.31</v>
      </c>
      <c r="J762">
        <f>VLOOKUP(B762,product_tbl[],5,FALSE)</f>
        <v>2863.85</v>
      </c>
      <c r="K762">
        <f>VLOOKUP(B762,review_tbl[],3,FALSE)</f>
        <v>5</v>
      </c>
      <c r="L762" s="11">
        <v>2996.3606424966447</v>
      </c>
      <c r="M762" s="11">
        <f>AVERAGEIF(Table1[product_id],Master_tbl!B762:B1763,Table1[competitor_price])</f>
        <v>6325.1699999999992</v>
      </c>
      <c r="N762" s="11">
        <f>IFERROR(Table5[[#This Row],[final_sale_price]]*Table5[[#This Row],[quantity_sold ]],0)</f>
        <v>72970.898000000001</v>
      </c>
      <c r="O762" s="11">
        <f>(Table5[[#This Row],[final_sale_price]]-Table5[[#This Row],[cost_price]])*Table5[[#This Row],[quantity_sold ]]</f>
        <v>24858.218000000008</v>
      </c>
      <c r="P762" s="11">
        <f>(Table5[final_sale_price]-Table5[[#This Row],[avg_comp_price]])</f>
        <v>-3719.066499999999</v>
      </c>
      <c r="Q762" s="15">
        <f>(Table5[[#This Row],[final_sale_price]]-Table5[[#This Row],[avg_comp_price]])/Table5[[#This Row],[avg_comp_price]]</f>
        <v>-0.58797890017185306</v>
      </c>
      <c r="R762" s="11">
        <f>Table5[[#This Row],[Profit]]/Table5[[#This Row],[Revenue]]</f>
        <v>0.34065934065934078</v>
      </c>
    </row>
    <row r="763" spans="1:18" x14ac:dyDescent="0.2">
      <c r="A763" s="5">
        <v>762</v>
      </c>
      <c r="B763" s="5">
        <v>115</v>
      </c>
      <c r="C763" s="7">
        <v>45516</v>
      </c>
      <c r="D763" s="5">
        <v>44</v>
      </c>
      <c r="E763" s="4">
        <v>5</v>
      </c>
      <c r="F763" s="12">
        <f t="shared" si="11"/>
        <v>4456.7159999999994</v>
      </c>
      <c r="G763" t="str">
        <f>VLOOKUP(B763,product_tbl[],2,FALSE)</f>
        <v>Children Story Book 115</v>
      </c>
      <c r="H763" t="str">
        <f>VLOOKUP(B763,product_tbl[],3,FALSE)</f>
        <v>Books</v>
      </c>
      <c r="I763">
        <v>2814.7679999999996</v>
      </c>
      <c r="J763">
        <f>VLOOKUP(B763,product_tbl[],5,FALSE)</f>
        <v>4691.28</v>
      </c>
      <c r="K763">
        <f>VLOOKUP(B763,review_tbl[],3,FALSE)</f>
        <v>2</v>
      </c>
      <c r="L763" s="11">
        <v>5872.3791505606641</v>
      </c>
      <c r="M763" s="11">
        <f>AVERAGEIF(Table1[product_id],Master_tbl!B763:B1764,Table1[competitor_price])</f>
        <v>4456.5325000000003</v>
      </c>
      <c r="N763" s="11">
        <f>IFERROR(Table5[[#This Row],[final_sale_price]]*Table5[[#This Row],[quantity_sold ]],0)</f>
        <v>196095.50399999999</v>
      </c>
      <c r="O763" s="11">
        <f>(Table5[[#This Row],[final_sale_price]]-Table5[[#This Row],[cost_price]])*Table5[[#This Row],[quantity_sold ]]</f>
        <v>72245.712</v>
      </c>
      <c r="P763" s="11">
        <f>(Table5[final_sale_price]-Table5[[#This Row],[avg_comp_price]])</f>
        <v>0.18349999999918509</v>
      </c>
      <c r="Q763" s="15">
        <f>(Table5[[#This Row],[final_sale_price]]-Table5[[#This Row],[avg_comp_price]])/Table5[[#This Row],[avg_comp_price]]</f>
        <v>4.1175510332121463E-5</v>
      </c>
      <c r="R763" s="11">
        <f>Table5[[#This Row],[Profit]]/Table5[[#This Row],[Revenue]]</f>
        <v>0.36842105263157898</v>
      </c>
    </row>
    <row r="764" spans="1:18" x14ac:dyDescent="0.2">
      <c r="A764" s="4">
        <v>763</v>
      </c>
      <c r="B764" s="4">
        <v>78</v>
      </c>
      <c r="C764" s="6">
        <v>45407</v>
      </c>
      <c r="D764" s="4">
        <v>1</v>
      </c>
      <c r="E764" s="4">
        <v>2</v>
      </c>
      <c r="F764" s="12">
        <f t="shared" si="11"/>
        <v>848.42520000000002</v>
      </c>
      <c r="G764" t="str">
        <f>VLOOKUP(B764,product_tbl[],2,FALSE)</f>
        <v>Biography 78</v>
      </c>
      <c r="H764" t="str">
        <f>VLOOKUP(B764,product_tbl[],3,FALSE)</f>
        <v>Books</v>
      </c>
      <c r="I764">
        <v>519.44399999999996</v>
      </c>
      <c r="J764">
        <f>VLOOKUP(B764,product_tbl[],5,FALSE)</f>
        <v>865.74</v>
      </c>
      <c r="K764">
        <f>VLOOKUP(B764,review_tbl[],3,FALSE)</f>
        <v>4</v>
      </c>
      <c r="L764" s="11">
        <v>1033.8093262473765</v>
      </c>
      <c r="M764" s="11">
        <f>AVERAGEIF(Table1[product_id],Master_tbl!B764:B1765,Table1[competitor_price])</f>
        <v>398.392</v>
      </c>
      <c r="N764" s="11">
        <f>IFERROR(Table5[[#This Row],[final_sale_price]]*Table5[[#This Row],[quantity_sold ]],0)</f>
        <v>848.42520000000002</v>
      </c>
      <c r="O764" s="11">
        <f>(Table5[[#This Row],[final_sale_price]]-Table5[[#This Row],[cost_price]])*Table5[[#This Row],[quantity_sold ]]</f>
        <v>328.98120000000006</v>
      </c>
      <c r="P764" s="11">
        <f>(Table5[final_sale_price]-Table5[[#This Row],[avg_comp_price]])</f>
        <v>450.03320000000002</v>
      </c>
      <c r="Q764" s="15">
        <f>(Table5[[#This Row],[final_sale_price]]-Table5[[#This Row],[avg_comp_price]])/Table5[[#This Row],[avg_comp_price]]</f>
        <v>1.1296240888371254</v>
      </c>
      <c r="R764" s="11">
        <f>Table5[[#This Row],[Profit]]/Table5[[#This Row],[Revenue]]</f>
        <v>0.38775510204081637</v>
      </c>
    </row>
    <row r="765" spans="1:18" x14ac:dyDescent="0.2">
      <c r="A765" s="5">
        <v>764</v>
      </c>
      <c r="B765" s="5">
        <v>15</v>
      </c>
      <c r="C765" s="7">
        <v>45383</v>
      </c>
      <c r="D765" s="5">
        <v>27</v>
      </c>
      <c r="E765" s="4">
        <v>6</v>
      </c>
      <c r="F765" s="12">
        <f t="shared" si="11"/>
        <v>4550.9911999999995</v>
      </c>
      <c r="G765" t="str">
        <f>VLOOKUP(B765,product_tbl[],2,FALSE)</f>
        <v>Tennis Racket 15</v>
      </c>
      <c r="H765" t="str">
        <f>VLOOKUP(B765,product_tbl[],3,FALSE)</f>
        <v>Sports</v>
      </c>
      <c r="I765">
        <v>2904.8879999999995</v>
      </c>
      <c r="J765">
        <f>VLOOKUP(B765,product_tbl[],5,FALSE)</f>
        <v>4841.4799999999996</v>
      </c>
      <c r="K765">
        <f>VLOOKUP(B765,review_tbl[],3,FALSE)</f>
        <v>4</v>
      </c>
      <c r="L765" s="11">
        <v>5373.4467486932635</v>
      </c>
      <c r="M765" s="11">
        <f>AVERAGEIF(Table1[product_id],Master_tbl!B765:B1766,Table1[competitor_price])</f>
        <v>5242.3433333333332</v>
      </c>
      <c r="N765" s="11">
        <f>IFERROR(Table5[[#This Row],[final_sale_price]]*Table5[[#This Row],[quantity_sold ]],0)</f>
        <v>122876.76239999999</v>
      </c>
      <c r="O765" s="11">
        <f>(Table5[[#This Row],[final_sale_price]]-Table5[[#This Row],[cost_price]])*Table5[[#This Row],[quantity_sold ]]</f>
        <v>44444.786399999997</v>
      </c>
      <c r="P765" s="11">
        <f>(Table5[final_sale_price]-Table5[[#This Row],[avg_comp_price]])</f>
        <v>-691.35213333333377</v>
      </c>
      <c r="Q765" s="15">
        <f>(Table5[[#This Row],[final_sale_price]]-Table5[[#This Row],[avg_comp_price]])/Table5[[#This Row],[avg_comp_price]]</f>
        <v>-0.13187845384665772</v>
      </c>
      <c r="R765" s="11">
        <f>Table5[[#This Row],[Profit]]/Table5[[#This Row],[Revenue]]</f>
        <v>0.36170212765957449</v>
      </c>
    </row>
    <row r="766" spans="1:18" x14ac:dyDescent="0.2">
      <c r="A766" s="4">
        <v>765</v>
      </c>
      <c r="B766" s="4">
        <v>22</v>
      </c>
      <c r="C766" s="6">
        <v>44954</v>
      </c>
      <c r="D766" s="4">
        <v>3</v>
      </c>
      <c r="E766" s="4">
        <v>5</v>
      </c>
      <c r="F766" s="12">
        <f t="shared" si="11"/>
        <v>1552.7749999999999</v>
      </c>
      <c r="G766" t="str">
        <f>VLOOKUP(B766,product_tbl[],2,FALSE)</f>
        <v>Dress 22</v>
      </c>
      <c r="H766" t="str">
        <f>VLOOKUP(B766,product_tbl[],3,FALSE)</f>
        <v>Fashion</v>
      </c>
      <c r="I766">
        <v>980.69999999999993</v>
      </c>
      <c r="J766">
        <f>VLOOKUP(B766,product_tbl[],5,FALSE)</f>
        <v>1634.5</v>
      </c>
      <c r="K766">
        <f>VLOOKUP(B766,review_tbl[],3,FALSE)</f>
        <v>1</v>
      </c>
      <c r="L766" s="11">
        <v>1756.6336088701894</v>
      </c>
      <c r="M766" s="11">
        <f>AVERAGEIF(Table1[product_id],Master_tbl!B766:B1767,Table1[competitor_price])</f>
        <v>3187.4450000000002</v>
      </c>
      <c r="N766" s="11">
        <f>IFERROR(Table5[[#This Row],[final_sale_price]]*Table5[[#This Row],[quantity_sold ]],0)</f>
        <v>4658.3249999999998</v>
      </c>
      <c r="O766" s="11">
        <f>(Table5[[#This Row],[final_sale_price]]-Table5[[#This Row],[cost_price]])*Table5[[#This Row],[quantity_sold ]]</f>
        <v>1716.2249999999999</v>
      </c>
      <c r="P766" s="11">
        <f>(Table5[final_sale_price]-Table5[[#This Row],[avg_comp_price]])</f>
        <v>-1634.6700000000003</v>
      </c>
      <c r="Q766" s="15">
        <f>(Table5[[#This Row],[final_sale_price]]-Table5[[#This Row],[avg_comp_price]])/Table5[[#This Row],[avg_comp_price]]</f>
        <v>-0.51284649617483602</v>
      </c>
      <c r="R766" s="11">
        <f>Table5[[#This Row],[Profit]]/Table5[[#This Row],[Revenue]]</f>
        <v>0.36842105263157893</v>
      </c>
    </row>
    <row r="767" spans="1:18" x14ac:dyDescent="0.2">
      <c r="A767" s="5">
        <v>766</v>
      </c>
      <c r="B767" s="5">
        <v>85</v>
      </c>
      <c r="C767" s="7">
        <v>45740</v>
      </c>
      <c r="D767" s="5">
        <v>32</v>
      </c>
      <c r="E767" s="4">
        <v>4</v>
      </c>
      <c r="F767" s="12">
        <f t="shared" si="11"/>
        <v>3602.9088000000002</v>
      </c>
      <c r="G767" t="str">
        <f>VLOOKUP(B767,product_tbl[],2,FALSE)</f>
        <v>Handbag 85</v>
      </c>
      <c r="H767" t="str">
        <f>VLOOKUP(B767,product_tbl[],3,FALSE)</f>
        <v>Fashion</v>
      </c>
      <c r="I767">
        <v>2251.8180000000002</v>
      </c>
      <c r="J767">
        <f>VLOOKUP(B767,product_tbl[],5,FALSE)</f>
        <v>3753.03</v>
      </c>
      <c r="K767">
        <f>VLOOKUP(B767,review_tbl[],3,FALSE)</f>
        <v>1</v>
      </c>
      <c r="L767" s="11">
        <v>4276.9670636542724</v>
      </c>
      <c r="M767" s="11">
        <f>AVERAGEIF(Table1[product_id],Master_tbl!B767:B1768,Table1[competitor_price])</f>
        <v>3340.25</v>
      </c>
      <c r="N767" s="11">
        <f>IFERROR(Table5[[#This Row],[final_sale_price]]*Table5[[#This Row],[quantity_sold ]],0)</f>
        <v>115293.0816</v>
      </c>
      <c r="O767" s="11">
        <f>(Table5[[#This Row],[final_sale_price]]-Table5[[#This Row],[cost_price]])*Table5[[#This Row],[quantity_sold ]]</f>
        <v>43234.905599999998</v>
      </c>
      <c r="P767" s="11">
        <f>(Table5[final_sale_price]-Table5[[#This Row],[avg_comp_price]])</f>
        <v>262.65880000000016</v>
      </c>
      <c r="Q767" s="15">
        <f>(Table5[[#This Row],[final_sale_price]]-Table5[[#This Row],[avg_comp_price]])/Table5[[#This Row],[avg_comp_price]]</f>
        <v>7.8634473467554866E-2</v>
      </c>
      <c r="R767" s="11">
        <f>Table5[[#This Row],[Profit]]/Table5[[#This Row],[Revenue]]</f>
        <v>0.37499999999999994</v>
      </c>
    </row>
    <row r="768" spans="1:18" x14ac:dyDescent="0.2">
      <c r="A768" s="4">
        <v>767</v>
      </c>
      <c r="B768" s="4">
        <v>87</v>
      </c>
      <c r="C768" s="6">
        <v>45094</v>
      </c>
      <c r="D768" s="4">
        <v>19</v>
      </c>
      <c r="E768" s="4">
        <v>5</v>
      </c>
      <c r="F768" s="12">
        <f t="shared" si="11"/>
        <v>3889.4139999999998</v>
      </c>
      <c r="G768" t="str">
        <f>VLOOKUP(B768,product_tbl[],2,FALSE)</f>
        <v>Laptop 87</v>
      </c>
      <c r="H768" t="str">
        <f>VLOOKUP(B768,product_tbl[],3,FALSE)</f>
        <v>Electronics</v>
      </c>
      <c r="I768">
        <v>2456.4719999999998</v>
      </c>
      <c r="J768">
        <f>VLOOKUP(B768,product_tbl[],5,FALSE)</f>
        <v>4094.12</v>
      </c>
      <c r="K768">
        <f>VLOOKUP(B768,review_tbl[],3,FALSE)</f>
        <v>2</v>
      </c>
      <c r="L768" s="11">
        <v>4095.5000662558614</v>
      </c>
      <c r="M768" s="11">
        <f>AVERAGEIF(Table1[product_id],Master_tbl!B768:B1769,Table1[competitor_price])</f>
        <v>493.79250000000002</v>
      </c>
      <c r="N768" s="11">
        <f>IFERROR(Table5[[#This Row],[final_sale_price]]*Table5[[#This Row],[quantity_sold ]],0)</f>
        <v>73898.865999999995</v>
      </c>
      <c r="O768" s="11">
        <f>(Table5[[#This Row],[final_sale_price]]-Table5[[#This Row],[cost_price]])*Table5[[#This Row],[quantity_sold ]]</f>
        <v>27225.898000000001</v>
      </c>
      <c r="P768" s="11">
        <f>(Table5[final_sale_price]-Table5[[#This Row],[avg_comp_price]])</f>
        <v>3395.6214999999997</v>
      </c>
      <c r="Q768" s="15">
        <f>(Table5[[#This Row],[final_sale_price]]-Table5[[#This Row],[avg_comp_price]])/Table5[[#This Row],[avg_comp_price]]</f>
        <v>6.8766161899988347</v>
      </c>
      <c r="R768" s="11">
        <f>Table5[[#This Row],[Profit]]/Table5[[#This Row],[Revenue]]</f>
        <v>0.36842105263157898</v>
      </c>
    </row>
    <row r="769" spans="1:18" x14ac:dyDescent="0.2">
      <c r="A769" s="5">
        <v>768</v>
      </c>
      <c r="B769" s="5">
        <v>52</v>
      </c>
      <c r="C769" s="7">
        <v>45312</v>
      </c>
      <c r="D769" s="5">
        <v>32</v>
      </c>
      <c r="E769" s="4">
        <v>3</v>
      </c>
      <c r="F769" s="12">
        <f t="shared" si="11"/>
        <v>4325.4045999999998</v>
      </c>
      <c r="G769" t="str">
        <f>VLOOKUP(B769,product_tbl[],2,FALSE)</f>
        <v>Cookbook 52</v>
      </c>
      <c r="H769" t="str">
        <f>VLOOKUP(B769,product_tbl[],3,FALSE)</f>
        <v>Books</v>
      </c>
      <c r="I769">
        <v>2675.5080000000003</v>
      </c>
      <c r="J769">
        <f>VLOOKUP(B769,product_tbl[],5,FALSE)</f>
        <v>4459.18</v>
      </c>
      <c r="K769">
        <f>VLOOKUP(B769,review_tbl[],3,FALSE)</f>
        <v>3</v>
      </c>
      <c r="L769" s="11">
        <v>5017.4326501946898</v>
      </c>
      <c r="M769" s="11">
        <f>AVERAGEIF(Table1[product_id],Master_tbl!B769:B1770,Table1[competitor_price])</f>
        <v>6258.09</v>
      </c>
      <c r="N769" s="11">
        <f>IFERROR(Table5[[#This Row],[final_sale_price]]*Table5[[#This Row],[quantity_sold ]],0)</f>
        <v>138412.9472</v>
      </c>
      <c r="O769" s="11">
        <f>(Table5[[#This Row],[final_sale_price]]-Table5[[#This Row],[cost_price]])*Table5[[#This Row],[quantity_sold ]]</f>
        <v>52796.691199999987</v>
      </c>
      <c r="P769" s="11">
        <f>(Table5[final_sale_price]-Table5[[#This Row],[avg_comp_price]])</f>
        <v>-1932.6854000000003</v>
      </c>
      <c r="Q769" s="15">
        <f>(Table5[[#This Row],[final_sale_price]]-Table5[[#This Row],[avg_comp_price]])/Table5[[#This Row],[avg_comp_price]]</f>
        <v>-0.30882991455859538</v>
      </c>
      <c r="R769" s="11">
        <f>Table5[[#This Row],[Profit]]/Table5[[#This Row],[Revenue]]</f>
        <v>0.38144329896907209</v>
      </c>
    </row>
    <row r="770" spans="1:18" x14ac:dyDescent="0.2">
      <c r="A770" s="4">
        <v>769</v>
      </c>
      <c r="B770" s="4">
        <v>22</v>
      </c>
      <c r="C770" s="6">
        <v>45602</v>
      </c>
      <c r="D770" s="4">
        <v>25</v>
      </c>
      <c r="E770" s="4">
        <v>3</v>
      </c>
      <c r="F770" s="12">
        <f t="shared" ref="F770:F833" si="12">J770*(1-E770/100)</f>
        <v>1585.4649999999999</v>
      </c>
      <c r="G770" t="str">
        <f>VLOOKUP(B770,product_tbl[],2,FALSE)</f>
        <v>Dress 22</v>
      </c>
      <c r="H770" t="str">
        <f>VLOOKUP(B770,product_tbl[],3,FALSE)</f>
        <v>Fashion</v>
      </c>
      <c r="I770">
        <v>980.69999999999993</v>
      </c>
      <c r="J770">
        <f>VLOOKUP(B770,product_tbl[],5,FALSE)</f>
        <v>1634.5</v>
      </c>
      <c r="K770">
        <f>VLOOKUP(B770,review_tbl[],3,FALSE)</f>
        <v>1</v>
      </c>
      <c r="L770" s="11">
        <v>1951.0693899497237</v>
      </c>
      <c r="M770" s="11">
        <f>AVERAGEIF(Table1[product_id],Master_tbl!B770:B1771,Table1[competitor_price])</f>
        <v>3187.4450000000002</v>
      </c>
      <c r="N770" s="11">
        <f>IFERROR(Table5[[#This Row],[final_sale_price]]*Table5[[#This Row],[quantity_sold ]],0)</f>
        <v>39636.625</v>
      </c>
      <c r="O770" s="11">
        <f>(Table5[[#This Row],[final_sale_price]]-Table5[[#This Row],[cost_price]])*Table5[[#This Row],[quantity_sold ]]</f>
        <v>15119.125</v>
      </c>
      <c r="P770" s="11">
        <f>(Table5[final_sale_price]-Table5[[#This Row],[avg_comp_price]])</f>
        <v>-1601.9800000000002</v>
      </c>
      <c r="Q770" s="15">
        <f>(Table5[[#This Row],[final_sale_price]]-Table5[[#This Row],[avg_comp_price]])/Table5[[#This Row],[avg_comp_price]]</f>
        <v>-0.50259063293641149</v>
      </c>
      <c r="R770" s="11">
        <f>Table5[[#This Row],[Profit]]/Table5[[#This Row],[Revenue]]</f>
        <v>0.38144329896907214</v>
      </c>
    </row>
    <row r="771" spans="1:18" x14ac:dyDescent="0.2">
      <c r="A771" s="5">
        <v>770</v>
      </c>
      <c r="B771" s="5">
        <v>133</v>
      </c>
      <c r="C771" s="7">
        <v>45290</v>
      </c>
      <c r="D771" s="5">
        <v>16</v>
      </c>
      <c r="E771" s="4">
        <v>4</v>
      </c>
      <c r="F771" s="12">
        <f t="shared" si="12"/>
        <v>6340.7039999999997</v>
      </c>
      <c r="G771" t="str">
        <f>VLOOKUP(B771,product_tbl[],2,FALSE)</f>
        <v>Puzzle Set 133</v>
      </c>
      <c r="H771" t="str">
        <f>VLOOKUP(B771,product_tbl[],3,FALSE)</f>
        <v>Toys</v>
      </c>
      <c r="I771">
        <v>3962.9399999999996</v>
      </c>
      <c r="J771">
        <f>VLOOKUP(B771,product_tbl[],5,FALSE)</f>
        <v>6604.9</v>
      </c>
      <c r="K771">
        <f>VLOOKUP(B771,review_tbl[],3,FALSE)</f>
        <v>4</v>
      </c>
      <c r="L771" s="11">
        <v>7414.2505178236397</v>
      </c>
      <c r="M771" s="11">
        <f>AVERAGEIF(Table1[product_id],Master_tbl!B771:B1772,Table1[competitor_price])</f>
        <v>4666.1933333333336</v>
      </c>
      <c r="N771" s="11">
        <f>IFERROR(Table5[[#This Row],[final_sale_price]]*Table5[[#This Row],[quantity_sold ]],0)</f>
        <v>101451.264</v>
      </c>
      <c r="O771" s="11">
        <f>(Table5[[#This Row],[final_sale_price]]-Table5[[#This Row],[cost_price]])*Table5[[#This Row],[quantity_sold ]]</f>
        <v>38044.224000000002</v>
      </c>
      <c r="P771" s="11">
        <f>(Table5[final_sale_price]-Table5[[#This Row],[avg_comp_price]])</f>
        <v>1674.5106666666661</v>
      </c>
      <c r="Q771" s="15">
        <f>(Table5[[#This Row],[final_sale_price]]-Table5[[#This Row],[avg_comp_price]])/Table5[[#This Row],[avg_comp_price]]</f>
        <v>0.3588601129543138</v>
      </c>
      <c r="R771" s="11">
        <f>Table5[[#This Row],[Profit]]/Table5[[#This Row],[Revenue]]</f>
        <v>0.37500000000000006</v>
      </c>
    </row>
    <row r="772" spans="1:18" x14ac:dyDescent="0.2">
      <c r="A772" s="4">
        <v>771</v>
      </c>
      <c r="B772" s="4">
        <v>42</v>
      </c>
      <c r="C772" s="6">
        <v>45913</v>
      </c>
      <c r="D772" s="4">
        <v>34</v>
      </c>
      <c r="E772" s="4">
        <v>8</v>
      </c>
      <c r="F772" s="12">
        <f t="shared" si="12"/>
        <v>393.39200000000005</v>
      </c>
      <c r="G772" t="str">
        <f>VLOOKUP(B772,product_tbl[],2,FALSE)</f>
        <v>Action Figure 42</v>
      </c>
      <c r="H772" t="str">
        <f>VLOOKUP(B772,product_tbl[],3,FALSE)</f>
        <v>Toys</v>
      </c>
      <c r="I772">
        <v>256.56</v>
      </c>
      <c r="J772">
        <f>VLOOKUP(B772,product_tbl[],5,FALSE)</f>
        <v>427.6</v>
      </c>
      <c r="K772">
        <f>VLOOKUP(B772,review_tbl[],3,FALSE)</f>
        <v>2</v>
      </c>
      <c r="L772" s="11">
        <v>449.37714302831074</v>
      </c>
      <c r="M772" s="11">
        <f>AVERAGEIF(Table1[product_id],Master_tbl!B772:B1773,Table1[competitor_price])</f>
        <v>513.45666666666671</v>
      </c>
      <c r="N772" s="11">
        <f>IFERROR(Table5[[#This Row],[final_sale_price]]*Table5[[#This Row],[quantity_sold ]],0)</f>
        <v>13375.328000000001</v>
      </c>
      <c r="O772" s="11">
        <f>(Table5[[#This Row],[final_sale_price]]-Table5[[#This Row],[cost_price]])*Table5[[#This Row],[quantity_sold ]]</f>
        <v>4652.2880000000014</v>
      </c>
      <c r="P772" s="11">
        <f>(Table5[final_sale_price]-Table5[[#This Row],[avg_comp_price]])</f>
        <v>-120.06466666666665</v>
      </c>
      <c r="Q772" s="15">
        <f>(Table5[[#This Row],[final_sale_price]]-Table5[[#This Row],[avg_comp_price]])/Table5[[#This Row],[avg_comp_price]]</f>
        <v>-0.23383602640923928</v>
      </c>
      <c r="R772" s="11">
        <f>Table5[[#This Row],[Profit]]/Table5[[#This Row],[Revenue]]</f>
        <v>0.34782608695652178</v>
      </c>
    </row>
    <row r="773" spans="1:18" x14ac:dyDescent="0.2">
      <c r="A773" s="5">
        <v>772</v>
      </c>
      <c r="B773" s="5">
        <v>52</v>
      </c>
      <c r="C773" s="7">
        <v>45114</v>
      </c>
      <c r="D773" s="5">
        <v>17</v>
      </c>
      <c r="E773" s="4">
        <v>8</v>
      </c>
      <c r="F773" s="12">
        <f t="shared" si="12"/>
        <v>4102.4456</v>
      </c>
      <c r="G773" t="str">
        <f>VLOOKUP(B773,product_tbl[],2,FALSE)</f>
        <v>Cookbook 52</v>
      </c>
      <c r="H773" t="str">
        <f>VLOOKUP(B773,product_tbl[],3,FALSE)</f>
        <v>Books</v>
      </c>
      <c r="I773">
        <v>2675.5080000000003</v>
      </c>
      <c r="J773">
        <f>VLOOKUP(B773,product_tbl[],5,FALSE)</f>
        <v>4459.18</v>
      </c>
      <c r="K773">
        <f>VLOOKUP(B773,review_tbl[],3,FALSE)</f>
        <v>3</v>
      </c>
      <c r="L773" s="11">
        <v>5457.0999691930028</v>
      </c>
      <c r="M773" s="11">
        <f>AVERAGEIF(Table1[product_id],Master_tbl!B773:B1774,Table1[competitor_price])</f>
        <v>6258.09</v>
      </c>
      <c r="N773" s="11">
        <f>IFERROR(Table5[[#This Row],[final_sale_price]]*Table5[[#This Row],[quantity_sold ]],0)</f>
        <v>69741.575200000007</v>
      </c>
      <c r="O773" s="11">
        <f>(Table5[[#This Row],[final_sale_price]]-Table5[[#This Row],[cost_price]])*Table5[[#This Row],[quantity_sold ]]</f>
        <v>24257.939199999997</v>
      </c>
      <c r="P773" s="11">
        <f>(Table5[final_sale_price]-Table5[[#This Row],[avg_comp_price]])</f>
        <v>-2155.6444000000001</v>
      </c>
      <c r="Q773" s="15">
        <f>(Table5[[#This Row],[final_sale_price]]-Table5[[#This Row],[avg_comp_price]])/Table5[[#This Row],[avg_comp_price]]</f>
        <v>-0.34445723855042037</v>
      </c>
      <c r="R773" s="11">
        <f>Table5[[#This Row],[Profit]]/Table5[[#This Row],[Revenue]]</f>
        <v>0.34782608695652167</v>
      </c>
    </row>
    <row r="774" spans="1:18" x14ac:dyDescent="0.2">
      <c r="A774" s="4">
        <v>773</v>
      </c>
      <c r="B774" s="4">
        <v>139</v>
      </c>
      <c r="C774" s="6">
        <v>45243</v>
      </c>
      <c r="D774" s="4">
        <v>36</v>
      </c>
      <c r="E774" s="4">
        <v>8</v>
      </c>
      <c r="F774" s="12">
        <f t="shared" si="12"/>
        <v>2383.7936</v>
      </c>
      <c r="G774" t="str">
        <f>VLOOKUP(B774,product_tbl[],2,FALSE)</f>
        <v>Jacket 139</v>
      </c>
      <c r="H774" t="str">
        <f>VLOOKUP(B774,product_tbl[],3,FALSE)</f>
        <v>Fashion</v>
      </c>
      <c r="I774">
        <v>1554.6479999999999</v>
      </c>
      <c r="J774">
        <f>VLOOKUP(B774,product_tbl[],5,FALSE)</f>
        <v>2591.08</v>
      </c>
      <c r="K774">
        <f>VLOOKUP(B774,review_tbl[],3,FALSE)</f>
        <v>5</v>
      </c>
      <c r="L774" s="11">
        <v>2694.2355681718591</v>
      </c>
      <c r="M774" s="11">
        <f>AVERAGEIF(Table1[product_id],Master_tbl!B774:B1775,Table1[competitor_price])</f>
        <v>2839.1733333333336</v>
      </c>
      <c r="N774" s="11">
        <f>IFERROR(Table5[[#This Row],[final_sale_price]]*Table5[[#This Row],[quantity_sold ]],0)</f>
        <v>85816.569600000003</v>
      </c>
      <c r="O774" s="11">
        <f>(Table5[[#This Row],[final_sale_price]]-Table5[[#This Row],[cost_price]])*Table5[[#This Row],[quantity_sold ]]</f>
        <v>29849.241600000001</v>
      </c>
      <c r="P774" s="11">
        <f>(Table5[final_sale_price]-Table5[[#This Row],[avg_comp_price]])</f>
        <v>-455.37973333333366</v>
      </c>
      <c r="Q774" s="15">
        <f>(Table5[[#This Row],[final_sale_price]]-Table5[[#This Row],[avg_comp_price]])/Table5[[#This Row],[avg_comp_price]]</f>
        <v>-0.16039166330105487</v>
      </c>
      <c r="R774" s="11">
        <f>Table5[[#This Row],[Profit]]/Table5[[#This Row],[Revenue]]</f>
        <v>0.34782608695652173</v>
      </c>
    </row>
    <row r="775" spans="1:18" x14ac:dyDescent="0.2">
      <c r="A775" s="5">
        <v>774</v>
      </c>
      <c r="B775" s="5">
        <v>117</v>
      </c>
      <c r="C775" s="7">
        <v>45643</v>
      </c>
      <c r="D775" s="5">
        <v>35</v>
      </c>
      <c r="E775" s="4">
        <v>2</v>
      </c>
      <c r="F775" s="12">
        <f t="shared" si="12"/>
        <v>2084.6363999999999</v>
      </c>
      <c r="G775" t="str">
        <f>VLOOKUP(B775,product_tbl[],2,FALSE)</f>
        <v>Refrigerator 117</v>
      </c>
      <c r="H775" t="str">
        <f>VLOOKUP(B775,product_tbl[],3,FALSE)</f>
        <v>Home Appliances</v>
      </c>
      <c r="I775">
        <v>1276.3079999999998</v>
      </c>
      <c r="J775">
        <f>VLOOKUP(B775,product_tbl[],5,FALSE)</f>
        <v>2127.1799999999998</v>
      </c>
      <c r="K775">
        <f>VLOOKUP(B775,review_tbl[],3,FALSE)</f>
        <v>1</v>
      </c>
      <c r="L775" s="11">
        <v>2485.2093675360579</v>
      </c>
      <c r="M775" s="11">
        <f>AVERAGEIF(Table1[product_id],Master_tbl!B775:B1776,Table1[competitor_price])</f>
        <v>892.9766666666668</v>
      </c>
      <c r="N775" s="11">
        <f>IFERROR(Table5[[#This Row],[final_sale_price]]*Table5[[#This Row],[quantity_sold ]],0)</f>
        <v>72962.27399999999</v>
      </c>
      <c r="O775" s="11">
        <f>(Table5[[#This Row],[final_sale_price]]-Table5[[#This Row],[cost_price]])*Table5[[#This Row],[quantity_sold ]]</f>
        <v>28291.494000000002</v>
      </c>
      <c r="P775" s="11">
        <f>(Table5[final_sale_price]-Table5[[#This Row],[avg_comp_price]])</f>
        <v>1191.659733333333</v>
      </c>
      <c r="Q775" s="15">
        <f>(Table5[[#This Row],[final_sale_price]]-Table5[[#This Row],[avg_comp_price]])/Table5[[#This Row],[avg_comp_price]]</f>
        <v>1.3344802589093401</v>
      </c>
      <c r="R775" s="11">
        <f>Table5[[#This Row],[Profit]]/Table5[[#This Row],[Revenue]]</f>
        <v>0.38775510204081642</v>
      </c>
    </row>
    <row r="776" spans="1:18" x14ac:dyDescent="0.2">
      <c r="A776" s="4">
        <v>775</v>
      </c>
      <c r="B776" s="4">
        <v>7</v>
      </c>
      <c r="C776" s="6">
        <v>45130</v>
      </c>
      <c r="D776" s="4">
        <v>16</v>
      </c>
      <c r="E776" s="4">
        <v>3</v>
      </c>
      <c r="F776" s="12">
        <f t="shared" si="12"/>
        <v>8113.8559999999989</v>
      </c>
      <c r="G776" t="str">
        <f>VLOOKUP(B776,product_tbl[],2,FALSE)</f>
        <v>Handbag 7</v>
      </c>
      <c r="H776" t="str">
        <f>VLOOKUP(B776,product_tbl[],3,FALSE)</f>
        <v>Fashion</v>
      </c>
      <c r="I776">
        <v>5018.8799999999992</v>
      </c>
      <c r="J776">
        <f>VLOOKUP(B776,product_tbl[],5,FALSE)</f>
        <v>8364.7999999999993</v>
      </c>
      <c r="K776">
        <f>VLOOKUP(B776,review_tbl[],3,FALSE)</f>
        <v>1</v>
      </c>
      <c r="L776" s="11">
        <v>10734.815850337869</v>
      </c>
      <c r="M776" s="11">
        <f>AVERAGEIF(Table1[product_id],Master_tbl!B776:B1777,Table1[competitor_price])</f>
        <v>1679.8333333333333</v>
      </c>
      <c r="N776" s="11">
        <f>IFERROR(Table5[[#This Row],[final_sale_price]]*Table5[[#This Row],[quantity_sold ]],0)</f>
        <v>129821.69599999998</v>
      </c>
      <c r="O776" s="11">
        <f>(Table5[[#This Row],[final_sale_price]]-Table5[[#This Row],[cost_price]])*Table5[[#This Row],[quantity_sold ]]</f>
        <v>49519.615999999995</v>
      </c>
      <c r="P776" s="11">
        <f>(Table5[final_sale_price]-Table5[[#This Row],[avg_comp_price]])</f>
        <v>6434.0226666666658</v>
      </c>
      <c r="Q776" s="15">
        <f>(Table5[[#This Row],[final_sale_price]]-Table5[[#This Row],[avg_comp_price]])/Table5[[#This Row],[avg_comp_price]]</f>
        <v>3.8301553725568009</v>
      </c>
      <c r="R776" s="11">
        <f>Table5[[#This Row],[Profit]]/Table5[[#This Row],[Revenue]]</f>
        <v>0.3814432989690722</v>
      </c>
    </row>
    <row r="777" spans="1:18" x14ac:dyDescent="0.2">
      <c r="A777" s="5">
        <v>776</v>
      </c>
      <c r="B777" s="5">
        <v>43</v>
      </c>
      <c r="C777" s="7">
        <v>45639</v>
      </c>
      <c r="D777" s="5">
        <v>43</v>
      </c>
      <c r="E777" s="4">
        <v>9</v>
      </c>
      <c r="F777" s="12">
        <f t="shared" si="12"/>
        <v>2934.7318</v>
      </c>
      <c r="G777" t="str">
        <f>VLOOKUP(B777,product_tbl[],2,FALSE)</f>
        <v>Jeans 43</v>
      </c>
      <c r="H777" t="str">
        <f>VLOOKUP(B777,product_tbl[],3,FALSE)</f>
        <v>Fashion</v>
      </c>
      <c r="I777">
        <v>1934.9879999999998</v>
      </c>
      <c r="J777">
        <f>VLOOKUP(B777,product_tbl[],5,FALSE)</f>
        <v>3224.98</v>
      </c>
      <c r="K777">
        <f>VLOOKUP(B777,review_tbl[],3,FALSE)</f>
        <v>2</v>
      </c>
      <c r="L777" s="11">
        <v>3394.9764119472179</v>
      </c>
      <c r="M777" s="11">
        <f>AVERAGEIF(Table1[product_id],Master_tbl!B777:B1778,Table1[competitor_price])</f>
        <v>445.53000000000003</v>
      </c>
      <c r="N777" s="11">
        <f>IFERROR(Table5[[#This Row],[final_sale_price]]*Table5[[#This Row],[quantity_sold ]],0)</f>
        <v>126193.46739999999</v>
      </c>
      <c r="O777" s="11">
        <f>(Table5[[#This Row],[final_sale_price]]-Table5[[#This Row],[cost_price]])*Table5[[#This Row],[quantity_sold ]]</f>
        <v>42988.983400000012</v>
      </c>
      <c r="P777" s="11">
        <f>(Table5[final_sale_price]-Table5[[#This Row],[avg_comp_price]])</f>
        <v>2489.2017999999998</v>
      </c>
      <c r="Q777" s="15">
        <f>(Table5[[#This Row],[final_sale_price]]-Table5[[#This Row],[avg_comp_price]])/Table5[[#This Row],[avg_comp_price]]</f>
        <v>5.5870576616613912</v>
      </c>
      <c r="R777" s="11">
        <f>Table5[[#This Row],[Profit]]/Table5[[#This Row],[Revenue]]</f>
        <v>0.34065934065934078</v>
      </c>
    </row>
    <row r="778" spans="1:18" x14ac:dyDescent="0.2">
      <c r="A778" s="4">
        <v>777</v>
      </c>
      <c r="B778" s="4">
        <v>114</v>
      </c>
      <c r="C778" s="6">
        <v>45229</v>
      </c>
      <c r="D778" s="4">
        <v>42</v>
      </c>
      <c r="E778" s="4">
        <v>8</v>
      </c>
      <c r="F778" s="12">
        <f t="shared" si="12"/>
        <v>7032.8572000000004</v>
      </c>
      <c r="G778" t="str">
        <f>VLOOKUP(B778,product_tbl[],2,FALSE)</f>
        <v>Smartwatch 114</v>
      </c>
      <c r="H778" t="str">
        <f>VLOOKUP(B778,product_tbl[],3,FALSE)</f>
        <v>Electronics</v>
      </c>
      <c r="I778">
        <v>4586.6459999999997</v>
      </c>
      <c r="J778">
        <f>VLOOKUP(B778,product_tbl[],5,FALSE)</f>
        <v>7644.41</v>
      </c>
      <c r="K778">
        <f>VLOOKUP(B778,review_tbl[],3,FALSE)</f>
        <v>2</v>
      </c>
      <c r="L778" s="11">
        <v>9290.2911564089172</v>
      </c>
      <c r="M778" s="11">
        <f>AVERAGEIF(Table1[product_id],Master_tbl!B778:B1779,Table1[competitor_price])</f>
        <v>6494.3074999999999</v>
      </c>
      <c r="N778" s="11">
        <f>IFERROR(Table5[[#This Row],[final_sale_price]]*Table5[[#This Row],[quantity_sold ]],0)</f>
        <v>295380.0024</v>
      </c>
      <c r="O778" s="11">
        <f>(Table5[[#This Row],[final_sale_price]]-Table5[[#This Row],[cost_price]])*Table5[[#This Row],[quantity_sold ]]</f>
        <v>102740.87040000003</v>
      </c>
      <c r="P778" s="11">
        <f>(Table5[final_sale_price]-Table5[[#This Row],[avg_comp_price]])</f>
        <v>538.54970000000048</v>
      </c>
      <c r="Q778" s="15">
        <f>(Table5[[#This Row],[final_sale_price]]-Table5[[#This Row],[avg_comp_price]])/Table5[[#This Row],[avg_comp_price]]</f>
        <v>8.2926424410916869E-2</v>
      </c>
      <c r="R778" s="11">
        <f>Table5[[#This Row],[Profit]]/Table5[[#This Row],[Revenue]]</f>
        <v>0.34782608695652184</v>
      </c>
    </row>
    <row r="779" spans="1:18" x14ac:dyDescent="0.2">
      <c r="A779" s="5">
        <v>778</v>
      </c>
      <c r="B779" s="5">
        <v>16</v>
      </c>
      <c r="C779" s="7">
        <v>45939</v>
      </c>
      <c r="D779" s="5">
        <v>33</v>
      </c>
      <c r="E779" s="4">
        <v>9</v>
      </c>
      <c r="F779" s="12">
        <f t="shared" si="12"/>
        <v>6144.1380000000008</v>
      </c>
      <c r="G779" t="str">
        <f>VLOOKUP(B779,product_tbl[],2,FALSE)</f>
        <v>Cookbook 16</v>
      </c>
      <c r="H779" t="str">
        <f>VLOOKUP(B779,product_tbl[],3,FALSE)</f>
        <v>Books</v>
      </c>
      <c r="I779">
        <v>4051.08</v>
      </c>
      <c r="J779">
        <f>VLOOKUP(B779,product_tbl[],5,FALSE)</f>
        <v>6751.8</v>
      </c>
      <c r="K779">
        <f>VLOOKUP(B779,review_tbl[],3,FALSE)</f>
        <v>4</v>
      </c>
      <c r="L779" s="11">
        <v>8265.9790615726779</v>
      </c>
      <c r="M779" s="11">
        <f>AVERAGEIF(Table1[product_id],Master_tbl!B779:B1780,Table1[competitor_price])</f>
        <v>6827.7939999999999</v>
      </c>
      <c r="N779" s="11">
        <f>IFERROR(Table5[[#This Row],[final_sale_price]]*Table5[[#This Row],[quantity_sold ]],0)</f>
        <v>202756.55400000003</v>
      </c>
      <c r="O779" s="11">
        <f>(Table5[[#This Row],[final_sale_price]]-Table5[[#This Row],[cost_price]])*Table5[[#This Row],[quantity_sold ]]</f>
        <v>69070.914000000033</v>
      </c>
      <c r="P779" s="11">
        <f>(Table5[final_sale_price]-Table5[[#This Row],[avg_comp_price]])</f>
        <v>-683.65599999999904</v>
      </c>
      <c r="Q779" s="15">
        <f>(Table5[[#This Row],[final_sale_price]]-Table5[[#This Row],[avg_comp_price]])/Table5[[#This Row],[avg_comp_price]]</f>
        <v>-0.10012838700171667</v>
      </c>
      <c r="R779" s="11">
        <f>Table5[[#This Row],[Profit]]/Table5[[#This Row],[Revenue]]</f>
        <v>0.34065934065934078</v>
      </c>
    </row>
    <row r="780" spans="1:18" x14ac:dyDescent="0.2">
      <c r="A780" s="4">
        <v>779</v>
      </c>
      <c r="B780" s="4">
        <v>115</v>
      </c>
      <c r="C780" s="6">
        <v>45303</v>
      </c>
      <c r="D780" s="4">
        <v>21</v>
      </c>
      <c r="E780" s="4">
        <v>6</v>
      </c>
      <c r="F780" s="12">
        <f t="shared" si="12"/>
        <v>4409.8031999999994</v>
      </c>
      <c r="G780" t="str">
        <f>VLOOKUP(B780,product_tbl[],2,FALSE)</f>
        <v>Children Story Book 115</v>
      </c>
      <c r="H780" t="str">
        <f>VLOOKUP(B780,product_tbl[],3,FALSE)</f>
        <v>Books</v>
      </c>
      <c r="I780">
        <v>2814.7679999999996</v>
      </c>
      <c r="J780">
        <f>VLOOKUP(B780,product_tbl[],5,FALSE)</f>
        <v>4691.28</v>
      </c>
      <c r="K780">
        <f>VLOOKUP(B780,review_tbl[],3,FALSE)</f>
        <v>2</v>
      </c>
      <c r="L780" s="11">
        <v>5288.6863569387597</v>
      </c>
      <c r="M780" s="11">
        <f>AVERAGEIF(Table1[product_id],Master_tbl!B780:B1781,Table1[competitor_price])</f>
        <v>4456.5325000000003</v>
      </c>
      <c r="N780" s="11">
        <f>IFERROR(Table5[[#This Row],[final_sale_price]]*Table5[[#This Row],[quantity_sold ]],0)</f>
        <v>92605.867199999993</v>
      </c>
      <c r="O780" s="11">
        <f>(Table5[[#This Row],[final_sale_price]]-Table5[[#This Row],[cost_price]])*Table5[[#This Row],[quantity_sold ]]</f>
        <v>33495.739199999996</v>
      </c>
      <c r="P780" s="11">
        <f>(Table5[final_sale_price]-Table5[[#This Row],[avg_comp_price]])</f>
        <v>-46.729300000000876</v>
      </c>
      <c r="Q780" s="15">
        <f>(Table5[[#This Row],[final_sale_price]]-Table5[[#This Row],[avg_comp_price]])/Table5[[#This Row],[avg_comp_price]]</f>
        <v>-1.0485573705566126E-2</v>
      </c>
      <c r="R780" s="11">
        <f>Table5[[#This Row],[Profit]]/Table5[[#This Row],[Revenue]]</f>
        <v>0.36170212765957444</v>
      </c>
    </row>
    <row r="781" spans="1:18" x14ac:dyDescent="0.2">
      <c r="A781" s="5">
        <v>780</v>
      </c>
      <c r="B781" s="5">
        <v>120</v>
      </c>
      <c r="C781" s="7">
        <v>45522</v>
      </c>
      <c r="D781" s="5">
        <v>37</v>
      </c>
      <c r="E781" s="4">
        <v>7</v>
      </c>
      <c r="F781" s="12">
        <f t="shared" si="12"/>
        <v>1838.2379999999998</v>
      </c>
      <c r="G781" t="str">
        <f>VLOOKUP(B781,product_tbl[],2,FALSE)</f>
        <v>Vacuum Cleaner 120</v>
      </c>
      <c r="H781" t="str">
        <f>VLOOKUP(B781,product_tbl[],3,FALSE)</f>
        <v>Home Appliances</v>
      </c>
      <c r="I781">
        <v>1185.9599999999998</v>
      </c>
      <c r="J781">
        <f>VLOOKUP(B781,product_tbl[],5,FALSE)</f>
        <v>1976.6</v>
      </c>
      <c r="K781">
        <f>VLOOKUP(B781,review_tbl[],3,FALSE)</f>
        <v>2</v>
      </c>
      <c r="L781" s="11">
        <v>1981.6743109473059</v>
      </c>
      <c r="M781" s="11">
        <f>AVERAGEIF(Table1[product_id],Master_tbl!B781:B1782,Table1[competitor_price])</f>
        <v>1688.8574999999998</v>
      </c>
      <c r="N781" s="11">
        <f>IFERROR(Table5[[#This Row],[final_sale_price]]*Table5[[#This Row],[quantity_sold ]],0)</f>
        <v>68014.805999999997</v>
      </c>
      <c r="O781" s="11">
        <f>(Table5[[#This Row],[final_sale_price]]-Table5[[#This Row],[cost_price]])*Table5[[#This Row],[quantity_sold ]]</f>
        <v>24134.286</v>
      </c>
      <c r="P781" s="11">
        <f>(Table5[final_sale_price]-Table5[[#This Row],[avg_comp_price]])</f>
        <v>149.38049999999998</v>
      </c>
      <c r="Q781" s="15">
        <f>(Table5[[#This Row],[final_sale_price]]-Table5[[#This Row],[avg_comp_price]])/Table5[[#This Row],[avg_comp_price]]</f>
        <v>8.8450624164560954E-2</v>
      </c>
      <c r="R781" s="11">
        <f>Table5[[#This Row],[Profit]]/Table5[[#This Row],[Revenue]]</f>
        <v>0.35483870967741937</v>
      </c>
    </row>
    <row r="782" spans="1:18" x14ac:dyDescent="0.2">
      <c r="A782" s="4">
        <v>781</v>
      </c>
      <c r="B782" s="4">
        <v>91</v>
      </c>
      <c r="C782" s="6">
        <v>45572</v>
      </c>
      <c r="D782" s="4">
        <v>22</v>
      </c>
      <c r="E782" s="4">
        <v>2</v>
      </c>
      <c r="F782" s="12">
        <f t="shared" si="12"/>
        <v>3099.74</v>
      </c>
      <c r="G782" t="str">
        <f>VLOOKUP(B782,product_tbl[],2,FALSE)</f>
        <v>Sunglasses 91</v>
      </c>
      <c r="H782" t="str">
        <f>VLOOKUP(B782,product_tbl[],3,FALSE)</f>
        <v>Fashion</v>
      </c>
      <c r="I782">
        <v>1897.8</v>
      </c>
      <c r="J782">
        <f>VLOOKUP(B782,product_tbl[],5,FALSE)</f>
        <v>3163</v>
      </c>
      <c r="K782">
        <f>VLOOKUP(B782,review_tbl[],3,FALSE)</f>
        <v>2</v>
      </c>
      <c r="L782" s="11">
        <v>3299.7157844319358</v>
      </c>
      <c r="M782" s="11">
        <f>AVERAGEIF(Table1[product_id],Master_tbl!B782:B1783,Table1[competitor_price])</f>
        <v>4782.2433333333329</v>
      </c>
      <c r="N782" s="11">
        <f>IFERROR(Table5[[#This Row],[final_sale_price]]*Table5[[#This Row],[quantity_sold ]],0)</f>
        <v>68194.28</v>
      </c>
      <c r="O782" s="11">
        <f>(Table5[[#This Row],[final_sale_price]]-Table5[[#This Row],[cost_price]])*Table5[[#This Row],[quantity_sold ]]</f>
        <v>26442.679999999997</v>
      </c>
      <c r="P782" s="11">
        <f>(Table5[final_sale_price]-Table5[[#This Row],[avg_comp_price]])</f>
        <v>-1682.5033333333331</v>
      </c>
      <c r="Q782" s="15">
        <f>(Table5[[#This Row],[final_sale_price]]-Table5[[#This Row],[avg_comp_price]])/Table5[[#This Row],[avg_comp_price]]</f>
        <v>-0.35182302866228055</v>
      </c>
      <c r="R782" s="11">
        <f>Table5[[#This Row],[Profit]]/Table5[[#This Row],[Revenue]]</f>
        <v>0.38775510204081626</v>
      </c>
    </row>
    <row r="783" spans="1:18" x14ac:dyDescent="0.2">
      <c r="A783" s="5">
        <v>782</v>
      </c>
      <c r="B783" s="5">
        <v>16</v>
      </c>
      <c r="C783" s="7">
        <v>44944</v>
      </c>
      <c r="D783" s="5">
        <v>19</v>
      </c>
      <c r="E783" s="4">
        <v>8</v>
      </c>
      <c r="F783" s="12">
        <f t="shared" si="12"/>
        <v>6211.6560000000009</v>
      </c>
      <c r="G783" t="str">
        <f>VLOOKUP(B783,product_tbl[],2,FALSE)</f>
        <v>Cookbook 16</v>
      </c>
      <c r="H783" t="str">
        <f>VLOOKUP(B783,product_tbl[],3,FALSE)</f>
        <v>Books</v>
      </c>
      <c r="I783">
        <v>4051.08</v>
      </c>
      <c r="J783">
        <f>VLOOKUP(B783,product_tbl[],5,FALSE)</f>
        <v>6751.8</v>
      </c>
      <c r="K783">
        <f>VLOOKUP(B783,review_tbl[],3,FALSE)</f>
        <v>4</v>
      </c>
      <c r="L783" s="11">
        <v>8363.2202297279819</v>
      </c>
      <c r="M783" s="11">
        <f>AVERAGEIF(Table1[product_id],Master_tbl!B783:B1784,Table1[competitor_price])</f>
        <v>6827.7939999999999</v>
      </c>
      <c r="N783" s="11">
        <f>IFERROR(Table5[[#This Row],[final_sale_price]]*Table5[[#This Row],[quantity_sold ]],0)</f>
        <v>118021.46400000002</v>
      </c>
      <c r="O783" s="11">
        <f>(Table5[[#This Row],[final_sale_price]]-Table5[[#This Row],[cost_price]])*Table5[[#This Row],[quantity_sold ]]</f>
        <v>41050.944000000018</v>
      </c>
      <c r="P783" s="11">
        <f>(Table5[final_sale_price]-Table5[[#This Row],[avg_comp_price]])</f>
        <v>-616.13799999999901</v>
      </c>
      <c r="Q783" s="15">
        <f>(Table5[[#This Row],[final_sale_price]]-Table5[[#This Row],[avg_comp_price]])/Table5[[#This Row],[avg_comp_price]]</f>
        <v>-9.023968795777948E-2</v>
      </c>
      <c r="R783" s="11">
        <f>Table5[[#This Row],[Profit]]/Table5[[#This Row],[Revenue]]</f>
        <v>0.34782608695652184</v>
      </c>
    </row>
    <row r="784" spans="1:18" x14ac:dyDescent="0.2">
      <c r="A784" s="4">
        <v>783</v>
      </c>
      <c r="B784" s="4">
        <v>135</v>
      </c>
      <c r="C784" s="6">
        <v>45018</v>
      </c>
      <c r="D784" s="4">
        <v>48</v>
      </c>
      <c r="E784" s="4">
        <v>6</v>
      </c>
      <c r="F784" s="12">
        <f t="shared" si="12"/>
        <v>7312.9273999999996</v>
      </c>
      <c r="G784" t="str">
        <f>VLOOKUP(B784,product_tbl[],2,FALSE)</f>
        <v>Water Purifier 135</v>
      </c>
      <c r="H784" t="str">
        <f>VLOOKUP(B784,product_tbl[],3,FALSE)</f>
        <v>Home Appliances</v>
      </c>
      <c r="I784">
        <v>4667.826</v>
      </c>
      <c r="J784">
        <f>VLOOKUP(B784,product_tbl[],5,FALSE)</f>
        <v>7779.71</v>
      </c>
      <c r="K784">
        <f>VLOOKUP(B784,review_tbl[],3,FALSE)</f>
        <v>5</v>
      </c>
      <c r="L784" s="11">
        <v>9587.6407846672337</v>
      </c>
      <c r="M784" s="11">
        <f>AVERAGEIF(Table1[product_id],Master_tbl!B784:B1785,Table1[competitor_price])</f>
        <v>4172.7833333333338</v>
      </c>
      <c r="N784" s="11">
        <f>IFERROR(Table5[[#This Row],[final_sale_price]]*Table5[[#This Row],[quantity_sold ]],0)</f>
        <v>351020.51519999997</v>
      </c>
      <c r="O784" s="11">
        <f>(Table5[[#This Row],[final_sale_price]]-Table5[[#This Row],[cost_price]])*Table5[[#This Row],[quantity_sold ]]</f>
        <v>126964.86719999998</v>
      </c>
      <c r="P784" s="11">
        <f>(Table5[final_sale_price]-Table5[[#This Row],[avg_comp_price]])</f>
        <v>3140.1440666666658</v>
      </c>
      <c r="Q784" s="15">
        <f>(Table5[[#This Row],[final_sale_price]]-Table5[[#This Row],[avg_comp_price]])/Table5[[#This Row],[avg_comp_price]]</f>
        <v>0.75252986216234541</v>
      </c>
      <c r="R784" s="11">
        <f>Table5[[#This Row],[Profit]]/Table5[[#This Row],[Revenue]]</f>
        <v>0.36170212765957444</v>
      </c>
    </row>
    <row r="785" spans="1:18" x14ac:dyDescent="0.2">
      <c r="A785" s="5">
        <v>784</v>
      </c>
      <c r="B785" s="5">
        <v>28</v>
      </c>
      <c r="C785" s="7">
        <v>45343</v>
      </c>
      <c r="D785" s="5">
        <v>2</v>
      </c>
      <c r="E785" s="4">
        <v>3</v>
      </c>
      <c r="F785" s="12">
        <f t="shared" si="12"/>
        <v>5545.1214</v>
      </c>
      <c r="G785" t="str">
        <f>VLOOKUP(B785,product_tbl[],2,FALSE)</f>
        <v>Water Purifier 28</v>
      </c>
      <c r="H785" t="str">
        <f>VLOOKUP(B785,product_tbl[],3,FALSE)</f>
        <v>Home Appliances</v>
      </c>
      <c r="I785">
        <v>3429.9719999999998</v>
      </c>
      <c r="J785">
        <f>VLOOKUP(B785,product_tbl[],5,FALSE)</f>
        <v>5716.62</v>
      </c>
      <c r="K785">
        <f>VLOOKUP(B785,review_tbl[],3,FALSE)</f>
        <v>5</v>
      </c>
      <c r="L785" s="11">
        <v>6803.658921132147</v>
      </c>
      <c r="M785" s="11">
        <f>AVERAGEIF(Table1[product_id],Master_tbl!B785:B1786,Table1[competitor_price])</f>
        <v>3542.9559999999997</v>
      </c>
      <c r="N785" s="11">
        <f>IFERROR(Table5[[#This Row],[final_sale_price]]*Table5[[#This Row],[quantity_sold ]],0)</f>
        <v>11090.2428</v>
      </c>
      <c r="O785" s="11">
        <f>(Table5[[#This Row],[final_sale_price]]-Table5[[#This Row],[cost_price]])*Table5[[#This Row],[quantity_sold ]]</f>
        <v>4230.2988000000005</v>
      </c>
      <c r="P785" s="11">
        <f>(Table5[final_sale_price]-Table5[[#This Row],[avg_comp_price]])</f>
        <v>2002.1654000000003</v>
      </c>
      <c r="Q785" s="15">
        <f>(Table5[[#This Row],[final_sale_price]]-Table5[[#This Row],[avg_comp_price]])/Table5[[#This Row],[avg_comp_price]]</f>
        <v>0.56511156220963521</v>
      </c>
      <c r="R785" s="11">
        <f>Table5[[#This Row],[Profit]]/Table5[[#This Row],[Revenue]]</f>
        <v>0.3814432989690722</v>
      </c>
    </row>
    <row r="786" spans="1:18" x14ac:dyDescent="0.2">
      <c r="A786" s="4">
        <v>785</v>
      </c>
      <c r="B786" s="4">
        <v>120</v>
      </c>
      <c r="C786" s="6">
        <v>45891</v>
      </c>
      <c r="D786" s="4">
        <v>47</v>
      </c>
      <c r="E786" s="4">
        <v>8</v>
      </c>
      <c r="F786" s="12">
        <f t="shared" si="12"/>
        <v>1818.472</v>
      </c>
      <c r="G786" t="str">
        <f>VLOOKUP(B786,product_tbl[],2,FALSE)</f>
        <v>Vacuum Cleaner 120</v>
      </c>
      <c r="H786" t="str">
        <f>VLOOKUP(B786,product_tbl[],3,FALSE)</f>
        <v>Home Appliances</v>
      </c>
      <c r="I786">
        <v>1185.9599999999998</v>
      </c>
      <c r="J786">
        <f>VLOOKUP(B786,product_tbl[],5,FALSE)</f>
        <v>1976.6</v>
      </c>
      <c r="K786">
        <f>VLOOKUP(B786,review_tbl[],3,FALSE)</f>
        <v>2</v>
      </c>
      <c r="L786" s="11">
        <v>2078.4424061491691</v>
      </c>
      <c r="M786" s="11">
        <f>AVERAGEIF(Table1[product_id],Master_tbl!B786:B1787,Table1[competitor_price])</f>
        <v>1688.8574999999998</v>
      </c>
      <c r="N786" s="11">
        <f>IFERROR(Table5[[#This Row],[final_sale_price]]*Table5[[#This Row],[quantity_sold ]],0)</f>
        <v>85468.183999999994</v>
      </c>
      <c r="O786" s="11">
        <f>(Table5[[#This Row],[final_sale_price]]-Table5[[#This Row],[cost_price]])*Table5[[#This Row],[quantity_sold ]]</f>
        <v>29728.064000000009</v>
      </c>
      <c r="P786" s="11">
        <f>(Table5[final_sale_price]-Table5[[#This Row],[avg_comp_price]])</f>
        <v>129.61450000000013</v>
      </c>
      <c r="Q786" s="15">
        <f>(Table5[[#This Row],[final_sale_price]]-Table5[[#This Row],[avg_comp_price]])/Table5[[#This Row],[avg_comp_price]]</f>
        <v>7.6746854012253937E-2</v>
      </c>
      <c r="R786" s="11">
        <f>Table5[[#This Row],[Profit]]/Table5[[#This Row],[Revenue]]</f>
        <v>0.3478260869565219</v>
      </c>
    </row>
    <row r="787" spans="1:18" x14ac:dyDescent="0.2">
      <c r="A787" s="5">
        <v>786</v>
      </c>
      <c r="B787" s="5">
        <v>92</v>
      </c>
      <c r="C787" s="7">
        <v>45677</v>
      </c>
      <c r="D787" s="5">
        <v>13</v>
      </c>
      <c r="E787" s="4">
        <v>4</v>
      </c>
      <c r="F787" s="12">
        <f t="shared" si="12"/>
        <v>3434.8991999999998</v>
      </c>
      <c r="G787" t="str">
        <f>VLOOKUP(B787,product_tbl[],2,FALSE)</f>
        <v>Puzzle Set 92</v>
      </c>
      <c r="H787" t="str">
        <f>VLOOKUP(B787,product_tbl[],3,FALSE)</f>
        <v>Toys</v>
      </c>
      <c r="I787">
        <v>2146.8119999999999</v>
      </c>
      <c r="J787">
        <f>VLOOKUP(B787,product_tbl[],5,FALSE)</f>
        <v>3578.02</v>
      </c>
      <c r="K787">
        <f>VLOOKUP(B787,review_tbl[],3,FALSE)</f>
        <v>5</v>
      </c>
      <c r="L787" s="11">
        <v>3943.7143659506992</v>
      </c>
      <c r="M787" s="11">
        <f>AVERAGEIF(Table1[product_id],Master_tbl!B787:B1788,Table1[competitor_price])</f>
        <v>5387.83</v>
      </c>
      <c r="N787" s="11">
        <f>IFERROR(Table5[[#This Row],[final_sale_price]]*Table5[[#This Row],[quantity_sold ]],0)</f>
        <v>44653.689599999998</v>
      </c>
      <c r="O787" s="11">
        <f>(Table5[[#This Row],[final_sale_price]]-Table5[[#This Row],[cost_price]])*Table5[[#This Row],[quantity_sold ]]</f>
        <v>16745.133600000001</v>
      </c>
      <c r="P787" s="11">
        <f>(Table5[final_sale_price]-Table5[[#This Row],[avg_comp_price]])</f>
        <v>-1952.9308000000001</v>
      </c>
      <c r="Q787" s="15">
        <f>(Table5[[#This Row],[final_sale_price]]-Table5[[#This Row],[avg_comp_price]])/Table5[[#This Row],[avg_comp_price]]</f>
        <v>-0.36247075353157027</v>
      </c>
      <c r="R787" s="11">
        <f>Table5[[#This Row],[Profit]]/Table5[[#This Row],[Revenue]]</f>
        <v>0.37500000000000006</v>
      </c>
    </row>
    <row r="788" spans="1:18" x14ac:dyDescent="0.2">
      <c r="A788" s="4">
        <v>787</v>
      </c>
      <c r="B788" s="4">
        <v>76</v>
      </c>
      <c r="C788" s="6">
        <v>45824</v>
      </c>
      <c r="D788" s="4">
        <v>26</v>
      </c>
      <c r="E788" s="4">
        <v>6</v>
      </c>
      <c r="F788" s="12">
        <f t="shared" si="12"/>
        <v>2881.6358</v>
      </c>
      <c r="G788" t="str">
        <f>VLOOKUP(B788,product_tbl[],2,FALSE)</f>
        <v>Laptop 76</v>
      </c>
      <c r="H788" t="str">
        <f>VLOOKUP(B788,product_tbl[],3,FALSE)</f>
        <v>Electronics</v>
      </c>
      <c r="I788">
        <v>1839.3420000000001</v>
      </c>
      <c r="J788">
        <f>VLOOKUP(B788,product_tbl[],5,FALSE)</f>
        <v>3065.57</v>
      </c>
      <c r="K788">
        <f>VLOOKUP(B788,review_tbl[],3,FALSE)</f>
        <v>1</v>
      </c>
      <c r="L788" s="11">
        <v>3897.9855575670085</v>
      </c>
      <c r="M788" s="11">
        <f>AVERAGEIF(Table1[product_id],Master_tbl!B788:B1789,Table1[competitor_price])</f>
        <v>831.92600000000004</v>
      </c>
      <c r="N788" s="11">
        <f>IFERROR(Table5[[#This Row],[final_sale_price]]*Table5[[#This Row],[quantity_sold ]],0)</f>
        <v>74922.530800000008</v>
      </c>
      <c r="O788" s="11">
        <f>(Table5[[#This Row],[final_sale_price]]-Table5[[#This Row],[cost_price]])*Table5[[#This Row],[quantity_sold ]]</f>
        <v>27099.638799999997</v>
      </c>
      <c r="P788" s="11">
        <f>(Table5[final_sale_price]-Table5[[#This Row],[avg_comp_price]])</f>
        <v>2049.7098000000001</v>
      </c>
      <c r="Q788" s="15">
        <f>(Table5[[#This Row],[final_sale_price]]-Table5[[#This Row],[avg_comp_price]])/Table5[[#This Row],[avg_comp_price]]</f>
        <v>2.4638126467979125</v>
      </c>
      <c r="R788" s="11">
        <f>Table5[[#This Row],[Profit]]/Table5[[#This Row],[Revenue]]</f>
        <v>0.36170212765957438</v>
      </c>
    </row>
    <row r="789" spans="1:18" x14ac:dyDescent="0.2">
      <c r="A789" s="5">
        <v>788</v>
      </c>
      <c r="B789" s="5">
        <v>64</v>
      </c>
      <c r="C789" s="7">
        <v>45101</v>
      </c>
      <c r="D789" s="5">
        <v>1</v>
      </c>
      <c r="E789" s="4">
        <v>2</v>
      </c>
      <c r="F789" s="12">
        <f t="shared" si="12"/>
        <v>3136</v>
      </c>
      <c r="G789" t="str">
        <f>VLOOKUP(B789,product_tbl[],2,FALSE)</f>
        <v>Children Story Book 64</v>
      </c>
      <c r="H789" t="str">
        <f>VLOOKUP(B789,product_tbl[],3,FALSE)</f>
        <v>Books</v>
      </c>
      <c r="I789">
        <v>1920</v>
      </c>
      <c r="J789">
        <f>VLOOKUP(B789,product_tbl[],5,FALSE)</f>
        <v>3200</v>
      </c>
      <c r="K789">
        <f>VLOOKUP(B789,review_tbl[],3,FALSE)</f>
        <v>2</v>
      </c>
      <c r="L789" s="11">
        <v>3315.4019930024228</v>
      </c>
      <c r="M789" s="11">
        <f>AVERAGEIF(Table1[product_id],Master_tbl!B789:B1790,Table1[competitor_price])</f>
        <v>3782.0099999999998</v>
      </c>
      <c r="N789" s="11">
        <f>IFERROR(Table5[[#This Row],[final_sale_price]]*Table5[[#This Row],[quantity_sold ]],0)</f>
        <v>3136</v>
      </c>
      <c r="O789" s="11">
        <f>(Table5[[#This Row],[final_sale_price]]-Table5[[#This Row],[cost_price]])*Table5[[#This Row],[quantity_sold ]]</f>
        <v>1216</v>
      </c>
      <c r="P789" s="11">
        <f>(Table5[final_sale_price]-Table5[[#This Row],[avg_comp_price]])</f>
        <v>-646.00999999999976</v>
      </c>
      <c r="Q789" s="15">
        <f>(Table5[[#This Row],[final_sale_price]]-Table5[[#This Row],[avg_comp_price]])/Table5[[#This Row],[avg_comp_price]]</f>
        <v>-0.17081128817745056</v>
      </c>
      <c r="R789" s="11">
        <f>Table5[[#This Row],[Profit]]/Table5[[#This Row],[Revenue]]</f>
        <v>0.38775510204081631</v>
      </c>
    </row>
    <row r="790" spans="1:18" x14ac:dyDescent="0.2">
      <c r="A790" s="4">
        <v>789</v>
      </c>
      <c r="B790" s="4">
        <v>12</v>
      </c>
      <c r="C790" s="6">
        <v>45405</v>
      </c>
      <c r="D790" s="4">
        <v>7</v>
      </c>
      <c r="E790" s="4">
        <v>4</v>
      </c>
      <c r="F790" s="12">
        <f t="shared" si="12"/>
        <v>1550.6399999999999</v>
      </c>
      <c r="G790" t="str">
        <f>VLOOKUP(B790,product_tbl[],2,FALSE)</f>
        <v>Running Shoes 12</v>
      </c>
      <c r="H790" t="str">
        <f>VLOOKUP(B790,product_tbl[],3,FALSE)</f>
        <v>Sports</v>
      </c>
      <c r="I790">
        <v>969.15</v>
      </c>
      <c r="J790">
        <f>VLOOKUP(B790,product_tbl[],5,FALSE)</f>
        <v>1615.25</v>
      </c>
      <c r="K790">
        <f>VLOOKUP(B790,review_tbl[],3,FALSE)</f>
        <v>3</v>
      </c>
      <c r="L790" s="11">
        <v>2014.8360334642682</v>
      </c>
      <c r="M790" s="11">
        <f>AVERAGEIF(Table1[product_id],Master_tbl!B790:B1791,Table1[competitor_price])</f>
        <v>4365.21</v>
      </c>
      <c r="N790" s="11">
        <f>IFERROR(Table5[[#This Row],[final_sale_price]]*Table5[[#This Row],[quantity_sold ]],0)</f>
        <v>10854.48</v>
      </c>
      <c r="O790" s="11">
        <f>(Table5[[#This Row],[final_sale_price]]-Table5[[#This Row],[cost_price]])*Table5[[#This Row],[quantity_sold ]]</f>
        <v>4070.4299999999994</v>
      </c>
      <c r="P790" s="11">
        <f>(Table5[final_sale_price]-Table5[[#This Row],[avg_comp_price]])</f>
        <v>-2814.57</v>
      </c>
      <c r="Q790" s="15">
        <f>(Table5[[#This Row],[final_sale_price]]-Table5[[#This Row],[avg_comp_price]])/Table5[[#This Row],[avg_comp_price]]</f>
        <v>-0.64477310369947838</v>
      </c>
      <c r="R790" s="11">
        <f>Table5[[#This Row],[Profit]]/Table5[[#This Row],[Revenue]]</f>
        <v>0.37499999999999994</v>
      </c>
    </row>
    <row r="791" spans="1:18" x14ac:dyDescent="0.2">
      <c r="A791" s="5">
        <v>790</v>
      </c>
      <c r="B791" s="5">
        <v>78</v>
      </c>
      <c r="C791" s="7">
        <v>45133</v>
      </c>
      <c r="D791" s="5">
        <v>46</v>
      </c>
      <c r="E791" s="4">
        <v>8</v>
      </c>
      <c r="F791" s="12">
        <f t="shared" si="12"/>
        <v>796.48080000000004</v>
      </c>
      <c r="G791" t="str">
        <f>VLOOKUP(B791,product_tbl[],2,FALSE)</f>
        <v>Biography 78</v>
      </c>
      <c r="H791" t="str">
        <f>VLOOKUP(B791,product_tbl[],3,FALSE)</f>
        <v>Books</v>
      </c>
      <c r="I791">
        <v>519.44399999999996</v>
      </c>
      <c r="J791">
        <f>VLOOKUP(B791,product_tbl[],5,FALSE)</f>
        <v>865.74</v>
      </c>
      <c r="K791">
        <f>VLOOKUP(B791,review_tbl[],3,FALSE)</f>
        <v>4</v>
      </c>
      <c r="L791" s="11">
        <v>952.99675524738143</v>
      </c>
      <c r="M791" s="11">
        <f>AVERAGEIF(Table1[product_id],Master_tbl!B791:B1792,Table1[competitor_price])</f>
        <v>398.392</v>
      </c>
      <c r="N791" s="11">
        <f>IFERROR(Table5[[#This Row],[final_sale_price]]*Table5[[#This Row],[quantity_sold ]],0)</f>
        <v>36638.116800000003</v>
      </c>
      <c r="O791" s="11">
        <f>(Table5[[#This Row],[final_sale_price]]-Table5[[#This Row],[cost_price]])*Table5[[#This Row],[quantity_sold ]]</f>
        <v>12743.692800000004</v>
      </c>
      <c r="P791" s="11">
        <f>(Table5[final_sale_price]-Table5[[#This Row],[avg_comp_price]])</f>
        <v>398.08880000000005</v>
      </c>
      <c r="Q791" s="15">
        <f>(Table5[[#This Row],[final_sale_price]]-Table5[[#This Row],[avg_comp_price]])/Table5[[#This Row],[avg_comp_price]]</f>
        <v>0.99923894054097484</v>
      </c>
      <c r="R791" s="11">
        <f>Table5[[#This Row],[Profit]]/Table5[[#This Row],[Revenue]]</f>
        <v>0.34782608695652184</v>
      </c>
    </row>
    <row r="792" spans="1:18" x14ac:dyDescent="0.2">
      <c r="A792" s="4">
        <v>791</v>
      </c>
      <c r="B792" s="4">
        <v>38</v>
      </c>
      <c r="C792" s="6">
        <v>45014</v>
      </c>
      <c r="D792" s="4">
        <v>4</v>
      </c>
      <c r="E792" s="4">
        <v>10</v>
      </c>
      <c r="F792" s="12">
        <f t="shared" si="12"/>
        <v>5935.9409999999998</v>
      </c>
      <c r="G792" t="str">
        <f>VLOOKUP(B792,product_tbl[],2,FALSE)</f>
        <v>Jeans 38</v>
      </c>
      <c r="H792" t="str">
        <f>VLOOKUP(B792,product_tbl[],3,FALSE)</f>
        <v>Fashion</v>
      </c>
      <c r="I792">
        <v>3957.2939999999999</v>
      </c>
      <c r="J792">
        <f>VLOOKUP(B792,product_tbl[],5,FALSE)</f>
        <v>6595.49</v>
      </c>
      <c r="K792">
        <f>VLOOKUP(B792,review_tbl[],3,FALSE)</f>
        <v>5</v>
      </c>
      <c r="L792" s="11">
        <v>6712.1489409621145</v>
      </c>
      <c r="M792" s="11">
        <f>AVERAGEIF(Table1[product_id],Master_tbl!B792:B1793,Table1[competitor_price])</f>
        <v>517.86</v>
      </c>
      <c r="N792" s="11">
        <f>IFERROR(Table5[[#This Row],[final_sale_price]]*Table5[[#This Row],[quantity_sold ]],0)</f>
        <v>23743.763999999999</v>
      </c>
      <c r="O792" s="11">
        <f>(Table5[[#This Row],[final_sale_price]]-Table5[[#This Row],[cost_price]])*Table5[[#This Row],[quantity_sold ]]</f>
        <v>7914.5879999999997</v>
      </c>
      <c r="P792" s="11">
        <f>(Table5[final_sale_price]-Table5[[#This Row],[avg_comp_price]])</f>
        <v>5418.0810000000001</v>
      </c>
      <c r="Q792" s="15">
        <f>(Table5[[#This Row],[final_sale_price]]-Table5[[#This Row],[avg_comp_price]])/Table5[[#This Row],[avg_comp_price]]</f>
        <v>10.462443517553007</v>
      </c>
      <c r="R792" s="11">
        <f>Table5[[#This Row],[Profit]]/Table5[[#This Row],[Revenue]]</f>
        <v>0.33333333333333331</v>
      </c>
    </row>
    <row r="793" spans="1:18" x14ac:dyDescent="0.2">
      <c r="A793" s="5">
        <v>792</v>
      </c>
      <c r="B793" s="5">
        <v>24</v>
      </c>
      <c r="C793" s="7">
        <v>45701</v>
      </c>
      <c r="D793" s="5">
        <v>25</v>
      </c>
      <c r="E793" s="4">
        <v>3</v>
      </c>
      <c r="F793" s="12">
        <f t="shared" si="12"/>
        <v>3876.6243999999997</v>
      </c>
      <c r="G793" t="str">
        <f>VLOOKUP(B793,product_tbl[],2,FALSE)</f>
        <v>Rice Pack 24</v>
      </c>
      <c r="H793" t="str">
        <f>VLOOKUP(B793,product_tbl[],3,FALSE)</f>
        <v>Grocery</v>
      </c>
      <c r="I793">
        <v>2397.9119999999998</v>
      </c>
      <c r="J793">
        <f>VLOOKUP(B793,product_tbl[],5,FALSE)</f>
        <v>3996.52</v>
      </c>
      <c r="K793">
        <f>VLOOKUP(B793,review_tbl[],3,FALSE)</f>
        <v>4</v>
      </c>
      <c r="L793" s="11">
        <v>4348.9372478114074</v>
      </c>
      <c r="M793" s="11">
        <f>AVERAGEIF(Table1[product_id],Master_tbl!B793:B1794,Table1[competitor_price])</f>
        <v>3028.7733333333331</v>
      </c>
      <c r="N793" s="11">
        <f>IFERROR(Table5[[#This Row],[final_sale_price]]*Table5[[#This Row],[quantity_sold ]],0)</f>
        <v>96915.609999999986</v>
      </c>
      <c r="O793" s="11">
        <f>(Table5[[#This Row],[final_sale_price]]-Table5[[#This Row],[cost_price]])*Table5[[#This Row],[quantity_sold ]]</f>
        <v>36967.81</v>
      </c>
      <c r="P793" s="11">
        <f>(Table5[final_sale_price]-Table5[[#This Row],[avg_comp_price]])</f>
        <v>847.85106666666661</v>
      </c>
      <c r="Q793" s="15">
        <f>(Table5[[#This Row],[final_sale_price]]-Table5[[#This Row],[avg_comp_price]])/Table5[[#This Row],[avg_comp_price]]</f>
        <v>0.27993216175525404</v>
      </c>
      <c r="R793" s="11">
        <f>Table5[[#This Row],[Profit]]/Table5[[#This Row],[Revenue]]</f>
        <v>0.3814432989690722</v>
      </c>
    </row>
    <row r="794" spans="1:18" x14ac:dyDescent="0.2">
      <c r="A794" s="4">
        <v>793</v>
      </c>
      <c r="B794" s="4">
        <v>65</v>
      </c>
      <c r="C794" s="6">
        <v>44931</v>
      </c>
      <c r="D794" s="4">
        <v>41</v>
      </c>
      <c r="E794" s="4">
        <v>4</v>
      </c>
      <c r="F794" s="12">
        <f t="shared" si="12"/>
        <v>4330.9055999999991</v>
      </c>
      <c r="G794" t="str">
        <f>VLOOKUP(B794,product_tbl[],2,FALSE)</f>
        <v>Biography 65</v>
      </c>
      <c r="H794" t="str">
        <f>VLOOKUP(B794,product_tbl[],3,FALSE)</f>
        <v>Books</v>
      </c>
      <c r="I794">
        <v>2706.8159999999998</v>
      </c>
      <c r="J794">
        <f>VLOOKUP(B794,product_tbl[],5,FALSE)</f>
        <v>4511.3599999999997</v>
      </c>
      <c r="K794">
        <f>VLOOKUP(B794,review_tbl[],3,FALSE)</f>
        <v>1</v>
      </c>
      <c r="L794" s="11">
        <v>4577.5286031639871</v>
      </c>
      <c r="M794" s="11">
        <f>AVERAGEIF(Table1[product_id],Master_tbl!B794:B1795,Table1[competitor_price])</f>
        <v>1786.8475000000001</v>
      </c>
      <c r="N794" s="11">
        <f>IFERROR(Table5[[#This Row],[final_sale_price]]*Table5[[#This Row],[quantity_sold ]],0)</f>
        <v>177567.12959999996</v>
      </c>
      <c r="O794" s="11">
        <f>(Table5[[#This Row],[final_sale_price]]-Table5[[#This Row],[cost_price]])*Table5[[#This Row],[quantity_sold ]]</f>
        <v>66587.67359999998</v>
      </c>
      <c r="P794" s="11">
        <f>(Table5[final_sale_price]-Table5[[#This Row],[avg_comp_price]])</f>
        <v>2544.0580999999993</v>
      </c>
      <c r="Q794" s="15">
        <f>(Table5[[#This Row],[final_sale_price]]-Table5[[#This Row],[avg_comp_price]])/Table5[[#This Row],[avg_comp_price]]</f>
        <v>1.423769012184867</v>
      </c>
      <c r="R794" s="11">
        <f>Table5[[#This Row],[Profit]]/Table5[[#This Row],[Revenue]]</f>
        <v>0.375</v>
      </c>
    </row>
    <row r="795" spans="1:18" x14ac:dyDescent="0.2">
      <c r="A795" s="5">
        <v>794</v>
      </c>
      <c r="B795" s="5">
        <v>48</v>
      </c>
      <c r="C795" s="7">
        <v>45801</v>
      </c>
      <c r="D795" s="5">
        <v>29</v>
      </c>
      <c r="E795" s="4">
        <v>8</v>
      </c>
      <c r="F795" s="12">
        <f t="shared" si="12"/>
        <v>3393.2084</v>
      </c>
      <c r="G795" t="str">
        <f>VLOOKUP(B795,product_tbl[],2,FALSE)</f>
        <v>Water Purifier 48</v>
      </c>
      <c r="H795" t="str">
        <f>VLOOKUP(B795,product_tbl[],3,FALSE)</f>
        <v>Home Appliances</v>
      </c>
      <c r="I795">
        <v>2212.962</v>
      </c>
      <c r="J795">
        <f>VLOOKUP(B795,product_tbl[],5,FALSE)</f>
        <v>3688.27</v>
      </c>
      <c r="K795">
        <f>VLOOKUP(B795,review_tbl[],3,FALSE)</f>
        <v>4</v>
      </c>
      <c r="L795" s="11">
        <v>4257.8287648030127</v>
      </c>
      <c r="M795" s="11">
        <f>AVERAGEIF(Table1[product_id],Master_tbl!B795:B1796,Table1[competitor_price])</f>
        <v>1050.3625000000002</v>
      </c>
      <c r="N795" s="11">
        <f>IFERROR(Table5[[#This Row],[final_sale_price]]*Table5[[#This Row],[quantity_sold ]],0)</f>
        <v>98403.043600000005</v>
      </c>
      <c r="O795" s="11">
        <f>(Table5[[#This Row],[final_sale_price]]-Table5[[#This Row],[cost_price]])*Table5[[#This Row],[quantity_sold ]]</f>
        <v>34227.145600000003</v>
      </c>
      <c r="P795" s="11">
        <f>(Table5[final_sale_price]-Table5[[#This Row],[avg_comp_price]])</f>
        <v>2342.8458999999998</v>
      </c>
      <c r="Q795" s="15">
        <f>(Table5[[#This Row],[final_sale_price]]-Table5[[#This Row],[avg_comp_price]])/Table5[[#This Row],[avg_comp_price]]</f>
        <v>2.2305117518951785</v>
      </c>
      <c r="R795" s="11">
        <f>Table5[[#This Row],[Profit]]/Table5[[#This Row],[Revenue]]</f>
        <v>0.34782608695652178</v>
      </c>
    </row>
    <row r="796" spans="1:18" x14ac:dyDescent="0.2">
      <c r="A796" s="4">
        <v>795</v>
      </c>
      <c r="B796" s="4">
        <v>59</v>
      </c>
      <c r="C796" s="6">
        <v>45125</v>
      </c>
      <c r="D796" s="4">
        <v>17</v>
      </c>
      <c r="E796" s="4">
        <v>7</v>
      </c>
      <c r="F796" s="12">
        <f t="shared" si="12"/>
        <v>3859.9742999999999</v>
      </c>
      <c r="G796" t="str">
        <f>VLOOKUP(B796,product_tbl[],2,FALSE)</f>
        <v>Smartwatch 59</v>
      </c>
      <c r="H796" t="str">
        <f>VLOOKUP(B796,product_tbl[],3,FALSE)</f>
        <v>Electronics</v>
      </c>
      <c r="I796">
        <v>2490.306</v>
      </c>
      <c r="J796">
        <f>VLOOKUP(B796,product_tbl[],5,FALSE)</f>
        <v>4150.51</v>
      </c>
      <c r="K796">
        <f>VLOOKUP(B796,review_tbl[],3,FALSE)</f>
        <v>3</v>
      </c>
      <c r="L796" s="11">
        <v>4254.0682313348761</v>
      </c>
      <c r="M796" s="11">
        <f>AVERAGEIF(Table1[product_id],Master_tbl!B796:B1797,Table1[competitor_price])</f>
        <v>6105.9674999999997</v>
      </c>
      <c r="N796" s="11">
        <f>IFERROR(Table5[[#This Row],[final_sale_price]]*Table5[[#This Row],[quantity_sold ]],0)</f>
        <v>65619.563099999999</v>
      </c>
      <c r="O796" s="11">
        <f>(Table5[[#This Row],[final_sale_price]]-Table5[[#This Row],[cost_price]])*Table5[[#This Row],[quantity_sold ]]</f>
        <v>23284.361099999998</v>
      </c>
      <c r="P796" s="11">
        <f>(Table5[final_sale_price]-Table5[[#This Row],[avg_comp_price]])</f>
        <v>-2245.9931999999999</v>
      </c>
      <c r="Q796" s="15">
        <f>(Table5[[#This Row],[final_sale_price]]-Table5[[#This Row],[avg_comp_price]])/Table5[[#This Row],[avg_comp_price]]</f>
        <v>-0.36783576067183454</v>
      </c>
      <c r="R796" s="11">
        <f>Table5[[#This Row],[Profit]]/Table5[[#This Row],[Revenue]]</f>
        <v>0.35483870967741932</v>
      </c>
    </row>
    <row r="797" spans="1:18" x14ac:dyDescent="0.2">
      <c r="A797" s="5">
        <v>796</v>
      </c>
      <c r="B797" s="5">
        <v>123</v>
      </c>
      <c r="C797" s="7">
        <v>45872</v>
      </c>
      <c r="D797" s="5">
        <v>44</v>
      </c>
      <c r="E797" s="4">
        <v>9</v>
      </c>
      <c r="F797" s="12">
        <f t="shared" si="12"/>
        <v>4211.1342000000004</v>
      </c>
      <c r="G797" t="str">
        <f>VLOOKUP(B797,product_tbl[],2,FALSE)</f>
        <v>Sunglasses 123</v>
      </c>
      <c r="H797" t="str">
        <f>VLOOKUP(B797,product_tbl[],3,FALSE)</f>
        <v>Fashion</v>
      </c>
      <c r="I797">
        <v>2776.5719999999997</v>
      </c>
      <c r="J797">
        <f>VLOOKUP(B797,product_tbl[],5,FALSE)</f>
        <v>4627.62</v>
      </c>
      <c r="K797">
        <f>VLOOKUP(B797,review_tbl[],3,FALSE)</f>
        <v>2</v>
      </c>
      <c r="L797" s="11">
        <v>4936.737607276893</v>
      </c>
      <c r="M797" s="11">
        <f>AVERAGEIF(Table1[product_id],Master_tbl!B797:B1798,Table1[competitor_price])</f>
        <v>809.94800000000009</v>
      </c>
      <c r="N797" s="11">
        <f>IFERROR(Table5[[#This Row],[final_sale_price]]*Table5[[#This Row],[quantity_sold ]],0)</f>
        <v>185289.90480000002</v>
      </c>
      <c r="O797" s="11">
        <f>(Table5[[#This Row],[final_sale_price]]-Table5[[#This Row],[cost_price]])*Table5[[#This Row],[quantity_sold ]]</f>
        <v>63120.736800000035</v>
      </c>
      <c r="P797" s="11">
        <f>(Table5[final_sale_price]-Table5[[#This Row],[avg_comp_price]])</f>
        <v>3401.1862000000001</v>
      </c>
      <c r="Q797" s="15">
        <f>(Table5[[#This Row],[final_sale_price]]-Table5[[#This Row],[avg_comp_price]])/Table5[[#This Row],[avg_comp_price]]</f>
        <v>4.1992648910794266</v>
      </c>
      <c r="R797" s="11">
        <f>Table5[[#This Row],[Profit]]/Table5[[#This Row],[Revenue]]</f>
        <v>0.34065934065934084</v>
      </c>
    </row>
    <row r="798" spans="1:18" x14ac:dyDescent="0.2">
      <c r="A798" s="4">
        <v>797</v>
      </c>
      <c r="B798" s="4">
        <v>74</v>
      </c>
      <c r="C798" s="6">
        <v>45068</v>
      </c>
      <c r="D798" s="4">
        <v>40</v>
      </c>
      <c r="E798" s="4">
        <v>8</v>
      </c>
      <c r="F798" s="12">
        <f t="shared" si="12"/>
        <v>1752.7932000000001</v>
      </c>
      <c r="G798" t="str">
        <f>VLOOKUP(B798,product_tbl[],2,FALSE)</f>
        <v>Sneakers 74</v>
      </c>
      <c r="H798" t="str">
        <f>VLOOKUP(B798,product_tbl[],3,FALSE)</f>
        <v>Fashion</v>
      </c>
      <c r="I798">
        <v>1143.126</v>
      </c>
      <c r="J798">
        <f>VLOOKUP(B798,product_tbl[],5,FALSE)</f>
        <v>1905.21</v>
      </c>
      <c r="K798">
        <f>VLOOKUP(B798,review_tbl[],3,FALSE)</f>
        <v>5</v>
      </c>
      <c r="L798" s="11">
        <v>1963.8049613548997</v>
      </c>
      <c r="M798" s="11">
        <f>AVERAGEIF(Table1[product_id],Master_tbl!B798:B1799,Table1[competitor_price])</f>
        <v>2585.9039999999995</v>
      </c>
      <c r="N798" s="11">
        <f>IFERROR(Table5[[#This Row],[final_sale_price]]*Table5[[#This Row],[quantity_sold ]],0)</f>
        <v>70111.728000000003</v>
      </c>
      <c r="O798" s="11">
        <f>(Table5[[#This Row],[final_sale_price]]-Table5[[#This Row],[cost_price]])*Table5[[#This Row],[quantity_sold ]]</f>
        <v>24386.688000000002</v>
      </c>
      <c r="P798" s="11">
        <f>(Table5[final_sale_price]-Table5[[#This Row],[avg_comp_price]])</f>
        <v>-833.11079999999947</v>
      </c>
      <c r="Q798" s="15">
        <f>(Table5[[#This Row],[final_sale_price]]-Table5[[#This Row],[avg_comp_price]])/Table5[[#This Row],[avg_comp_price]]</f>
        <v>-0.3221739090082229</v>
      </c>
      <c r="R798" s="11">
        <f>Table5[[#This Row],[Profit]]/Table5[[#This Row],[Revenue]]</f>
        <v>0.34782608695652173</v>
      </c>
    </row>
    <row r="799" spans="1:18" x14ac:dyDescent="0.2">
      <c r="A799" s="5">
        <v>798</v>
      </c>
      <c r="B799" s="5">
        <v>16</v>
      </c>
      <c r="C799" s="7">
        <v>45003</v>
      </c>
      <c r="D799" s="5">
        <v>16</v>
      </c>
      <c r="E799" s="4">
        <v>10</v>
      </c>
      <c r="F799" s="12">
        <f t="shared" si="12"/>
        <v>6076.62</v>
      </c>
      <c r="G799" t="str">
        <f>VLOOKUP(B799,product_tbl[],2,FALSE)</f>
        <v>Cookbook 16</v>
      </c>
      <c r="H799" t="str">
        <f>VLOOKUP(B799,product_tbl[],3,FALSE)</f>
        <v>Books</v>
      </c>
      <c r="I799">
        <v>4051.08</v>
      </c>
      <c r="J799">
        <f>VLOOKUP(B799,product_tbl[],5,FALSE)</f>
        <v>6751.8</v>
      </c>
      <c r="K799">
        <f>VLOOKUP(B799,review_tbl[],3,FALSE)</f>
        <v>4</v>
      </c>
      <c r="L799" s="11">
        <v>7838.6397048536255</v>
      </c>
      <c r="M799" s="11">
        <f>AVERAGEIF(Table1[product_id],Master_tbl!B799:B1800,Table1[competitor_price])</f>
        <v>6827.7939999999999</v>
      </c>
      <c r="N799" s="11">
        <f>IFERROR(Table5[[#This Row],[final_sale_price]]*Table5[[#This Row],[quantity_sold ]],0)</f>
        <v>97225.919999999998</v>
      </c>
      <c r="O799" s="11">
        <f>(Table5[[#This Row],[final_sale_price]]-Table5[[#This Row],[cost_price]])*Table5[[#This Row],[quantity_sold ]]</f>
        <v>32408.639999999999</v>
      </c>
      <c r="P799" s="11">
        <f>(Table5[final_sale_price]-Table5[[#This Row],[avg_comp_price]])</f>
        <v>-751.17399999999998</v>
      </c>
      <c r="Q799" s="15">
        <f>(Table5[[#This Row],[final_sale_price]]-Table5[[#This Row],[avg_comp_price]])/Table5[[#This Row],[avg_comp_price]]</f>
        <v>-0.11001708604565398</v>
      </c>
      <c r="R799" s="11">
        <f>Table5[[#This Row],[Profit]]/Table5[[#This Row],[Revenue]]</f>
        <v>0.33333333333333331</v>
      </c>
    </row>
    <row r="800" spans="1:18" x14ac:dyDescent="0.2">
      <c r="A800" s="4">
        <v>799</v>
      </c>
      <c r="B800" s="4">
        <v>123</v>
      </c>
      <c r="C800" s="6">
        <v>44940</v>
      </c>
      <c r="D800" s="4">
        <v>50</v>
      </c>
      <c r="E800" s="4">
        <v>10</v>
      </c>
      <c r="F800" s="12">
        <f t="shared" si="12"/>
        <v>4164.8580000000002</v>
      </c>
      <c r="G800" t="str">
        <f>VLOOKUP(B800,product_tbl[],2,FALSE)</f>
        <v>Sunglasses 123</v>
      </c>
      <c r="H800" t="str">
        <f>VLOOKUP(B800,product_tbl[],3,FALSE)</f>
        <v>Fashion</v>
      </c>
      <c r="I800">
        <v>2776.5719999999997</v>
      </c>
      <c r="J800">
        <f>VLOOKUP(B800,product_tbl[],5,FALSE)</f>
        <v>4627.62</v>
      </c>
      <c r="K800">
        <f>VLOOKUP(B800,review_tbl[],3,FALSE)</f>
        <v>2</v>
      </c>
      <c r="L800" s="11">
        <v>5468.9961285223844</v>
      </c>
      <c r="M800" s="11">
        <f>AVERAGEIF(Table1[product_id],Master_tbl!B800:B1801,Table1[competitor_price])</f>
        <v>809.94800000000009</v>
      </c>
      <c r="N800" s="11">
        <f>IFERROR(Table5[[#This Row],[final_sale_price]]*Table5[[#This Row],[quantity_sold ]],0)</f>
        <v>208242.90000000002</v>
      </c>
      <c r="O800" s="11">
        <f>(Table5[[#This Row],[final_sale_price]]-Table5[[#This Row],[cost_price]])*Table5[[#This Row],[quantity_sold ]]</f>
        <v>69414.300000000032</v>
      </c>
      <c r="P800" s="11">
        <f>(Table5[final_sale_price]-Table5[[#This Row],[avg_comp_price]])</f>
        <v>3354.91</v>
      </c>
      <c r="Q800" s="15">
        <f>(Table5[[#This Row],[final_sale_price]]-Table5[[#This Row],[avg_comp_price]])/Table5[[#This Row],[avg_comp_price]]</f>
        <v>4.1421301120565754</v>
      </c>
      <c r="R800" s="11">
        <f>Table5[[#This Row],[Profit]]/Table5[[#This Row],[Revenue]]</f>
        <v>0.33333333333333343</v>
      </c>
    </row>
    <row r="801" spans="1:18" x14ac:dyDescent="0.2">
      <c r="A801" s="5">
        <v>800</v>
      </c>
      <c r="B801" s="5">
        <v>45</v>
      </c>
      <c r="C801" s="7">
        <v>45094</v>
      </c>
      <c r="D801" s="5">
        <v>41</v>
      </c>
      <c r="E801" s="4">
        <v>5</v>
      </c>
      <c r="F801" s="12">
        <f t="shared" si="12"/>
        <v>5060.0704999999998</v>
      </c>
      <c r="G801" t="str">
        <f>VLOOKUP(B801,product_tbl[],2,FALSE)</f>
        <v>Doll 45</v>
      </c>
      <c r="H801" t="str">
        <f>VLOOKUP(B801,product_tbl[],3,FALSE)</f>
        <v>Toys</v>
      </c>
      <c r="I801">
        <v>3195.8340000000003</v>
      </c>
      <c r="J801">
        <f>VLOOKUP(B801,product_tbl[],5,FALSE)</f>
        <v>5326.39</v>
      </c>
      <c r="K801">
        <f>VLOOKUP(B801,review_tbl[],3,FALSE)</f>
        <v>1</v>
      </c>
      <c r="L801" s="11">
        <v>6906.5834371394167</v>
      </c>
      <c r="M801" s="11">
        <f>AVERAGEIF(Table1[product_id],Master_tbl!B801:B1802,Table1[competitor_price])</f>
        <v>4436.1279999999997</v>
      </c>
      <c r="N801" s="11">
        <f>IFERROR(Table5[[#This Row],[final_sale_price]]*Table5[[#This Row],[quantity_sold ]],0)</f>
        <v>207462.89049999998</v>
      </c>
      <c r="O801" s="11">
        <f>(Table5[[#This Row],[final_sale_price]]-Table5[[#This Row],[cost_price]])*Table5[[#This Row],[quantity_sold ]]</f>
        <v>76433.696499999976</v>
      </c>
      <c r="P801" s="11">
        <f>(Table5[final_sale_price]-Table5[[#This Row],[avg_comp_price]])</f>
        <v>623.94250000000011</v>
      </c>
      <c r="Q801" s="15">
        <f>(Table5[[#This Row],[final_sale_price]]-Table5[[#This Row],[avg_comp_price]])/Table5[[#This Row],[avg_comp_price]]</f>
        <v>0.14065024724264047</v>
      </c>
      <c r="R801" s="11">
        <f>Table5[[#This Row],[Profit]]/Table5[[#This Row],[Revenue]]</f>
        <v>0.36842105263157887</v>
      </c>
    </row>
    <row r="802" spans="1:18" x14ac:dyDescent="0.2">
      <c r="A802" s="4">
        <v>801</v>
      </c>
      <c r="B802" s="4">
        <v>15</v>
      </c>
      <c r="C802" s="6">
        <v>45101</v>
      </c>
      <c r="D802" s="4">
        <v>20</v>
      </c>
      <c r="E802" s="4">
        <v>3</v>
      </c>
      <c r="F802" s="12">
        <f t="shared" si="12"/>
        <v>4696.2355999999991</v>
      </c>
      <c r="G802" t="str">
        <f>VLOOKUP(B802,product_tbl[],2,FALSE)</f>
        <v>Tennis Racket 15</v>
      </c>
      <c r="H802" t="str">
        <f>VLOOKUP(B802,product_tbl[],3,FALSE)</f>
        <v>Sports</v>
      </c>
      <c r="I802">
        <v>2904.8879999999995</v>
      </c>
      <c r="J802">
        <f>VLOOKUP(B802,product_tbl[],5,FALSE)</f>
        <v>4841.4799999999996</v>
      </c>
      <c r="K802">
        <f>VLOOKUP(B802,review_tbl[],3,FALSE)</f>
        <v>4</v>
      </c>
      <c r="L802" s="11">
        <v>6006.7771001586761</v>
      </c>
      <c r="M802" s="11">
        <f>AVERAGEIF(Table1[product_id],Master_tbl!B802:B1803,Table1[competitor_price])</f>
        <v>5242.3433333333332</v>
      </c>
      <c r="N802" s="11">
        <f>IFERROR(Table5[[#This Row],[final_sale_price]]*Table5[[#This Row],[quantity_sold ]],0)</f>
        <v>93924.711999999985</v>
      </c>
      <c r="O802" s="11">
        <f>(Table5[[#This Row],[final_sale_price]]-Table5[[#This Row],[cost_price]])*Table5[[#This Row],[quantity_sold ]]</f>
        <v>35826.95199999999</v>
      </c>
      <c r="P802" s="11">
        <f>(Table5[final_sale_price]-Table5[[#This Row],[avg_comp_price]])</f>
        <v>-546.10773333333418</v>
      </c>
      <c r="Q802" s="15">
        <f>(Table5[[#This Row],[final_sale_price]]-Table5[[#This Row],[avg_comp_price]])/Table5[[#This Row],[avg_comp_price]]</f>
        <v>-0.10417244705452985</v>
      </c>
      <c r="R802" s="11">
        <f>Table5[[#This Row],[Profit]]/Table5[[#This Row],[Revenue]]</f>
        <v>0.38144329896907214</v>
      </c>
    </row>
    <row r="803" spans="1:18" x14ac:dyDescent="0.2">
      <c r="A803" s="5">
        <v>802</v>
      </c>
      <c r="B803" s="5">
        <v>58</v>
      </c>
      <c r="C803" s="7">
        <v>45509</v>
      </c>
      <c r="D803" s="5">
        <v>47</v>
      </c>
      <c r="E803" s="4">
        <v>2</v>
      </c>
      <c r="F803" s="12">
        <f t="shared" si="12"/>
        <v>1115.8083999999999</v>
      </c>
      <c r="G803" t="str">
        <f>VLOOKUP(B803,product_tbl[],2,FALSE)</f>
        <v>Wheat Flour 58</v>
      </c>
      <c r="H803" t="str">
        <f>VLOOKUP(B803,product_tbl[],3,FALSE)</f>
        <v>Grocery</v>
      </c>
      <c r="I803">
        <v>683.14799999999991</v>
      </c>
      <c r="J803">
        <f>VLOOKUP(B803,product_tbl[],5,FALSE)</f>
        <v>1138.58</v>
      </c>
      <c r="K803">
        <f>VLOOKUP(B803,review_tbl[],3,FALSE)</f>
        <v>2</v>
      </c>
      <c r="L803" s="11">
        <v>1145.9840312898091</v>
      </c>
      <c r="M803" s="11">
        <f>AVERAGEIF(Table1[product_id],Master_tbl!B803:B1804,Table1[competitor_price])</f>
        <v>1439.8525</v>
      </c>
      <c r="N803" s="11">
        <f>IFERROR(Table5[[#This Row],[final_sale_price]]*Table5[[#This Row],[quantity_sold ]],0)</f>
        <v>52442.994799999993</v>
      </c>
      <c r="O803" s="11">
        <f>(Table5[[#This Row],[final_sale_price]]-Table5[[#This Row],[cost_price]])*Table5[[#This Row],[quantity_sold ]]</f>
        <v>20335.038799999998</v>
      </c>
      <c r="P803" s="11">
        <f>(Table5[final_sale_price]-Table5[[#This Row],[avg_comp_price]])</f>
        <v>-324.04410000000007</v>
      </c>
      <c r="Q803" s="15">
        <f>(Table5[[#This Row],[final_sale_price]]-Table5[[#This Row],[avg_comp_price]])/Table5[[#This Row],[avg_comp_price]]</f>
        <v>-0.22505367737320323</v>
      </c>
      <c r="R803" s="11">
        <f>Table5[[#This Row],[Profit]]/Table5[[#This Row],[Revenue]]</f>
        <v>0.38775510204081637</v>
      </c>
    </row>
    <row r="804" spans="1:18" x14ac:dyDescent="0.2">
      <c r="A804" s="4">
        <v>803</v>
      </c>
      <c r="B804" s="4">
        <v>94</v>
      </c>
      <c r="C804" s="6">
        <v>44984</v>
      </c>
      <c r="D804" s="4">
        <v>37</v>
      </c>
      <c r="E804" s="4">
        <v>4</v>
      </c>
      <c r="F804" s="12">
        <f t="shared" si="12"/>
        <v>4466.6687999999995</v>
      </c>
      <c r="G804" t="str">
        <f>VLOOKUP(B804,product_tbl[],2,FALSE)</f>
        <v>Cricket Bat 94</v>
      </c>
      <c r="H804" t="str">
        <f>VLOOKUP(B804,product_tbl[],3,FALSE)</f>
        <v>Sports</v>
      </c>
      <c r="I804">
        <v>2791.6679999999997</v>
      </c>
      <c r="J804">
        <f>VLOOKUP(B804,product_tbl[],5,FALSE)</f>
        <v>4652.78</v>
      </c>
      <c r="K804">
        <f>VLOOKUP(B804,review_tbl[],3,FALSE)</f>
        <v>1</v>
      </c>
      <c r="L804" s="11">
        <v>5609.9196994551758</v>
      </c>
      <c r="M804" s="11">
        <f>AVERAGEIF(Table1[product_id],Master_tbl!B804:B1805,Table1[competitor_price])</f>
        <v>6485.5883333333331</v>
      </c>
      <c r="N804" s="11">
        <f>IFERROR(Table5[[#This Row],[final_sale_price]]*Table5[[#This Row],[quantity_sold ]],0)</f>
        <v>165266.74559999997</v>
      </c>
      <c r="O804" s="11">
        <f>(Table5[[#This Row],[final_sale_price]]-Table5[[#This Row],[cost_price]])*Table5[[#This Row],[quantity_sold ]]</f>
        <v>61975.029599999994</v>
      </c>
      <c r="P804" s="11">
        <f>(Table5[final_sale_price]-Table5[[#This Row],[avg_comp_price]])</f>
        <v>-2018.9195333333337</v>
      </c>
      <c r="Q804" s="15">
        <f>(Table5[[#This Row],[final_sale_price]]-Table5[[#This Row],[avg_comp_price]])/Table5[[#This Row],[avg_comp_price]]</f>
        <v>-0.31129319802135663</v>
      </c>
      <c r="R804" s="11">
        <f>Table5[[#This Row],[Profit]]/Table5[[#This Row],[Revenue]]</f>
        <v>0.37500000000000006</v>
      </c>
    </row>
    <row r="805" spans="1:18" x14ac:dyDescent="0.2">
      <c r="A805" s="5">
        <v>804</v>
      </c>
      <c r="B805" s="5">
        <v>21</v>
      </c>
      <c r="C805" s="7">
        <v>45960</v>
      </c>
      <c r="D805" s="5">
        <v>8</v>
      </c>
      <c r="E805" s="4">
        <v>5</v>
      </c>
      <c r="F805" s="12">
        <f t="shared" si="12"/>
        <v>2735.335</v>
      </c>
      <c r="G805" t="str">
        <f>VLOOKUP(B805,product_tbl[],2,FALSE)</f>
        <v>Water Purifier 21</v>
      </c>
      <c r="H805" t="str">
        <f>VLOOKUP(B805,product_tbl[],3,FALSE)</f>
        <v>Home Appliances</v>
      </c>
      <c r="I805">
        <v>1727.5800000000002</v>
      </c>
      <c r="J805">
        <f>VLOOKUP(B805,product_tbl[],5,FALSE)</f>
        <v>2879.3</v>
      </c>
      <c r="K805">
        <f>VLOOKUP(B805,review_tbl[],3,FALSE)</f>
        <v>3</v>
      </c>
      <c r="L805" s="11">
        <v>3573.5499563618073</v>
      </c>
      <c r="M805" s="11">
        <f>AVERAGEIF(Table1[product_id],Master_tbl!B805:B1806,Table1[competitor_price])</f>
        <v>4150.0079999999998</v>
      </c>
      <c r="N805" s="11">
        <f>IFERROR(Table5[[#This Row],[final_sale_price]]*Table5[[#This Row],[quantity_sold ]],0)</f>
        <v>21882.68</v>
      </c>
      <c r="O805" s="11">
        <f>(Table5[[#This Row],[final_sale_price]]-Table5[[#This Row],[cost_price]])*Table5[[#This Row],[quantity_sold ]]</f>
        <v>8062.0399999999991</v>
      </c>
      <c r="P805" s="11">
        <f>(Table5[final_sale_price]-Table5[[#This Row],[avg_comp_price]])</f>
        <v>-1414.6729999999998</v>
      </c>
      <c r="Q805" s="15">
        <f>(Table5[[#This Row],[final_sale_price]]-Table5[[#This Row],[avg_comp_price]])/Table5[[#This Row],[avg_comp_price]]</f>
        <v>-0.3408844031144036</v>
      </c>
      <c r="R805" s="11">
        <f>Table5[[#This Row],[Profit]]/Table5[[#This Row],[Revenue]]</f>
        <v>0.36842105263157893</v>
      </c>
    </row>
    <row r="806" spans="1:18" x14ac:dyDescent="0.2">
      <c r="A806" s="4">
        <v>805</v>
      </c>
      <c r="B806" s="4">
        <v>100</v>
      </c>
      <c r="C806" s="6">
        <v>45627</v>
      </c>
      <c r="D806" s="4">
        <v>9</v>
      </c>
      <c r="E806" s="4">
        <v>7</v>
      </c>
      <c r="F806" s="12">
        <f t="shared" si="12"/>
        <v>3797.9897999999998</v>
      </c>
      <c r="G806" t="str">
        <f>VLOOKUP(B806,product_tbl[],2,FALSE)</f>
        <v>T-Shirt 100</v>
      </c>
      <c r="H806" t="str">
        <f>VLOOKUP(B806,product_tbl[],3,FALSE)</f>
        <v>Fashion</v>
      </c>
      <c r="I806">
        <v>2450.3159999999998</v>
      </c>
      <c r="J806">
        <f>VLOOKUP(B806,product_tbl[],5,FALSE)</f>
        <v>4083.86</v>
      </c>
      <c r="K806">
        <f>VLOOKUP(B806,review_tbl[],3,FALSE)</f>
        <v>3</v>
      </c>
      <c r="L806" s="11">
        <v>4481.8134877949797</v>
      </c>
      <c r="M806" s="11">
        <f>AVERAGEIF(Table1[product_id],Master_tbl!B806:B1807,Table1[competitor_price])</f>
        <v>3659.5875000000001</v>
      </c>
      <c r="N806" s="11">
        <f>IFERROR(Table5[[#This Row],[final_sale_price]]*Table5[[#This Row],[quantity_sold ]],0)</f>
        <v>34181.908199999998</v>
      </c>
      <c r="O806" s="11">
        <f>(Table5[[#This Row],[final_sale_price]]-Table5[[#This Row],[cost_price]])*Table5[[#This Row],[quantity_sold ]]</f>
        <v>12129.064200000001</v>
      </c>
      <c r="P806" s="11">
        <f>(Table5[final_sale_price]-Table5[[#This Row],[avg_comp_price]])</f>
        <v>138.40229999999974</v>
      </c>
      <c r="Q806" s="15">
        <f>(Table5[[#This Row],[final_sale_price]]-Table5[[#This Row],[avg_comp_price]])/Table5[[#This Row],[avg_comp_price]]</f>
        <v>3.7819098463966153E-2</v>
      </c>
      <c r="R806" s="11">
        <f>Table5[[#This Row],[Profit]]/Table5[[#This Row],[Revenue]]</f>
        <v>0.35483870967741937</v>
      </c>
    </row>
    <row r="807" spans="1:18" x14ac:dyDescent="0.2">
      <c r="A807" s="5">
        <v>806</v>
      </c>
      <c r="B807" s="5">
        <v>149</v>
      </c>
      <c r="C807" s="7">
        <v>45151</v>
      </c>
      <c r="D807" s="5">
        <v>11</v>
      </c>
      <c r="E807" s="4">
        <v>9</v>
      </c>
      <c r="F807" s="12">
        <f t="shared" si="12"/>
        <v>5576.2798000000003</v>
      </c>
      <c r="G807" t="str">
        <f>VLOOKUP(B807,product_tbl[],2,FALSE)</f>
        <v>Smartphone 149</v>
      </c>
      <c r="H807" t="str">
        <f>VLOOKUP(B807,product_tbl[],3,FALSE)</f>
        <v>Electronics</v>
      </c>
      <c r="I807">
        <v>3676.6679999999997</v>
      </c>
      <c r="J807">
        <f>VLOOKUP(B807,product_tbl[],5,FALSE)</f>
        <v>6127.78</v>
      </c>
      <c r="K807">
        <f>VLOOKUP(B807,review_tbl[],3,FALSE)</f>
        <v>4</v>
      </c>
      <c r="L807" s="11">
        <v>6371.4403069665386</v>
      </c>
      <c r="M807" s="11">
        <f>AVERAGEIF(Table1[product_id],Master_tbl!B807:B1808,Table1[competitor_price])</f>
        <v>3159.4639999999999</v>
      </c>
      <c r="N807" s="11">
        <f>IFERROR(Table5[[#This Row],[final_sale_price]]*Table5[[#This Row],[quantity_sold ]],0)</f>
        <v>61339.077799999999</v>
      </c>
      <c r="O807" s="11">
        <f>(Table5[[#This Row],[final_sale_price]]-Table5[[#This Row],[cost_price]])*Table5[[#This Row],[quantity_sold ]]</f>
        <v>20895.729800000008</v>
      </c>
      <c r="P807" s="11">
        <f>(Table5[final_sale_price]-Table5[[#This Row],[avg_comp_price]])</f>
        <v>2416.8158000000003</v>
      </c>
      <c r="Q807" s="15">
        <f>(Table5[[#This Row],[final_sale_price]]-Table5[[#This Row],[avg_comp_price]])/Table5[[#This Row],[avg_comp_price]]</f>
        <v>0.76494487672592582</v>
      </c>
      <c r="R807" s="11">
        <f>Table5[[#This Row],[Profit]]/Table5[[#This Row],[Revenue]]</f>
        <v>0.34065934065934078</v>
      </c>
    </row>
    <row r="808" spans="1:18" x14ac:dyDescent="0.2">
      <c r="A808" s="4">
        <v>807</v>
      </c>
      <c r="B808" s="4">
        <v>18</v>
      </c>
      <c r="C808" s="6">
        <v>45136</v>
      </c>
      <c r="D808" s="4">
        <v>42</v>
      </c>
      <c r="E808" s="4">
        <v>8</v>
      </c>
      <c r="F808" s="12">
        <f t="shared" si="12"/>
        <v>7761.0740000000014</v>
      </c>
      <c r="G808" t="str">
        <f>VLOOKUP(B808,product_tbl[],2,FALSE)</f>
        <v>Coffee Beans 18</v>
      </c>
      <c r="H808" t="str">
        <f>VLOOKUP(B808,product_tbl[],3,FALSE)</f>
        <v>Grocery</v>
      </c>
      <c r="I808">
        <v>5061.5700000000006</v>
      </c>
      <c r="J808">
        <f>VLOOKUP(B808,product_tbl[],5,FALSE)</f>
        <v>8435.9500000000007</v>
      </c>
      <c r="K808">
        <f>VLOOKUP(B808,review_tbl[],3,FALSE)</f>
        <v>3</v>
      </c>
      <c r="L808" s="11">
        <v>9251.1437607765802</v>
      </c>
      <c r="M808" s="11">
        <f>AVERAGEIF(Table1[product_id],Master_tbl!B808:B1809,Table1[competitor_price])</f>
        <v>1552.9240000000002</v>
      </c>
      <c r="N808" s="11">
        <f>IFERROR(Table5[[#This Row],[final_sale_price]]*Table5[[#This Row],[quantity_sold ]],0)</f>
        <v>325965.10800000007</v>
      </c>
      <c r="O808" s="11">
        <f>(Table5[[#This Row],[final_sale_price]]-Table5[[#This Row],[cost_price]])*Table5[[#This Row],[quantity_sold ]]</f>
        <v>113379.16800000003</v>
      </c>
      <c r="P808" s="11">
        <f>(Table5[final_sale_price]-Table5[[#This Row],[avg_comp_price]])</f>
        <v>6208.1500000000015</v>
      </c>
      <c r="Q808" s="15">
        <f>(Table5[[#This Row],[final_sale_price]]-Table5[[#This Row],[avg_comp_price]])/Table5[[#This Row],[avg_comp_price]]</f>
        <v>3.9977165656529237</v>
      </c>
      <c r="R808" s="11">
        <f>Table5[[#This Row],[Profit]]/Table5[[#This Row],[Revenue]]</f>
        <v>0.34782608695652178</v>
      </c>
    </row>
    <row r="809" spans="1:18" x14ac:dyDescent="0.2">
      <c r="A809" s="5">
        <v>808</v>
      </c>
      <c r="B809" s="5">
        <v>141</v>
      </c>
      <c r="C809" s="7">
        <v>45419</v>
      </c>
      <c r="D809" s="5">
        <v>49</v>
      </c>
      <c r="E809" s="4">
        <v>8</v>
      </c>
      <c r="F809" s="12">
        <f t="shared" si="12"/>
        <v>7235.9748</v>
      </c>
      <c r="G809" t="str">
        <f>VLOOKUP(B809,product_tbl[],2,FALSE)</f>
        <v>Puzzle Set 141</v>
      </c>
      <c r="H809" t="str">
        <f>VLOOKUP(B809,product_tbl[],3,FALSE)</f>
        <v>Toys</v>
      </c>
      <c r="I809">
        <v>4719.1139999999996</v>
      </c>
      <c r="J809">
        <f>VLOOKUP(B809,product_tbl[],5,FALSE)</f>
        <v>7865.19</v>
      </c>
      <c r="K809">
        <f>VLOOKUP(B809,review_tbl[],3,FALSE)</f>
        <v>5</v>
      </c>
      <c r="L809" s="11">
        <v>7949.1073826536312</v>
      </c>
      <c r="M809" s="11">
        <f>AVERAGEIF(Table1[product_id],Master_tbl!B809:B1810,Table1[competitor_price])</f>
        <v>7586.8133333333344</v>
      </c>
      <c r="N809" s="11">
        <f>IFERROR(Table5[[#This Row],[final_sale_price]]*Table5[[#This Row],[quantity_sold ]],0)</f>
        <v>354562.76520000002</v>
      </c>
      <c r="O809" s="11">
        <f>(Table5[[#This Row],[final_sale_price]]-Table5[[#This Row],[cost_price]])*Table5[[#This Row],[quantity_sold ]]</f>
        <v>123326.17920000001</v>
      </c>
      <c r="P809" s="11">
        <f>(Table5[final_sale_price]-Table5[[#This Row],[avg_comp_price]])</f>
        <v>-350.83853333333445</v>
      </c>
      <c r="Q809" s="15">
        <f>(Table5[[#This Row],[final_sale_price]]-Table5[[#This Row],[avg_comp_price]])/Table5[[#This Row],[avg_comp_price]]</f>
        <v>-4.624320092230217E-2</v>
      </c>
      <c r="R809" s="11">
        <f>Table5[[#This Row],[Profit]]/Table5[[#This Row],[Revenue]]</f>
        <v>0.34782608695652173</v>
      </c>
    </row>
    <row r="810" spans="1:18" x14ac:dyDescent="0.2">
      <c r="A810" s="4">
        <v>809</v>
      </c>
      <c r="B810" s="4">
        <v>18</v>
      </c>
      <c r="C810" s="6">
        <v>45086</v>
      </c>
      <c r="D810" s="4">
        <v>14</v>
      </c>
      <c r="E810" s="4">
        <v>9</v>
      </c>
      <c r="F810" s="12">
        <f t="shared" si="12"/>
        <v>7676.714500000001</v>
      </c>
      <c r="G810" t="str">
        <f>VLOOKUP(B810,product_tbl[],2,FALSE)</f>
        <v>Coffee Beans 18</v>
      </c>
      <c r="H810" t="str">
        <f>VLOOKUP(B810,product_tbl[],3,FALSE)</f>
        <v>Grocery</v>
      </c>
      <c r="I810">
        <v>5061.5700000000006</v>
      </c>
      <c r="J810">
        <f>VLOOKUP(B810,product_tbl[],5,FALSE)</f>
        <v>8435.9500000000007</v>
      </c>
      <c r="K810">
        <f>VLOOKUP(B810,review_tbl[],3,FALSE)</f>
        <v>3</v>
      </c>
      <c r="L810" s="11">
        <v>9985.3490093160108</v>
      </c>
      <c r="M810" s="11">
        <f>AVERAGEIF(Table1[product_id],Master_tbl!B810:B1811,Table1[competitor_price])</f>
        <v>1552.9240000000002</v>
      </c>
      <c r="N810" s="11">
        <f>IFERROR(Table5[[#This Row],[final_sale_price]]*Table5[[#This Row],[quantity_sold ]],0)</f>
        <v>107474.00300000001</v>
      </c>
      <c r="O810" s="11">
        <f>(Table5[[#This Row],[final_sale_price]]-Table5[[#This Row],[cost_price]])*Table5[[#This Row],[quantity_sold ]]</f>
        <v>36612.023000000001</v>
      </c>
      <c r="P810" s="11">
        <f>(Table5[final_sale_price]-Table5[[#This Row],[avg_comp_price]])</f>
        <v>6123.790500000001</v>
      </c>
      <c r="Q810" s="15">
        <f>(Table5[[#This Row],[final_sale_price]]-Table5[[#This Row],[avg_comp_price]])/Table5[[#This Row],[avg_comp_price]]</f>
        <v>3.9433935595045218</v>
      </c>
      <c r="R810" s="11">
        <f>Table5[[#This Row],[Profit]]/Table5[[#This Row],[Revenue]]</f>
        <v>0.34065934065934061</v>
      </c>
    </row>
    <row r="811" spans="1:18" x14ac:dyDescent="0.2">
      <c r="A811" s="5">
        <v>810</v>
      </c>
      <c r="B811" s="5">
        <v>56</v>
      </c>
      <c r="C811" s="7">
        <v>45792</v>
      </c>
      <c r="D811" s="5">
        <v>5</v>
      </c>
      <c r="E811" s="4">
        <v>8</v>
      </c>
      <c r="F811" s="12">
        <f t="shared" si="12"/>
        <v>7343.2560000000003</v>
      </c>
      <c r="G811" t="str">
        <f>VLOOKUP(B811,product_tbl[],2,FALSE)</f>
        <v>Smartwatch 56</v>
      </c>
      <c r="H811" t="str">
        <f>VLOOKUP(B811,product_tbl[],3,FALSE)</f>
        <v>Electronics</v>
      </c>
      <c r="I811">
        <v>4789.08</v>
      </c>
      <c r="J811">
        <f>VLOOKUP(B811,product_tbl[],5,FALSE)</f>
        <v>7981.8</v>
      </c>
      <c r="K811">
        <f>VLOOKUP(B811,review_tbl[],3,FALSE)</f>
        <v>5</v>
      </c>
      <c r="L811" s="11">
        <v>10183.894994765038</v>
      </c>
      <c r="M811" s="11">
        <f>AVERAGEIF(Table1[product_id],Master_tbl!B811:B1812,Table1[competitor_price])</f>
        <v>3458.9274999999998</v>
      </c>
      <c r="N811" s="11">
        <f>IFERROR(Table5[[#This Row],[final_sale_price]]*Table5[[#This Row],[quantity_sold ]],0)</f>
        <v>36716.28</v>
      </c>
      <c r="O811" s="11">
        <f>(Table5[[#This Row],[final_sale_price]]-Table5[[#This Row],[cost_price]])*Table5[[#This Row],[quantity_sold ]]</f>
        <v>12770.880000000001</v>
      </c>
      <c r="P811" s="11">
        <f>(Table5[final_sale_price]-Table5[[#This Row],[avg_comp_price]])</f>
        <v>3884.3285000000005</v>
      </c>
      <c r="Q811" s="15">
        <f>(Table5[[#This Row],[final_sale_price]]-Table5[[#This Row],[avg_comp_price]])/Table5[[#This Row],[avg_comp_price]]</f>
        <v>1.1229863881217519</v>
      </c>
      <c r="R811" s="11">
        <f>Table5[[#This Row],[Profit]]/Table5[[#This Row],[Revenue]]</f>
        <v>0.34782608695652178</v>
      </c>
    </row>
    <row r="812" spans="1:18" x14ac:dyDescent="0.2">
      <c r="A812" s="4">
        <v>811</v>
      </c>
      <c r="B812" s="4">
        <v>53</v>
      </c>
      <c r="C812" s="6">
        <v>45067</v>
      </c>
      <c r="D812" s="4">
        <v>49</v>
      </c>
      <c r="E812" s="4">
        <v>2</v>
      </c>
      <c r="F812" s="12">
        <f t="shared" si="12"/>
        <v>3395.1217999999999</v>
      </c>
      <c r="G812" t="str">
        <f>VLOOKUP(B812,product_tbl[],2,FALSE)</f>
        <v>Cookbook 53</v>
      </c>
      <c r="H812" t="str">
        <f>VLOOKUP(B812,product_tbl[],3,FALSE)</f>
        <v>Books</v>
      </c>
      <c r="I812">
        <v>2078.6459999999997</v>
      </c>
      <c r="J812">
        <f>VLOOKUP(B812,product_tbl[],5,FALSE)</f>
        <v>3464.41</v>
      </c>
      <c r="K812">
        <f>VLOOKUP(B812,review_tbl[],3,FALSE)</f>
        <v>4</v>
      </c>
      <c r="L812" s="11">
        <v>4286.0079102580239</v>
      </c>
      <c r="M812" s="11">
        <f>AVERAGEIF(Table1[product_id],Master_tbl!B812:B1813,Table1[competitor_price])</f>
        <v>954.33000000000015</v>
      </c>
      <c r="N812" s="11">
        <f>IFERROR(Table5[[#This Row],[final_sale_price]]*Table5[[#This Row],[quantity_sold ]],0)</f>
        <v>166360.9682</v>
      </c>
      <c r="O812" s="11">
        <f>(Table5[[#This Row],[final_sale_price]]-Table5[[#This Row],[cost_price]])*Table5[[#This Row],[quantity_sold ]]</f>
        <v>64507.314200000008</v>
      </c>
      <c r="P812" s="11">
        <f>(Table5[final_sale_price]-Table5[[#This Row],[avg_comp_price]])</f>
        <v>2440.7918</v>
      </c>
      <c r="Q812" s="15">
        <f>(Table5[[#This Row],[final_sale_price]]-Table5[[#This Row],[avg_comp_price]])/Table5[[#This Row],[avg_comp_price]]</f>
        <v>2.5575972671926896</v>
      </c>
      <c r="R812" s="11">
        <f>Table5[[#This Row],[Profit]]/Table5[[#This Row],[Revenue]]</f>
        <v>0.38775510204081637</v>
      </c>
    </row>
    <row r="813" spans="1:18" x14ac:dyDescent="0.2">
      <c r="A813" s="5">
        <v>812</v>
      </c>
      <c r="B813" s="5">
        <v>104</v>
      </c>
      <c r="C813" s="7">
        <v>45140</v>
      </c>
      <c r="D813" s="5">
        <v>7</v>
      </c>
      <c r="E813" s="4">
        <v>7</v>
      </c>
      <c r="F813" s="12">
        <f t="shared" si="12"/>
        <v>3007.2015000000001</v>
      </c>
      <c r="G813" t="str">
        <f>VLOOKUP(B813,product_tbl[],2,FALSE)</f>
        <v>Children Story Book 104</v>
      </c>
      <c r="H813" t="str">
        <f>VLOOKUP(B813,product_tbl[],3,FALSE)</f>
        <v>Books</v>
      </c>
      <c r="I813">
        <v>1940.13</v>
      </c>
      <c r="J813">
        <f>VLOOKUP(B813,product_tbl[],5,FALSE)</f>
        <v>3233.55</v>
      </c>
      <c r="K813">
        <f>VLOOKUP(B813,review_tbl[],3,FALSE)</f>
        <v>1</v>
      </c>
      <c r="L813" s="11">
        <v>3569.4398147669526</v>
      </c>
      <c r="M813" s="11">
        <f>AVERAGEIF(Table1[product_id],Master_tbl!B813:B1814,Table1[competitor_price])</f>
        <v>5121.3466666666664</v>
      </c>
      <c r="N813" s="11">
        <f>IFERROR(Table5[[#This Row],[final_sale_price]]*Table5[[#This Row],[quantity_sold ]],0)</f>
        <v>21050.410500000002</v>
      </c>
      <c r="O813" s="11">
        <f>(Table5[[#This Row],[final_sale_price]]-Table5[[#This Row],[cost_price]])*Table5[[#This Row],[quantity_sold ]]</f>
        <v>7469.5005000000001</v>
      </c>
      <c r="P813" s="11">
        <f>(Table5[final_sale_price]-Table5[[#This Row],[avg_comp_price]])</f>
        <v>-2114.1451666666662</v>
      </c>
      <c r="Q813" s="15">
        <f>(Table5[[#This Row],[final_sale_price]]-Table5[[#This Row],[avg_comp_price]])/Table5[[#This Row],[avg_comp_price]]</f>
        <v>-0.41281040012913262</v>
      </c>
      <c r="R813" s="11">
        <f>Table5[[#This Row],[Profit]]/Table5[[#This Row],[Revenue]]</f>
        <v>0.35483870967741932</v>
      </c>
    </row>
    <row r="814" spans="1:18" x14ac:dyDescent="0.2">
      <c r="A814" s="4">
        <v>813</v>
      </c>
      <c r="B814" s="4">
        <v>108</v>
      </c>
      <c r="C814" s="6">
        <v>45953</v>
      </c>
      <c r="D814" s="4">
        <v>18</v>
      </c>
      <c r="E814" s="4">
        <v>6</v>
      </c>
      <c r="F814" s="12">
        <f t="shared" si="12"/>
        <v>790.10759999999993</v>
      </c>
      <c r="G814" t="str">
        <f>VLOOKUP(B814,product_tbl[],2,FALSE)</f>
        <v>Lipstick 108</v>
      </c>
      <c r="H814" t="str">
        <f>VLOOKUP(B814,product_tbl[],3,FALSE)</f>
        <v>Beauty</v>
      </c>
      <c r="I814">
        <v>504.32399999999996</v>
      </c>
      <c r="J814">
        <f>VLOOKUP(B814,product_tbl[],5,FALSE)</f>
        <v>840.54</v>
      </c>
      <c r="K814">
        <f>VLOOKUP(B814,review_tbl[],3,FALSE)</f>
        <v>3</v>
      </c>
      <c r="L814" s="11">
        <v>947.55126101967664</v>
      </c>
      <c r="M814" s="11">
        <f>AVERAGEIF(Table1[product_id],Master_tbl!B814:B1815,Table1[competitor_price])</f>
        <v>5163.7120000000004</v>
      </c>
      <c r="N814" s="11">
        <f>IFERROR(Table5[[#This Row],[final_sale_price]]*Table5[[#This Row],[quantity_sold ]],0)</f>
        <v>14221.936799999999</v>
      </c>
      <c r="O814" s="11">
        <f>(Table5[[#This Row],[final_sale_price]]-Table5[[#This Row],[cost_price]])*Table5[[#This Row],[quantity_sold ]]</f>
        <v>5144.1047999999992</v>
      </c>
      <c r="P814" s="11">
        <f>(Table5[final_sale_price]-Table5[[#This Row],[avg_comp_price]])</f>
        <v>-4373.6044000000002</v>
      </c>
      <c r="Q814" s="15">
        <f>(Table5[[#This Row],[final_sale_price]]-Table5[[#This Row],[avg_comp_price]])/Table5[[#This Row],[avg_comp_price]]</f>
        <v>-0.84698844552136132</v>
      </c>
      <c r="R814" s="11">
        <f>Table5[[#This Row],[Profit]]/Table5[[#This Row],[Revenue]]</f>
        <v>0.36170212765957444</v>
      </c>
    </row>
    <row r="815" spans="1:18" x14ac:dyDescent="0.2">
      <c r="A815" s="5">
        <v>814</v>
      </c>
      <c r="B815" s="5">
        <v>64</v>
      </c>
      <c r="C815" s="7">
        <v>45181</v>
      </c>
      <c r="D815" s="5">
        <v>9</v>
      </c>
      <c r="E815" s="4">
        <v>4</v>
      </c>
      <c r="F815" s="12">
        <f t="shared" si="12"/>
        <v>3072</v>
      </c>
      <c r="G815" t="str">
        <f>VLOOKUP(B815,product_tbl[],2,FALSE)</f>
        <v>Children Story Book 64</v>
      </c>
      <c r="H815" t="str">
        <f>VLOOKUP(B815,product_tbl[],3,FALSE)</f>
        <v>Books</v>
      </c>
      <c r="I815">
        <v>1920</v>
      </c>
      <c r="J815">
        <f>VLOOKUP(B815,product_tbl[],5,FALSE)</f>
        <v>3200</v>
      </c>
      <c r="K815">
        <f>VLOOKUP(B815,review_tbl[],3,FALSE)</f>
        <v>2</v>
      </c>
      <c r="L815" s="11">
        <v>3842.9150607527317</v>
      </c>
      <c r="M815" s="11">
        <f>AVERAGEIF(Table1[product_id],Master_tbl!B815:B1816,Table1[competitor_price])</f>
        <v>3782.0099999999998</v>
      </c>
      <c r="N815" s="11">
        <f>IFERROR(Table5[[#This Row],[final_sale_price]]*Table5[[#This Row],[quantity_sold ]],0)</f>
        <v>27648</v>
      </c>
      <c r="O815" s="11">
        <f>(Table5[[#This Row],[final_sale_price]]-Table5[[#This Row],[cost_price]])*Table5[[#This Row],[quantity_sold ]]</f>
        <v>10368</v>
      </c>
      <c r="P815" s="11">
        <f>(Table5[final_sale_price]-Table5[[#This Row],[avg_comp_price]])</f>
        <v>-710.00999999999976</v>
      </c>
      <c r="Q815" s="15">
        <f>(Table5[[#This Row],[final_sale_price]]-Table5[[#This Row],[avg_comp_price]])/Table5[[#This Row],[avg_comp_price]]</f>
        <v>-0.18773350678607403</v>
      </c>
      <c r="R815" s="11">
        <f>Table5[[#This Row],[Profit]]/Table5[[#This Row],[Revenue]]</f>
        <v>0.375</v>
      </c>
    </row>
    <row r="816" spans="1:18" x14ac:dyDescent="0.2">
      <c r="A816" s="4">
        <v>815</v>
      </c>
      <c r="B816" s="4">
        <v>119</v>
      </c>
      <c r="C816" s="6">
        <v>46015</v>
      </c>
      <c r="D816" s="4">
        <v>25</v>
      </c>
      <c r="E816" s="4">
        <v>10</v>
      </c>
      <c r="F816" s="12">
        <f t="shared" si="12"/>
        <v>1747.7190000000001</v>
      </c>
      <c r="G816" t="str">
        <f>VLOOKUP(B816,product_tbl[],2,FALSE)</f>
        <v>Wheat Flour 119</v>
      </c>
      <c r="H816" t="str">
        <f>VLOOKUP(B816,product_tbl[],3,FALSE)</f>
        <v>Grocery</v>
      </c>
      <c r="I816">
        <v>1165.146</v>
      </c>
      <c r="J816">
        <f>VLOOKUP(B816,product_tbl[],5,FALSE)</f>
        <v>1941.91</v>
      </c>
      <c r="K816">
        <f>VLOOKUP(B816,review_tbl[],3,FALSE)</f>
        <v>4</v>
      </c>
      <c r="L816" s="11">
        <v>2307.3864907942998</v>
      </c>
      <c r="M816" s="11">
        <f>AVERAGEIF(Table1[product_id],Master_tbl!B816:B1817,Table1[competitor_price])</f>
        <v>4902.3539999999994</v>
      </c>
      <c r="N816" s="11">
        <f>IFERROR(Table5[[#This Row],[final_sale_price]]*Table5[[#This Row],[quantity_sold ]],0)</f>
        <v>43692.974999999999</v>
      </c>
      <c r="O816" s="11">
        <f>(Table5[[#This Row],[final_sale_price]]-Table5[[#This Row],[cost_price]])*Table5[[#This Row],[quantity_sold ]]</f>
        <v>14564.325000000003</v>
      </c>
      <c r="P816" s="11">
        <f>(Table5[final_sale_price]-Table5[[#This Row],[avg_comp_price]])</f>
        <v>-3154.6349999999993</v>
      </c>
      <c r="Q816" s="15">
        <f>(Table5[[#This Row],[final_sale_price]]-Table5[[#This Row],[avg_comp_price]])/Table5[[#This Row],[avg_comp_price]]</f>
        <v>-0.64349392149159357</v>
      </c>
      <c r="R816" s="11">
        <f>Table5[[#This Row],[Profit]]/Table5[[#This Row],[Revenue]]</f>
        <v>0.33333333333333343</v>
      </c>
    </row>
    <row r="817" spans="1:18" x14ac:dyDescent="0.2">
      <c r="A817" s="5">
        <v>816</v>
      </c>
      <c r="B817" s="5">
        <v>98</v>
      </c>
      <c r="C817" s="7">
        <v>45469</v>
      </c>
      <c r="D817" s="5">
        <v>2</v>
      </c>
      <c r="E817" s="4">
        <v>9</v>
      </c>
      <c r="F817" s="12">
        <f t="shared" si="12"/>
        <v>7104.9888000000001</v>
      </c>
      <c r="G817" t="str">
        <f>VLOOKUP(B817,product_tbl[],2,FALSE)</f>
        <v>Puzzle Set 98</v>
      </c>
      <c r="H817" t="str">
        <f>VLOOKUP(B817,product_tbl[],3,FALSE)</f>
        <v>Toys</v>
      </c>
      <c r="I817">
        <v>4684.6080000000002</v>
      </c>
      <c r="J817">
        <f>VLOOKUP(B817,product_tbl[],5,FALSE)</f>
        <v>7807.68</v>
      </c>
      <c r="K817">
        <f>VLOOKUP(B817,review_tbl[],3,FALSE)</f>
        <v>3</v>
      </c>
      <c r="L817" s="11">
        <v>10076.761531847917</v>
      </c>
      <c r="M817" s="11">
        <f>AVERAGEIF(Table1[product_id],Master_tbl!B817:B1818,Table1[competitor_price])</f>
        <v>6533.69</v>
      </c>
      <c r="N817" s="11">
        <f>IFERROR(Table5[[#This Row],[final_sale_price]]*Table5[[#This Row],[quantity_sold ]],0)</f>
        <v>14209.9776</v>
      </c>
      <c r="O817" s="11">
        <f>(Table5[[#This Row],[final_sale_price]]-Table5[[#This Row],[cost_price]])*Table5[[#This Row],[quantity_sold ]]</f>
        <v>4840.7615999999998</v>
      </c>
      <c r="P817" s="11">
        <f>(Table5[final_sale_price]-Table5[[#This Row],[avg_comp_price]])</f>
        <v>571.29880000000048</v>
      </c>
      <c r="Q817" s="15">
        <f>(Table5[[#This Row],[final_sale_price]]-Table5[[#This Row],[avg_comp_price]])/Table5[[#This Row],[avg_comp_price]]</f>
        <v>8.7438920426282929E-2</v>
      </c>
      <c r="R817" s="11">
        <f>Table5[[#This Row],[Profit]]/Table5[[#This Row],[Revenue]]</f>
        <v>0.34065934065934061</v>
      </c>
    </row>
    <row r="818" spans="1:18" x14ac:dyDescent="0.2">
      <c r="A818" s="4">
        <v>817</v>
      </c>
      <c r="B818" s="4">
        <v>39</v>
      </c>
      <c r="C818" s="6">
        <v>45101</v>
      </c>
      <c r="D818" s="4">
        <v>20</v>
      </c>
      <c r="E818" s="4">
        <v>10</v>
      </c>
      <c r="F818" s="12">
        <f t="shared" si="12"/>
        <v>2886.8220000000001</v>
      </c>
      <c r="G818" t="str">
        <f>VLOOKUP(B818,product_tbl[],2,FALSE)</f>
        <v>Perfume 39</v>
      </c>
      <c r="H818" t="str">
        <f>VLOOKUP(B818,product_tbl[],3,FALSE)</f>
        <v>Beauty</v>
      </c>
      <c r="I818">
        <v>1924.5479999999998</v>
      </c>
      <c r="J818">
        <f>VLOOKUP(B818,product_tbl[],5,FALSE)</f>
        <v>3207.58</v>
      </c>
      <c r="K818">
        <f>VLOOKUP(B818,review_tbl[],3,FALSE)</f>
        <v>1</v>
      </c>
      <c r="L818" s="11">
        <v>4155.4635000149192</v>
      </c>
      <c r="M818" s="11">
        <f>AVERAGEIF(Table1[product_id],Master_tbl!B818:B1819,Table1[competitor_price])</f>
        <v>9555.6079999999984</v>
      </c>
      <c r="N818" s="11">
        <f>IFERROR(Table5[[#This Row],[final_sale_price]]*Table5[[#This Row],[quantity_sold ]],0)</f>
        <v>57736.44</v>
      </c>
      <c r="O818" s="11">
        <f>(Table5[[#This Row],[final_sale_price]]-Table5[[#This Row],[cost_price]])*Table5[[#This Row],[quantity_sold ]]</f>
        <v>19245.480000000007</v>
      </c>
      <c r="P818" s="11">
        <f>(Table5[final_sale_price]-Table5[[#This Row],[avg_comp_price]])</f>
        <v>-6668.7859999999982</v>
      </c>
      <c r="Q818" s="15">
        <f>(Table5[[#This Row],[final_sale_price]]-Table5[[#This Row],[avg_comp_price]])/Table5[[#This Row],[avg_comp_price]]</f>
        <v>-0.69789237900926859</v>
      </c>
      <c r="R818" s="11">
        <f>Table5[[#This Row],[Profit]]/Table5[[#This Row],[Revenue]]</f>
        <v>0.33333333333333343</v>
      </c>
    </row>
    <row r="819" spans="1:18" x14ac:dyDescent="0.2">
      <c r="A819" s="5">
        <v>818</v>
      </c>
      <c r="B819" s="5">
        <v>11</v>
      </c>
      <c r="C819" s="7">
        <v>44987</v>
      </c>
      <c r="D819" s="5">
        <v>43</v>
      </c>
      <c r="E819" s="4">
        <v>6</v>
      </c>
      <c r="F819" s="12">
        <f t="shared" si="12"/>
        <v>3008.1879999999996</v>
      </c>
      <c r="G819" t="str">
        <f>VLOOKUP(B819,product_tbl[],2,FALSE)</f>
        <v>Remote Car 11</v>
      </c>
      <c r="H819" t="str">
        <f>VLOOKUP(B819,product_tbl[],3,FALSE)</f>
        <v>Toys</v>
      </c>
      <c r="I819">
        <v>1920.12</v>
      </c>
      <c r="J819">
        <f>VLOOKUP(B819,product_tbl[],5,FALSE)</f>
        <v>3200.2</v>
      </c>
      <c r="K819">
        <f>VLOOKUP(B819,review_tbl[],3,FALSE)</f>
        <v>1</v>
      </c>
      <c r="L819" s="11">
        <v>3392.1677756799295</v>
      </c>
      <c r="M819" s="11">
        <f>AVERAGEIF(Table1[product_id],Master_tbl!B819:B1820,Table1[competitor_price])</f>
        <v>7089.33</v>
      </c>
      <c r="N819" s="11">
        <f>IFERROR(Table5[[#This Row],[final_sale_price]]*Table5[[#This Row],[quantity_sold ]],0)</f>
        <v>129352.08399999999</v>
      </c>
      <c r="O819" s="11">
        <f>(Table5[[#This Row],[final_sale_price]]-Table5[[#This Row],[cost_price]])*Table5[[#This Row],[quantity_sold ]]</f>
        <v>46786.923999999992</v>
      </c>
      <c r="P819" s="11">
        <f>(Table5[final_sale_price]-Table5[[#This Row],[avg_comp_price]])</f>
        <v>-4081.1420000000003</v>
      </c>
      <c r="Q819" s="15">
        <f>(Table5[[#This Row],[final_sale_price]]-Table5[[#This Row],[avg_comp_price]])/Table5[[#This Row],[avg_comp_price]]</f>
        <v>-0.57567386480809901</v>
      </c>
      <c r="R819" s="11">
        <f>Table5[[#This Row],[Profit]]/Table5[[#This Row],[Revenue]]</f>
        <v>0.36170212765957444</v>
      </c>
    </row>
    <row r="820" spans="1:18" x14ac:dyDescent="0.2">
      <c r="A820" s="4">
        <v>819</v>
      </c>
      <c r="B820" s="4">
        <v>68</v>
      </c>
      <c r="C820" s="6">
        <v>45513</v>
      </c>
      <c r="D820" s="4">
        <v>41</v>
      </c>
      <c r="E820" s="4">
        <v>10</v>
      </c>
      <c r="F820" s="12">
        <f t="shared" si="12"/>
        <v>5439.1409999999996</v>
      </c>
      <c r="G820" t="str">
        <f>VLOOKUP(B820,product_tbl[],2,FALSE)</f>
        <v>Lipstick 68</v>
      </c>
      <c r="H820" t="str">
        <f>VLOOKUP(B820,product_tbl[],3,FALSE)</f>
        <v>Beauty</v>
      </c>
      <c r="I820">
        <v>3626.0939999999996</v>
      </c>
      <c r="J820">
        <f>VLOOKUP(B820,product_tbl[],5,FALSE)</f>
        <v>6043.49</v>
      </c>
      <c r="K820">
        <f>VLOOKUP(B820,review_tbl[],3,FALSE)</f>
        <v>2</v>
      </c>
      <c r="L820" s="11">
        <v>7768.8030779390774</v>
      </c>
      <c r="M820" s="11">
        <f>AVERAGEIF(Table1[product_id],Master_tbl!B820:B1821,Table1[competitor_price])</f>
        <v>796.21333333333325</v>
      </c>
      <c r="N820" s="11">
        <f>IFERROR(Table5[[#This Row],[final_sale_price]]*Table5[[#This Row],[quantity_sold ]],0)</f>
        <v>223004.78099999999</v>
      </c>
      <c r="O820" s="11">
        <f>(Table5[[#This Row],[final_sale_price]]-Table5[[#This Row],[cost_price]])*Table5[[#This Row],[quantity_sold ]]</f>
        <v>74334.926999999996</v>
      </c>
      <c r="P820" s="11">
        <f>(Table5[final_sale_price]-Table5[[#This Row],[avg_comp_price]])</f>
        <v>4642.9276666666665</v>
      </c>
      <c r="Q820" s="15">
        <f>(Table5[[#This Row],[final_sale_price]]-Table5[[#This Row],[avg_comp_price]])/Table5[[#This Row],[avg_comp_price]]</f>
        <v>5.8312608848549807</v>
      </c>
      <c r="R820" s="11">
        <f>Table5[[#This Row],[Profit]]/Table5[[#This Row],[Revenue]]</f>
        <v>0.33333333333333331</v>
      </c>
    </row>
    <row r="821" spans="1:18" x14ac:dyDescent="0.2">
      <c r="A821" s="5">
        <v>820</v>
      </c>
      <c r="B821" s="5">
        <v>15</v>
      </c>
      <c r="C821" s="7">
        <v>45824</v>
      </c>
      <c r="D821" s="5">
        <v>4</v>
      </c>
      <c r="E821" s="4">
        <v>10</v>
      </c>
      <c r="F821" s="12">
        <f t="shared" si="12"/>
        <v>4357.3319999999994</v>
      </c>
      <c r="G821" t="str">
        <f>VLOOKUP(B821,product_tbl[],2,FALSE)</f>
        <v>Tennis Racket 15</v>
      </c>
      <c r="H821" t="str">
        <f>VLOOKUP(B821,product_tbl[],3,FALSE)</f>
        <v>Sports</v>
      </c>
      <c r="I821">
        <v>2904.8879999999995</v>
      </c>
      <c r="J821">
        <f>VLOOKUP(B821,product_tbl[],5,FALSE)</f>
        <v>4841.4799999999996</v>
      </c>
      <c r="K821">
        <f>VLOOKUP(B821,review_tbl[],3,FALSE)</f>
        <v>4</v>
      </c>
      <c r="L821" s="11">
        <v>5689.3363835656537</v>
      </c>
      <c r="M821" s="11">
        <f>AVERAGEIF(Table1[product_id],Master_tbl!B821:B1822,Table1[competitor_price])</f>
        <v>5242.3433333333332</v>
      </c>
      <c r="N821" s="11">
        <f>IFERROR(Table5[[#This Row],[final_sale_price]]*Table5[[#This Row],[quantity_sold ]],0)</f>
        <v>17429.327999999998</v>
      </c>
      <c r="O821" s="11">
        <f>(Table5[[#This Row],[final_sale_price]]-Table5[[#This Row],[cost_price]])*Table5[[#This Row],[quantity_sold ]]</f>
        <v>5809.7759999999998</v>
      </c>
      <c r="P821" s="11">
        <f>(Table5[final_sale_price]-Table5[[#This Row],[avg_comp_price]])</f>
        <v>-885.01133333333382</v>
      </c>
      <c r="Q821" s="15">
        <f>(Table5[[#This Row],[final_sale_price]]-Table5[[#This Row],[avg_comp_price]])/Table5[[#This Row],[avg_comp_price]]</f>
        <v>-0.16881979623616167</v>
      </c>
      <c r="R821" s="11">
        <f>Table5[[#This Row],[Profit]]/Table5[[#This Row],[Revenue]]</f>
        <v>0.33333333333333337</v>
      </c>
    </row>
    <row r="822" spans="1:18" x14ac:dyDescent="0.2">
      <c r="A822" s="4">
        <v>821</v>
      </c>
      <c r="B822" s="4">
        <v>118</v>
      </c>
      <c r="C822" s="6">
        <v>44935</v>
      </c>
      <c r="D822" s="4">
        <v>29</v>
      </c>
      <c r="E822" s="4">
        <v>5</v>
      </c>
      <c r="F822" s="12">
        <f t="shared" si="12"/>
        <v>2991.7874999999999</v>
      </c>
      <c r="G822" t="str">
        <f>VLOOKUP(B822,product_tbl[],2,FALSE)</f>
        <v>Doll 118</v>
      </c>
      <c r="H822" t="str">
        <f>VLOOKUP(B822,product_tbl[],3,FALSE)</f>
        <v>Toys</v>
      </c>
      <c r="I822">
        <v>1889.55</v>
      </c>
      <c r="J822">
        <f>VLOOKUP(B822,product_tbl[],5,FALSE)</f>
        <v>3149.25</v>
      </c>
      <c r="K822">
        <f>VLOOKUP(B822,review_tbl[],3,FALSE)</f>
        <v>5</v>
      </c>
      <c r="L822" s="11">
        <v>3395.4995203823646</v>
      </c>
      <c r="M822" s="11">
        <f>AVERAGEIF(Table1[product_id],Master_tbl!B822:B1823,Table1[competitor_price])</f>
        <v>224.52399999999997</v>
      </c>
      <c r="N822" s="11">
        <f>IFERROR(Table5[[#This Row],[final_sale_price]]*Table5[[#This Row],[quantity_sold ]],0)</f>
        <v>86761.837499999994</v>
      </c>
      <c r="O822" s="11">
        <f>(Table5[[#This Row],[final_sale_price]]-Table5[[#This Row],[cost_price]])*Table5[[#This Row],[quantity_sold ]]</f>
        <v>31964.887499999997</v>
      </c>
      <c r="P822" s="11">
        <f>(Table5[final_sale_price]-Table5[[#This Row],[avg_comp_price]])</f>
        <v>2767.2635</v>
      </c>
      <c r="Q822" s="15">
        <f>(Table5[[#This Row],[final_sale_price]]-Table5[[#This Row],[avg_comp_price]])/Table5[[#This Row],[avg_comp_price]]</f>
        <v>12.325023160107607</v>
      </c>
      <c r="R822" s="11">
        <f>Table5[[#This Row],[Profit]]/Table5[[#This Row],[Revenue]]</f>
        <v>0.36842105263157893</v>
      </c>
    </row>
    <row r="823" spans="1:18" x14ac:dyDescent="0.2">
      <c r="A823" s="5">
        <v>822</v>
      </c>
      <c r="B823" s="5">
        <v>57</v>
      </c>
      <c r="C823" s="7">
        <v>45387</v>
      </c>
      <c r="D823" s="5">
        <v>29</v>
      </c>
      <c r="E823" s="4">
        <v>6</v>
      </c>
      <c r="F823" s="12">
        <f t="shared" si="12"/>
        <v>6403.0450000000001</v>
      </c>
      <c r="G823" t="str">
        <f>VLOOKUP(B823,product_tbl[],2,FALSE)</f>
        <v>Face Wash 57</v>
      </c>
      <c r="H823" t="str">
        <f>VLOOKUP(B823,product_tbl[],3,FALSE)</f>
        <v>Beauty</v>
      </c>
      <c r="I823">
        <v>4087.0499999999997</v>
      </c>
      <c r="J823">
        <f>VLOOKUP(B823,product_tbl[],5,FALSE)</f>
        <v>6811.75</v>
      </c>
      <c r="K823">
        <f>VLOOKUP(B823,review_tbl[],3,FALSE)</f>
        <v>2</v>
      </c>
      <c r="L823" s="11">
        <v>7787.7887814465503</v>
      </c>
      <c r="M823" s="11">
        <f>AVERAGEIF(Table1[product_id],Master_tbl!B823:B1824,Table1[competitor_price])</f>
        <v>1836.9825000000001</v>
      </c>
      <c r="N823" s="11">
        <f>IFERROR(Table5[[#This Row],[final_sale_price]]*Table5[[#This Row],[quantity_sold ]],0)</f>
        <v>185688.30499999999</v>
      </c>
      <c r="O823" s="11">
        <f>(Table5[[#This Row],[final_sale_price]]-Table5[[#This Row],[cost_price]])*Table5[[#This Row],[quantity_sold ]]</f>
        <v>67163.85500000001</v>
      </c>
      <c r="P823" s="11">
        <f>(Table5[final_sale_price]-Table5[[#This Row],[avg_comp_price]])</f>
        <v>4566.0625</v>
      </c>
      <c r="Q823" s="15">
        <f>(Table5[[#This Row],[final_sale_price]]-Table5[[#This Row],[avg_comp_price]])/Table5[[#This Row],[avg_comp_price]]</f>
        <v>2.4856320079260414</v>
      </c>
      <c r="R823" s="11">
        <f>Table5[[#This Row],[Profit]]/Table5[[#This Row],[Revenue]]</f>
        <v>0.36170212765957455</v>
      </c>
    </row>
    <row r="824" spans="1:18" x14ac:dyDescent="0.2">
      <c r="A824" s="4">
        <v>823</v>
      </c>
      <c r="B824" s="4">
        <v>21</v>
      </c>
      <c r="C824" s="6">
        <v>45005</v>
      </c>
      <c r="D824" s="4">
        <v>41</v>
      </c>
      <c r="E824" s="4">
        <v>4</v>
      </c>
      <c r="F824" s="12">
        <f t="shared" si="12"/>
        <v>2764.1280000000002</v>
      </c>
      <c r="G824" t="str">
        <f>VLOOKUP(B824,product_tbl[],2,FALSE)</f>
        <v>Water Purifier 21</v>
      </c>
      <c r="H824" t="str">
        <f>VLOOKUP(B824,product_tbl[],3,FALSE)</f>
        <v>Home Appliances</v>
      </c>
      <c r="I824">
        <v>1727.5800000000002</v>
      </c>
      <c r="J824">
        <f>VLOOKUP(B824,product_tbl[],5,FALSE)</f>
        <v>2879.3</v>
      </c>
      <c r="K824">
        <f>VLOOKUP(B824,review_tbl[],3,FALSE)</f>
        <v>3</v>
      </c>
      <c r="L824" s="11">
        <v>2958.0171573768175</v>
      </c>
      <c r="M824" s="11">
        <f>AVERAGEIF(Table1[product_id],Master_tbl!B824:B1825,Table1[competitor_price])</f>
        <v>4150.0079999999998</v>
      </c>
      <c r="N824" s="11">
        <f>IFERROR(Table5[[#This Row],[final_sale_price]]*Table5[[#This Row],[quantity_sold ]],0)</f>
        <v>113329.24800000001</v>
      </c>
      <c r="O824" s="11">
        <f>(Table5[[#This Row],[final_sale_price]]-Table5[[#This Row],[cost_price]])*Table5[[#This Row],[quantity_sold ]]</f>
        <v>42498.468000000001</v>
      </c>
      <c r="P824" s="11">
        <f>(Table5[final_sale_price]-Table5[[#This Row],[avg_comp_price]])</f>
        <v>-1385.8799999999997</v>
      </c>
      <c r="Q824" s="15">
        <f>(Table5[[#This Row],[final_sale_price]]-Table5[[#This Row],[avg_comp_price]])/Table5[[#This Row],[avg_comp_price]]</f>
        <v>-0.33394634419981833</v>
      </c>
      <c r="R824" s="11">
        <f>Table5[[#This Row],[Profit]]/Table5[[#This Row],[Revenue]]</f>
        <v>0.375</v>
      </c>
    </row>
    <row r="825" spans="1:18" x14ac:dyDescent="0.2">
      <c r="A825" s="5">
        <v>824</v>
      </c>
      <c r="B825" s="5">
        <v>55</v>
      </c>
      <c r="C825" s="7">
        <v>45141</v>
      </c>
      <c r="D825" s="5">
        <v>14</v>
      </c>
      <c r="E825" s="4">
        <v>7</v>
      </c>
      <c r="F825" s="12">
        <f t="shared" si="12"/>
        <v>896.78969999999993</v>
      </c>
      <c r="G825" t="str">
        <f>VLOOKUP(B825,product_tbl[],2,FALSE)</f>
        <v>Face Wash 55</v>
      </c>
      <c r="H825" t="str">
        <f>VLOOKUP(B825,product_tbl[],3,FALSE)</f>
        <v>Beauty</v>
      </c>
      <c r="I825">
        <v>578.57399999999996</v>
      </c>
      <c r="J825">
        <f>VLOOKUP(B825,product_tbl[],5,FALSE)</f>
        <v>964.29</v>
      </c>
      <c r="K825">
        <f>VLOOKUP(B825,review_tbl[],3,FALSE)</f>
        <v>2</v>
      </c>
      <c r="L825" s="11">
        <v>1017.5798552486999</v>
      </c>
      <c r="M825" s="11">
        <f>AVERAGEIF(Table1[product_id],Master_tbl!B825:B1826,Table1[competitor_price])</f>
        <v>1508.7675000000002</v>
      </c>
      <c r="N825" s="11">
        <f>IFERROR(Table5[[#This Row],[final_sale_price]]*Table5[[#This Row],[quantity_sold ]],0)</f>
        <v>12555.055799999998</v>
      </c>
      <c r="O825" s="11">
        <f>(Table5[[#This Row],[final_sale_price]]-Table5[[#This Row],[cost_price]])*Table5[[#This Row],[quantity_sold ]]</f>
        <v>4455.0198</v>
      </c>
      <c r="P825" s="11">
        <f>(Table5[final_sale_price]-Table5[[#This Row],[avg_comp_price]])</f>
        <v>-611.97780000000023</v>
      </c>
      <c r="Q825" s="15">
        <f>(Table5[[#This Row],[final_sale_price]]-Table5[[#This Row],[avg_comp_price]])/Table5[[#This Row],[avg_comp_price]]</f>
        <v>-0.40561438392595289</v>
      </c>
      <c r="R825" s="11">
        <f>Table5[[#This Row],[Profit]]/Table5[[#This Row],[Revenue]]</f>
        <v>0.35483870967741943</v>
      </c>
    </row>
    <row r="826" spans="1:18" x14ac:dyDescent="0.2">
      <c r="A826" s="4">
        <v>825</v>
      </c>
      <c r="B826" s="4">
        <v>72</v>
      </c>
      <c r="C826" s="6">
        <v>45980</v>
      </c>
      <c r="D826" s="4">
        <v>12</v>
      </c>
      <c r="E826" s="4">
        <v>8</v>
      </c>
      <c r="F826" s="12">
        <f t="shared" si="12"/>
        <v>5337.2879999999996</v>
      </c>
      <c r="G826" t="str">
        <f>VLOOKUP(B826,product_tbl[],2,FALSE)</f>
        <v>Smartwatch 72</v>
      </c>
      <c r="H826" t="str">
        <f>VLOOKUP(B826,product_tbl[],3,FALSE)</f>
        <v>Electronics</v>
      </c>
      <c r="I826">
        <v>3480.8399999999997</v>
      </c>
      <c r="J826">
        <f>VLOOKUP(B826,product_tbl[],5,FALSE)</f>
        <v>5801.4</v>
      </c>
      <c r="K826">
        <f>VLOOKUP(B826,review_tbl[],3,FALSE)</f>
        <v>3</v>
      </c>
      <c r="L826" s="11">
        <v>6673.4479341046444</v>
      </c>
      <c r="M826" s="11">
        <f>AVERAGEIF(Table1[product_id],Master_tbl!B826:B1827,Table1[competitor_price])</f>
        <v>5210.5919999999996</v>
      </c>
      <c r="N826" s="11">
        <f>IFERROR(Table5[[#This Row],[final_sale_price]]*Table5[[#This Row],[quantity_sold ]],0)</f>
        <v>64047.455999999991</v>
      </c>
      <c r="O826" s="11">
        <f>(Table5[[#This Row],[final_sale_price]]-Table5[[#This Row],[cost_price]])*Table5[[#This Row],[quantity_sold ]]</f>
        <v>22277.375999999997</v>
      </c>
      <c r="P826" s="11">
        <f>(Table5[final_sale_price]-Table5[[#This Row],[avg_comp_price]])</f>
        <v>126.69599999999991</v>
      </c>
      <c r="Q826" s="15">
        <f>(Table5[[#This Row],[final_sale_price]]-Table5[[#This Row],[avg_comp_price]])/Table5[[#This Row],[avg_comp_price]]</f>
        <v>2.4315087421928241E-2</v>
      </c>
      <c r="R826" s="11">
        <f>Table5[[#This Row],[Profit]]/Table5[[#This Row],[Revenue]]</f>
        <v>0.34782608695652173</v>
      </c>
    </row>
    <row r="827" spans="1:18" x14ac:dyDescent="0.2">
      <c r="A827" s="5">
        <v>826</v>
      </c>
      <c r="B827" s="5">
        <v>99</v>
      </c>
      <c r="C827" s="7">
        <v>45555</v>
      </c>
      <c r="D827" s="5">
        <v>1</v>
      </c>
      <c r="E827" s="4">
        <v>10</v>
      </c>
      <c r="F827" s="12">
        <f t="shared" si="12"/>
        <v>1839.5820000000001</v>
      </c>
      <c r="G827" t="str">
        <f>VLOOKUP(B827,product_tbl[],2,FALSE)</f>
        <v>Sneakers 99</v>
      </c>
      <c r="H827" t="str">
        <f>VLOOKUP(B827,product_tbl[],3,FALSE)</f>
        <v>Fashion</v>
      </c>
      <c r="I827">
        <v>1226.3879999999999</v>
      </c>
      <c r="J827">
        <f>VLOOKUP(B827,product_tbl[],5,FALSE)</f>
        <v>2043.98</v>
      </c>
      <c r="K827">
        <f>VLOOKUP(B827,review_tbl[],3,FALSE)</f>
        <v>2</v>
      </c>
      <c r="L827" s="11">
        <v>2382.1849087687524</v>
      </c>
      <c r="M827" s="11">
        <f>AVERAGEIF(Table1[product_id],Master_tbl!B827:B1828,Table1[competitor_price])</f>
        <v>958.76666666666654</v>
      </c>
      <c r="N827" s="11">
        <f>IFERROR(Table5[[#This Row],[final_sale_price]]*Table5[[#This Row],[quantity_sold ]],0)</f>
        <v>1839.5820000000001</v>
      </c>
      <c r="O827" s="11">
        <f>(Table5[[#This Row],[final_sale_price]]-Table5[[#This Row],[cost_price]])*Table5[[#This Row],[quantity_sold ]]</f>
        <v>613.19400000000019</v>
      </c>
      <c r="P827" s="11">
        <f>(Table5[final_sale_price]-Table5[[#This Row],[avg_comp_price]])</f>
        <v>880.81533333333357</v>
      </c>
      <c r="Q827" s="15">
        <f>(Table5[[#This Row],[final_sale_price]]-Table5[[#This Row],[avg_comp_price]])/Table5[[#This Row],[avg_comp_price]]</f>
        <v>0.91869624169940589</v>
      </c>
      <c r="R827" s="11">
        <f>Table5[[#This Row],[Profit]]/Table5[[#This Row],[Revenue]]</f>
        <v>0.33333333333333343</v>
      </c>
    </row>
    <row r="828" spans="1:18" x14ac:dyDescent="0.2">
      <c r="A828" s="4">
        <v>827</v>
      </c>
      <c r="B828" s="4">
        <v>130</v>
      </c>
      <c r="C828" s="6">
        <v>45028</v>
      </c>
      <c r="D828" s="4">
        <v>10</v>
      </c>
      <c r="E828" s="4">
        <v>3</v>
      </c>
      <c r="F828" s="12">
        <f t="shared" si="12"/>
        <v>3089.9252999999999</v>
      </c>
      <c r="G828" t="str">
        <f>VLOOKUP(B828,product_tbl[],2,FALSE)</f>
        <v>Gym Gloves 130</v>
      </c>
      <c r="H828" t="str">
        <f>VLOOKUP(B828,product_tbl[],3,FALSE)</f>
        <v>Sports</v>
      </c>
      <c r="I828">
        <v>1911.2939999999999</v>
      </c>
      <c r="J828">
        <f>VLOOKUP(B828,product_tbl[],5,FALSE)</f>
        <v>3185.49</v>
      </c>
      <c r="K828">
        <f>VLOOKUP(B828,review_tbl[],3,FALSE)</f>
        <v>5</v>
      </c>
      <c r="L828" s="11">
        <v>4067.3095757264323</v>
      </c>
      <c r="M828" s="11">
        <f>AVERAGEIF(Table1[product_id],Master_tbl!B828:B1829,Table1[competitor_price])</f>
        <v>3865.1374999999998</v>
      </c>
      <c r="N828" s="11">
        <f>IFERROR(Table5[[#This Row],[final_sale_price]]*Table5[[#This Row],[quantity_sold ]],0)</f>
        <v>30899.252999999997</v>
      </c>
      <c r="O828" s="11">
        <f>(Table5[[#This Row],[final_sale_price]]-Table5[[#This Row],[cost_price]])*Table5[[#This Row],[quantity_sold ]]</f>
        <v>11786.313</v>
      </c>
      <c r="P828" s="11">
        <f>(Table5[final_sale_price]-Table5[[#This Row],[avg_comp_price]])</f>
        <v>-775.21219999999994</v>
      </c>
      <c r="Q828" s="15">
        <f>(Table5[[#This Row],[final_sale_price]]-Table5[[#This Row],[avg_comp_price]])/Table5[[#This Row],[avg_comp_price]]</f>
        <v>-0.20056523215538904</v>
      </c>
      <c r="R828" s="11">
        <f>Table5[[#This Row],[Profit]]/Table5[[#This Row],[Revenue]]</f>
        <v>0.3814432989690722</v>
      </c>
    </row>
    <row r="829" spans="1:18" x14ac:dyDescent="0.2">
      <c r="A829" s="5">
        <v>828</v>
      </c>
      <c r="B829" s="5">
        <v>123</v>
      </c>
      <c r="C829" s="7">
        <v>45594</v>
      </c>
      <c r="D829" s="5">
        <v>47</v>
      </c>
      <c r="E829" s="4">
        <v>2</v>
      </c>
      <c r="F829" s="12">
        <f t="shared" si="12"/>
        <v>4535.0675999999994</v>
      </c>
      <c r="G829" t="str">
        <f>VLOOKUP(B829,product_tbl[],2,FALSE)</f>
        <v>Sunglasses 123</v>
      </c>
      <c r="H829" t="str">
        <f>VLOOKUP(B829,product_tbl[],3,FALSE)</f>
        <v>Fashion</v>
      </c>
      <c r="I829">
        <v>2776.5719999999997</v>
      </c>
      <c r="J829">
        <f>VLOOKUP(B829,product_tbl[],5,FALSE)</f>
        <v>4627.62</v>
      </c>
      <c r="K829">
        <f>VLOOKUP(B829,review_tbl[],3,FALSE)</f>
        <v>2</v>
      </c>
      <c r="L829" s="11">
        <v>5930.4642175248955</v>
      </c>
      <c r="M829" s="11">
        <f>AVERAGEIF(Table1[product_id],Master_tbl!B829:B1830,Table1[competitor_price])</f>
        <v>809.94800000000009</v>
      </c>
      <c r="N829" s="11">
        <f>IFERROR(Table5[[#This Row],[final_sale_price]]*Table5[[#This Row],[quantity_sold ]],0)</f>
        <v>213148.17719999998</v>
      </c>
      <c r="O829" s="11">
        <f>(Table5[[#This Row],[final_sale_price]]-Table5[[#This Row],[cost_price]])*Table5[[#This Row],[quantity_sold ]]</f>
        <v>82649.293199999986</v>
      </c>
      <c r="P829" s="11">
        <f>(Table5[final_sale_price]-Table5[[#This Row],[avg_comp_price]])</f>
        <v>3725.1195999999991</v>
      </c>
      <c r="Q829" s="15">
        <f>(Table5[[#This Row],[final_sale_price]]-Table5[[#This Row],[avg_comp_price]])/Table5[[#This Row],[avg_comp_price]]</f>
        <v>4.5992083442393819</v>
      </c>
      <c r="R829" s="11">
        <f>Table5[[#This Row],[Profit]]/Table5[[#This Row],[Revenue]]</f>
        <v>0.38775510204081631</v>
      </c>
    </row>
    <row r="830" spans="1:18" x14ac:dyDescent="0.2">
      <c r="A830" s="4">
        <v>829</v>
      </c>
      <c r="B830" s="4">
        <v>139</v>
      </c>
      <c r="C830" s="6">
        <v>45392</v>
      </c>
      <c r="D830" s="4">
        <v>50</v>
      </c>
      <c r="E830" s="4">
        <v>6</v>
      </c>
      <c r="F830" s="12">
        <f t="shared" si="12"/>
        <v>2435.6151999999997</v>
      </c>
      <c r="G830" t="str">
        <f>VLOOKUP(B830,product_tbl[],2,FALSE)</f>
        <v>Jacket 139</v>
      </c>
      <c r="H830" t="str">
        <f>VLOOKUP(B830,product_tbl[],3,FALSE)</f>
        <v>Fashion</v>
      </c>
      <c r="I830">
        <v>1554.6479999999999</v>
      </c>
      <c r="J830">
        <f>VLOOKUP(B830,product_tbl[],5,FALSE)</f>
        <v>2591.08</v>
      </c>
      <c r="K830">
        <f>VLOOKUP(B830,review_tbl[],3,FALSE)</f>
        <v>5</v>
      </c>
      <c r="L830" s="11">
        <v>3319.556459428054</v>
      </c>
      <c r="M830" s="11">
        <f>AVERAGEIF(Table1[product_id],Master_tbl!B830:B1831,Table1[competitor_price])</f>
        <v>2839.1733333333336</v>
      </c>
      <c r="N830" s="11">
        <f>IFERROR(Table5[[#This Row],[final_sale_price]]*Table5[[#This Row],[quantity_sold ]],0)</f>
        <v>121780.75999999998</v>
      </c>
      <c r="O830" s="11">
        <f>(Table5[[#This Row],[final_sale_price]]-Table5[[#This Row],[cost_price]])*Table5[[#This Row],[quantity_sold ]]</f>
        <v>44048.359999999993</v>
      </c>
      <c r="P830" s="11">
        <f>(Table5[final_sale_price]-Table5[[#This Row],[avg_comp_price]])</f>
        <v>-403.5581333333339</v>
      </c>
      <c r="Q830" s="15">
        <f>(Table5[[#This Row],[final_sale_price]]-Table5[[#This Row],[avg_comp_price]])/Table5[[#This Row],[avg_comp_price]]</f>
        <v>-0.14213930815542572</v>
      </c>
      <c r="R830" s="11">
        <f>Table5[[#This Row],[Profit]]/Table5[[#This Row],[Revenue]]</f>
        <v>0.36170212765957449</v>
      </c>
    </row>
    <row r="831" spans="1:18" x14ac:dyDescent="0.2">
      <c r="A831" s="5">
        <v>830</v>
      </c>
      <c r="B831" s="5">
        <v>93</v>
      </c>
      <c r="C831" s="7">
        <v>45770</v>
      </c>
      <c r="D831" s="5">
        <v>49</v>
      </c>
      <c r="E831" s="4">
        <v>10</v>
      </c>
      <c r="F831" s="12">
        <f t="shared" si="12"/>
        <v>6896.3130000000001</v>
      </c>
      <c r="G831" t="str">
        <f>VLOOKUP(B831,product_tbl[],2,FALSE)</f>
        <v>Cookbook 93</v>
      </c>
      <c r="H831" t="str">
        <f>VLOOKUP(B831,product_tbl[],3,FALSE)</f>
        <v>Books</v>
      </c>
      <c r="I831">
        <v>4597.5419999999995</v>
      </c>
      <c r="J831">
        <f>VLOOKUP(B831,product_tbl[],5,FALSE)</f>
        <v>7662.57</v>
      </c>
      <c r="K831">
        <f>VLOOKUP(B831,review_tbl[],3,FALSE)</f>
        <v>3</v>
      </c>
      <c r="L831" s="11">
        <v>8149.8518418829726</v>
      </c>
      <c r="M831" s="11">
        <f>AVERAGEIF(Table1[product_id],Master_tbl!B831:B1832,Table1[competitor_price])</f>
        <v>991.00333333333344</v>
      </c>
      <c r="N831" s="11">
        <f>IFERROR(Table5[[#This Row],[final_sale_price]]*Table5[[#This Row],[quantity_sold ]],0)</f>
        <v>337919.337</v>
      </c>
      <c r="O831" s="11">
        <f>(Table5[[#This Row],[final_sale_price]]-Table5[[#This Row],[cost_price]])*Table5[[#This Row],[quantity_sold ]]</f>
        <v>112639.77900000004</v>
      </c>
      <c r="P831" s="11">
        <f>(Table5[final_sale_price]-Table5[[#This Row],[avg_comp_price]])</f>
        <v>5905.309666666667</v>
      </c>
      <c r="Q831" s="15">
        <f>(Table5[[#This Row],[final_sale_price]]-Table5[[#This Row],[avg_comp_price]])/Table5[[#This Row],[avg_comp_price]]</f>
        <v>5.9589200843589492</v>
      </c>
      <c r="R831" s="11">
        <f>Table5[[#This Row],[Profit]]/Table5[[#This Row],[Revenue]]</f>
        <v>0.33333333333333343</v>
      </c>
    </row>
    <row r="832" spans="1:18" x14ac:dyDescent="0.2">
      <c r="A832" s="4">
        <v>831</v>
      </c>
      <c r="B832" s="4">
        <v>81</v>
      </c>
      <c r="C832" s="6">
        <v>45712</v>
      </c>
      <c r="D832" s="4">
        <v>14</v>
      </c>
      <c r="E832" s="4">
        <v>7</v>
      </c>
      <c r="F832" s="12">
        <f t="shared" si="12"/>
        <v>7219.9712999999992</v>
      </c>
      <c r="G832" t="str">
        <f>VLOOKUP(B832,product_tbl[],2,FALSE)</f>
        <v>Water Purifier 81</v>
      </c>
      <c r="H832" t="str">
        <f>VLOOKUP(B832,product_tbl[],3,FALSE)</f>
        <v>Home Appliances</v>
      </c>
      <c r="I832">
        <v>4658.0459999999994</v>
      </c>
      <c r="J832">
        <f>VLOOKUP(B832,product_tbl[],5,FALSE)</f>
        <v>7763.41</v>
      </c>
      <c r="K832">
        <f>VLOOKUP(B832,review_tbl[],3,FALSE)</f>
        <v>2</v>
      </c>
      <c r="L832" s="11">
        <v>8259.1948333495184</v>
      </c>
      <c r="M832" s="11">
        <f>AVERAGEIF(Table1[product_id],Master_tbl!B832:B1833,Table1[competitor_price])</f>
        <v>290.31399999999996</v>
      </c>
      <c r="N832" s="11">
        <f>IFERROR(Table5[[#This Row],[final_sale_price]]*Table5[[#This Row],[quantity_sold ]],0)</f>
        <v>101079.59819999999</v>
      </c>
      <c r="O832" s="11">
        <f>(Table5[[#This Row],[final_sale_price]]-Table5[[#This Row],[cost_price]])*Table5[[#This Row],[quantity_sold ]]</f>
        <v>35866.9542</v>
      </c>
      <c r="P832" s="11">
        <f>(Table5[final_sale_price]-Table5[[#This Row],[avg_comp_price]])</f>
        <v>6929.6572999999989</v>
      </c>
      <c r="Q832" s="15">
        <f>(Table5[[#This Row],[final_sale_price]]-Table5[[#This Row],[avg_comp_price]])/Table5[[#This Row],[avg_comp_price]]</f>
        <v>23.86952506596306</v>
      </c>
      <c r="R832" s="11">
        <f>Table5[[#This Row],[Profit]]/Table5[[#This Row],[Revenue]]</f>
        <v>0.35483870967741937</v>
      </c>
    </row>
    <row r="833" spans="1:18" x14ac:dyDescent="0.2">
      <c r="A833" s="5">
        <v>832</v>
      </c>
      <c r="B833" s="5">
        <v>76</v>
      </c>
      <c r="C833" s="7">
        <v>45413</v>
      </c>
      <c r="D833" s="5">
        <v>6</v>
      </c>
      <c r="E833" s="4">
        <v>8</v>
      </c>
      <c r="F833" s="12">
        <f t="shared" si="12"/>
        <v>2820.3244000000004</v>
      </c>
      <c r="G833" t="str">
        <f>VLOOKUP(B833,product_tbl[],2,FALSE)</f>
        <v>Laptop 76</v>
      </c>
      <c r="H833" t="str">
        <f>VLOOKUP(B833,product_tbl[],3,FALSE)</f>
        <v>Electronics</v>
      </c>
      <c r="I833">
        <v>1839.3420000000001</v>
      </c>
      <c r="J833">
        <f>VLOOKUP(B833,product_tbl[],5,FALSE)</f>
        <v>3065.57</v>
      </c>
      <c r="K833">
        <f>VLOOKUP(B833,review_tbl[],3,FALSE)</f>
        <v>1</v>
      </c>
      <c r="L833" s="11">
        <v>3410.0319163287254</v>
      </c>
      <c r="M833" s="11">
        <f>AVERAGEIF(Table1[product_id],Master_tbl!B833:B1834,Table1[competitor_price])</f>
        <v>831.92600000000004</v>
      </c>
      <c r="N833" s="11">
        <f>IFERROR(Table5[[#This Row],[final_sale_price]]*Table5[[#This Row],[quantity_sold ]],0)</f>
        <v>16921.946400000001</v>
      </c>
      <c r="O833" s="11">
        <f>(Table5[[#This Row],[final_sale_price]]-Table5[[#This Row],[cost_price]])*Table5[[#This Row],[quantity_sold ]]</f>
        <v>5885.894400000002</v>
      </c>
      <c r="P833" s="11">
        <f>(Table5[final_sale_price]-Table5[[#This Row],[avg_comp_price]])</f>
        <v>1988.3984000000005</v>
      </c>
      <c r="Q833" s="15">
        <f>(Table5[[#This Row],[final_sale_price]]-Table5[[#This Row],[avg_comp_price]])/Table5[[#This Row],[avg_comp_price]]</f>
        <v>2.3901145053766806</v>
      </c>
      <c r="R833" s="11">
        <f>Table5[[#This Row],[Profit]]/Table5[[#This Row],[Revenue]]</f>
        <v>0.34782608695652184</v>
      </c>
    </row>
    <row r="834" spans="1:18" x14ac:dyDescent="0.2">
      <c r="A834" s="4">
        <v>833</v>
      </c>
      <c r="B834" s="4">
        <v>81</v>
      </c>
      <c r="C834" s="6">
        <v>45581</v>
      </c>
      <c r="D834" s="4">
        <v>2</v>
      </c>
      <c r="E834" s="4">
        <v>10</v>
      </c>
      <c r="F834" s="12">
        <f t="shared" ref="F834:F897" si="13">J834*(1-E834/100)</f>
        <v>6987.0690000000004</v>
      </c>
      <c r="G834" t="str">
        <f>VLOOKUP(B834,product_tbl[],2,FALSE)</f>
        <v>Water Purifier 81</v>
      </c>
      <c r="H834" t="str">
        <f>VLOOKUP(B834,product_tbl[],3,FALSE)</f>
        <v>Home Appliances</v>
      </c>
      <c r="I834">
        <v>4658.0459999999994</v>
      </c>
      <c r="J834">
        <f>VLOOKUP(B834,product_tbl[],5,FALSE)</f>
        <v>7763.41</v>
      </c>
      <c r="K834">
        <f>VLOOKUP(B834,review_tbl[],3,FALSE)</f>
        <v>2</v>
      </c>
      <c r="L834" s="11">
        <v>9395.923843241686</v>
      </c>
      <c r="M834" s="11">
        <f>AVERAGEIF(Table1[product_id],Master_tbl!B834:B1835,Table1[competitor_price])</f>
        <v>290.31399999999996</v>
      </c>
      <c r="N834" s="11">
        <f>IFERROR(Table5[[#This Row],[final_sale_price]]*Table5[[#This Row],[quantity_sold ]],0)</f>
        <v>13974.138000000001</v>
      </c>
      <c r="O834" s="11">
        <f>(Table5[[#This Row],[final_sale_price]]-Table5[[#This Row],[cost_price]])*Table5[[#This Row],[quantity_sold ]]</f>
        <v>4658.0460000000021</v>
      </c>
      <c r="P834" s="11">
        <f>(Table5[final_sale_price]-Table5[[#This Row],[avg_comp_price]])</f>
        <v>6696.7550000000001</v>
      </c>
      <c r="Q834" s="15">
        <f>(Table5[[#This Row],[final_sale_price]]-Table5[[#This Row],[avg_comp_price]])/Table5[[#This Row],[avg_comp_price]]</f>
        <v>23.067282321899739</v>
      </c>
      <c r="R834" s="11">
        <f>Table5[[#This Row],[Profit]]/Table5[[#This Row],[Revenue]]</f>
        <v>0.33333333333333348</v>
      </c>
    </row>
    <row r="835" spans="1:18" x14ac:dyDescent="0.2">
      <c r="A835" s="5">
        <v>834</v>
      </c>
      <c r="B835" s="5">
        <v>50</v>
      </c>
      <c r="C835" s="7">
        <v>45043</v>
      </c>
      <c r="D835" s="5">
        <v>9</v>
      </c>
      <c r="E835" s="4">
        <v>8</v>
      </c>
      <c r="F835" s="12">
        <f t="shared" si="13"/>
        <v>1248.164</v>
      </c>
      <c r="G835" t="str">
        <f>VLOOKUP(B835,product_tbl[],2,FALSE)</f>
        <v>Doll 50</v>
      </c>
      <c r="H835" t="str">
        <f>VLOOKUP(B835,product_tbl[],3,FALSE)</f>
        <v>Toys</v>
      </c>
      <c r="I835">
        <v>814.02</v>
      </c>
      <c r="J835">
        <f>VLOOKUP(B835,product_tbl[],5,FALSE)</f>
        <v>1356.7</v>
      </c>
      <c r="K835">
        <f>VLOOKUP(B835,review_tbl[],3,FALSE)</f>
        <v>3</v>
      </c>
      <c r="L835" s="11">
        <v>1499.8477699752641</v>
      </c>
      <c r="M835" s="11">
        <f>AVERAGEIF(Table1[product_id],Master_tbl!B835:B1836,Table1[competitor_price])</f>
        <v>4909.6483333333335</v>
      </c>
      <c r="N835" s="11">
        <f>IFERROR(Table5[[#This Row],[final_sale_price]]*Table5[[#This Row],[quantity_sold ]],0)</f>
        <v>11233.476000000001</v>
      </c>
      <c r="O835" s="11">
        <f>(Table5[[#This Row],[final_sale_price]]-Table5[[#This Row],[cost_price]])*Table5[[#This Row],[quantity_sold ]]</f>
        <v>3907.2960000000003</v>
      </c>
      <c r="P835" s="11">
        <f>(Table5[final_sale_price]-Table5[[#This Row],[avg_comp_price]])</f>
        <v>-3661.4843333333338</v>
      </c>
      <c r="Q835" s="15">
        <f>(Table5[[#This Row],[final_sale_price]]-Table5[[#This Row],[avg_comp_price]])/Table5[[#This Row],[avg_comp_price]]</f>
        <v>-0.74577323766230375</v>
      </c>
      <c r="R835" s="11">
        <f>Table5[[#This Row],[Profit]]/Table5[[#This Row],[Revenue]]</f>
        <v>0.34782608695652173</v>
      </c>
    </row>
    <row r="836" spans="1:18" x14ac:dyDescent="0.2">
      <c r="A836" s="4">
        <v>835</v>
      </c>
      <c r="B836" s="4">
        <v>144</v>
      </c>
      <c r="C836" s="6">
        <v>45656</v>
      </c>
      <c r="D836" s="4">
        <v>7</v>
      </c>
      <c r="E836" s="4">
        <v>5</v>
      </c>
      <c r="F836" s="12">
        <f t="shared" si="13"/>
        <v>1499.309</v>
      </c>
      <c r="G836" t="str">
        <f>VLOOKUP(B836,product_tbl[],2,FALSE)</f>
        <v>Air Conditioner 144</v>
      </c>
      <c r="H836" t="str">
        <f>VLOOKUP(B836,product_tbl[],3,FALSE)</f>
        <v>Home Appliances</v>
      </c>
      <c r="I836">
        <v>946.93200000000002</v>
      </c>
      <c r="J836">
        <f>VLOOKUP(B836,product_tbl[],5,FALSE)</f>
        <v>1578.22</v>
      </c>
      <c r="K836">
        <f>VLOOKUP(B836,review_tbl[],3,FALSE)</f>
        <v>2</v>
      </c>
      <c r="L836" s="11">
        <v>1846.3237096446958</v>
      </c>
      <c r="M836" s="11">
        <f>AVERAGEIF(Table1[product_id],Master_tbl!B836:B1837,Table1[competitor_price])</f>
        <v>6414.0239999999994</v>
      </c>
      <c r="N836" s="11">
        <f>IFERROR(Table5[[#This Row],[final_sale_price]]*Table5[[#This Row],[quantity_sold ]],0)</f>
        <v>10495.163</v>
      </c>
      <c r="O836" s="11">
        <f>(Table5[[#This Row],[final_sale_price]]-Table5[[#This Row],[cost_price]])*Table5[[#This Row],[quantity_sold ]]</f>
        <v>3866.6389999999997</v>
      </c>
      <c r="P836" s="11">
        <f>(Table5[final_sale_price]-Table5[[#This Row],[avg_comp_price]])</f>
        <v>-4914.7149999999992</v>
      </c>
      <c r="Q836" s="15">
        <f>(Table5[[#This Row],[final_sale_price]]-Table5[[#This Row],[avg_comp_price]])/Table5[[#This Row],[avg_comp_price]]</f>
        <v>-0.76624518399058061</v>
      </c>
      <c r="R836" s="11">
        <f>Table5[[#This Row],[Profit]]/Table5[[#This Row],[Revenue]]</f>
        <v>0.36842105263157893</v>
      </c>
    </row>
    <row r="837" spans="1:18" x14ac:dyDescent="0.2">
      <c r="A837" s="5">
        <v>836</v>
      </c>
      <c r="B837" s="5">
        <v>88</v>
      </c>
      <c r="C837" s="7">
        <v>45163</v>
      </c>
      <c r="D837" s="5">
        <v>14</v>
      </c>
      <c r="E837" s="4">
        <v>2</v>
      </c>
      <c r="F837" s="12">
        <f t="shared" si="13"/>
        <v>6111.6034</v>
      </c>
      <c r="G837" t="str">
        <f>VLOOKUP(B837,product_tbl[],2,FALSE)</f>
        <v>Tablet 88</v>
      </c>
      <c r="H837" t="str">
        <f>VLOOKUP(B837,product_tbl[],3,FALSE)</f>
        <v>Electronics</v>
      </c>
      <c r="I837">
        <v>3741.7979999999998</v>
      </c>
      <c r="J837">
        <f>VLOOKUP(B837,product_tbl[],5,FALSE)</f>
        <v>6236.33</v>
      </c>
      <c r="K837">
        <f>VLOOKUP(B837,review_tbl[],3,FALSE)</f>
        <v>5</v>
      </c>
      <c r="L837" s="11">
        <v>6722.9805629828179</v>
      </c>
      <c r="M837" s="11">
        <f>AVERAGEIF(Table1[product_id],Master_tbl!B837:B1838,Table1[competitor_price])</f>
        <v>4981.5050000000001</v>
      </c>
      <c r="N837" s="11">
        <f>IFERROR(Table5[[#This Row],[final_sale_price]]*Table5[[#This Row],[quantity_sold ]],0)</f>
        <v>85562.4476</v>
      </c>
      <c r="O837" s="11">
        <f>(Table5[[#This Row],[final_sale_price]]-Table5[[#This Row],[cost_price]])*Table5[[#This Row],[quantity_sold ]]</f>
        <v>33177.275600000001</v>
      </c>
      <c r="P837" s="11">
        <f>(Table5[final_sale_price]-Table5[[#This Row],[avg_comp_price]])</f>
        <v>1130.0983999999999</v>
      </c>
      <c r="Q837" s="15">
        <f>(Table5[[#This Row],[final_sale_price]]-Table5[[#This Row],[avg_comp_price]])/Table5[[#This Row],[avg_comp_price]]</f>
        <v>0.22685883081518535</v>
      </c>
      <c r="R837" s="11">
        <f>Table5[[#This Row],[Profit]]/Table5[[#This Row],[Revenue]]</f>
        <v>0.38775510204081631</v>
      </c>
    </row>
    <row r="838" spans="1:18" x14ac:dyDescent="0.2">
      <c r="A838" s="4">
        <v>837</v>
      </c>
      <c r="B838" s="4">
        <v>70</v>
      </c>
      <c r="C838" s="6">
        <v>45253</v>
      </c>
      <c r="D838" s="4">
        <v>21</v>
      </c>
      <c r="E838" s="4">
        <v>9</v>
      </c>
      <c r="F838" s="12">
        <f t="shared" si="13"/>
        <v>3667.0725000000002</v>
      </c>
      <c r="G838" t="str">
        <f>VLOOKUP(B838,product_tbl[],2,FALSE)</f>
        <v>Green Tea 70</v>
      </c>
      <c r="H838" t="str">
        <f>VLOOKUP(B838,product_tbl[],3,FALSE)</f>
        <v>Grocery</v>
      </c>
      <c r="I838">
        <v>2417.85</v>
      </c>
      <c r="J838">
        <f>VLOOKUP(B838,product_tbl[],5,FALSE)</f>
        <v>4029.75</v>
      </c>
      <c r="K838">
        <f>VLOOKUP(B838,review_tbl[],3,FALSE)</f>
        <v>1</v>
      </c>
      <c r="L838" s="11">
        <v>4629.537688387386</v>
      </c>
      <c r="M838" s="11">
        <f>AVERAGEIF(Table1[product_id],Master_tbl!B838:B1839,Table1[competitor_price])</f>
        <v>2158.7083333333335</v>
      </c>
      <c r="N838" s="11">
        <f>IFERROR(Table5[[#This Row],[final_sale_price]]*Table5[[#This Row],[quantity_sold ]],0)</f>
        <v>77008.522500000006</v>
      </c>
      <c r="O838" s="11">
        <f>(Table5[[#This Row],[final_sale_price]]-Table5[[#This Row],[cost_price]])*Table5[[#This Row],[quantity_sold ]]</f>
        <v>26233.672500000008</v>
      </c>
      <c r="P838" s="11">
        <f>(Table5[final_sale_price]-Table5[[#This Row],[avg_comp_price]])</f>
        <v>1508.3641666666667</v>
      </c>
      <c r="Q838" s="15">
        <f>(Table5[[#This Row],[final_sale_price]]-Table5[[#This Row],[avg_comp_price]])/Table5[[#This Row],[avg_comp_price]]</f>
        <v>0.69873458279449518</v>
      </c>
      <c r="R838" s="11">
        <f>Table5[[#This Row],[Profit]]/Table5[[#This Row],[Revenue]]</f>
        <v>0.34065934065934073</v>
      </c>
    </row>
    <row r="839" spans="1:18" x14ac:dyDescent="0.2">
      <c r="A839" s="5">
        <v>838</v>
      </c>
      <c r="B839" s="5">
        <v>123</v>
      </c>
      <c r="C839" s="7">
        <v>45128</v>
      </c>
      <c r="D839" s="5">
        <v>17</v>
      </c>
      <c r="E839" s="4">
        <v>10</v>
      </c>
      <c r="F839" s="12">
        <f t="shared" si="13"/>
        <v>4164.8580000000002</v>
      </c>
      <c r="G839" t="str">
        <f>VLOOKUP(B839,product_tbl[],2,FALSE)</f>
        <v>Sunglasses 123</v>
      </c>
      <c r="H839" t="str">
        <f>VLOOKUP(B839,product_tbl[],3,FALSE)</f>
        <v>Fashion</v>
      </c>
      <c r="I839">
        <v>2776.5719999999997</v>
      </c>
      <c r="J839">
        <f>VLOOKUP(B839,product_tbl[],5,FALSE)</f>
        <v>4627.62</v>
      </c>
      <c r="K839">
        <f>VLOOKUP(B839,review_tbl[],3,FALSE)</f>
        <v>2</v>
      </c>
      <c r="L839" s="11">
        <v>4644.4073968798994</v>
      </c>
      <c r="M839" s="11">
        <f>AVERAGEIF(Table1[product_id],Master_tbl!B839:B1840,Table1[competitor_price])</f>
        <v>809.94800000000009</v>
      </c>
      <c r="N839" s="11">
        <f>IFERROR(Table5[[#This Row],[final_sale_price]]*Table5[[#This Row],[quantity_sold ]],0)</f>
        <v>70802.58600000001</v>
      </c>
      <c r="O839" s="11">
        <f>(Table5[[#This Row],[final_sale_price]]-Table5[[#This Row],[cost_price]])*Table5[[#This Row],[quantity_sold ]]</f>
        <v>23600.862000000008</v>
      </c>
      <c r="P839" s="11">
        <f>(Table5[final_sale_price]-Table5[[#This Row],[avg_comp_price]])</f>
        <v>3354.91</v>
      </c>
      <c r="Q839" s="15">
        <f>(Table5[[#This Row],[final_sale_price]]-Table5[[#This Row],[avg_comp_price]])/Table5[[#This Row],[avg_comp_price]]</f>
        <v>4.1421301120565754</v>
      </c>
      <c r="R839" s="11">
        <f>Table5[[#This Row],[Profit]]/Table5[[#This Row],[Revenue]]</f>
        <v>0.33333333333333343</v>
      </c>
    </row>
    <row r="840" spans="1:18" x14ac:dyDescent="0.2">
      <c r="A840" s="4">
        <v>839</v>
      </c>
      <c r="B840" s="4">
        <v>115</v>
      </c>
      <c r="C840" s="6">
        <v>45968</v>
      </c>
      <c r="D840" s="4">
        <v>19</v>
      </c>
      <c r="E840" s="4">
        <v>6</v>
      </c>
      <c r="F840" s="12">
        <f t="shared" si="13"/>
        <v>4409.8031999999994</v>
      </c>
      <c r="G840" t="str">
        <f>VLOOKUP(B840,product_tbl[],2,FALSE)</f>
        <v>Children Story Book 115</v>
      </c>
      <c r="H840" t="str">
        <f>VLOOKUP(B840,product_tbl[],3,FALSE)</f>
        <v>Books</v>
      </c>
      <c r="I840">
        <v>2814.7679999999996</v>
      </c>
      <c r="J840">
        <f>VLOOKUP(B840,product_tbl[],5,FALSE)</f>
        <v>4691.28</v>
      </c>
      <c r="K840">
        <f>VLOOKUP(B840,review_tbl[],3,FALSE)</f>
        <v>2</v>
      </c>
      <c r="L840" s="11">
        <v>5323.579875416759</v>
      </c>
      <c r="M840" s="11">
        <f>AVERAGEIF(Table1[product_id],Master_tbl!B840:B1841,Table1[competitor_price])</f>
        <v>4456.5325000000003</v>
      </c>
      <c r="N840" s="11">
        <f>IFERROR(Table5[[#This Row],[final_sale_price]]*Table5[[#This Row],[quantity_sold ]],0)</f>
        <v>83786.260799999989</v>
      </c>
      <c r="O840" s="11">
        <f>(Table5[[#This Row],[final_sale_price]]-Table5[[#This Row],[cost_price]])*Table5[[#This Row],[quantity_sold ]]</f>
        <v>30305.668799999996</v>
      </c>
      <c r="P840" s="11">
        <f>(Table5[final_sale_price]-Table5[[#This Row],[avg_comp_price]])</f>
        <v>-46.729300000000876</v>
      </c>
      <c r="Q840" s="15">
        <f>(Table5[[#This Row],[final_sale_price]]-Table5[[#This Row],[avg_comp_price]])/Table5[[#This Row],[avg_comp_price]]</f>
        <v>-1.0485573705566126E-2</v>
      </c>
      <c r="R840" s="11">
        <f>Table5[[#This Row],[Profit]]/Table5[[#This Row],[Revenue]]</f>
        <v>0.36170212765957449</v>
      </c>
    </row>
    <row r="841" spans="1:18" x14ac:dyDescent="0.2">
      <c r="A841" s="5">
        <v>840</v>
      </c>
      <c r="B841" s="5">
        <v>104</v>
      </c>
      <c r="C841" s="7">
        <v>45852</v>
      </c>
      <c r="D841" s="5">
        <v>37</v>
      </c>
      <c r="E841" s="4">
        <v>4</v>
      </c>
      <c r="F841" s="12">
        <f t="shared" si="13"/>
        <v>3104.2080000000001</v>
      </c>
      <c r="G841" t="str">
        <f>VLOOKUP(B841,product_tbl[],2,FALSE)</f>
        <v>Children Story Book 104</v>
      </c>
      <c r="H841" t="str">
        <f>VLOOKUP(B841,product_tbl[],3,FALSE)</f>
        <v>Books</v>
      </c>
      <c r="I841">
        <v>1940.13</v>
      </c>
      <c r="J841">
        <f>VLOOKUP(B841,product_tbl[],5,FALSE)</f>
        <v>3233.55</v>
      </c>
      <c r="K841">
        <f>VLOOKUP(B841,review_tbl[],3,FALSE)</f>
        <v>1</v>
      </c>
      <c r="L841" s="11">
        <v>4086.2798305563051</v>
      </c>
      <c r="M841" s="11">
        <f>AVERAGEIF(Table1[product_id],Master_tbl!B841:B1842,Table1[competitor_price])</f>
        <v>5121.3466666666664</v>
      </c>
      <c r="N841" s="11">
        <f>IFERROR(Table5[[#This Row],[final_sale_price]]*Table5[[#This Row],[quantity_sold ]],0)</f>
        <v>114855.696</v>
      </c>
      <c r="O841" s="11">
        <f>(Table5[[#This Row],[final_sale_price]]-Table5[[#This Row],[cost_price]])*Table5[[#This Row],[quantity_sold ]]</f>
        <v>43070.885999999999</v>
      </c>
      <c r="P841" s="11">
        <f>(Table5[final_sale_price]-Table5[[#This Row],[avg_comp_price]])</f>
        <v>-2017.1386666666663</v>
      </c>
      <c r="Q841" s="15">
        <f>(Table5[[#This Row],[final_sale_price]]-Table5[[#This Row],[avg_comp_price]])/Table5[[#This Row],[avg_comp_price]]</f>
        <v>-0.39386880013329822</v>
      </c>
      <c r="R841" s="11">
        <f>Table5[[#This Row],[Profit]]/Table5[[#This Row],[Revenue]]</f>
        <v>0.375</v>
      </c>
    </row>
    <row r="842" spans="1:18" x14ac:dyDescent="0.2">
      <c r="A842" s="4">
        <v>841</v>
      </c>
      <c r="B842" s="4">
        <v>125</v>
      </c>
      <c r="C842" s="6">
        <v>45367</v>
      </c>
      <c r="D842" s="4">
        <v>7</v>
      </c>
      <c r="E842" s="4">
        <v>8</v>
      </c>
      <c r="F842" s="12">
        <f t="shared" si="13"/>
        <v>4002.9843999999998</v>
      </c>
      <c r="G842" t="str">
        <f>VLOOKUP(B842,product_tbl[],2,FALSE)</f>
        <v>Air Conditioner 125</v>
      </c>
      <c r="H842" t="str">
        <f>VLOOKUP(B842,product_tbl[],3,FALSE)</f>
        <v>Home Appliances</v>
      </c>
      <c r="I842">
        <v>2610.6419999999998</v>
      </c>
      <c r="J842">
        <f>VLOOKUP(B842,product_tbl[],5,FALSE)</f>
        <v>4351.07</v>
      </c>
      <c r="K842">
        <f>VLOOKUP(B842,review_tbl[],3,FALSE)</f>
        <v>5</v>
      </c>
      <c r="L842" s="11">
        <v>4483.3989907846453</v>
      </c>
      <c r="M842" s="11">
        <f>AVERAGEIF(Table1[product_id],Master_tbl!B842:B1843,Table1[competitor_price])</f>
        <v>5094.8040000000001</v>
      </c>
      <c r="N842" s="11">
        <f>IFERROR(Table5[[#This Row],[final_sale_price]]*Table5[[#This Row],[quantity_sold ]],0)</f>
        <v>28020.890799999997</v>
      </c>
      <c r="O842" s="11">
        <f>(Table5[[#This Row],[final_sale_price]]-Table5[[#This Row],[cost_price]])*Table5[[#This Row],[quantity_sold ]]</f>
        <v>9746.3968000000004</v>
      </c>
      <c r="P842" s="11">
        <f>(Table5[final_sale_price]-Table5[[#This Row],[avg_comp_price]])</f>
        <v>-1091.8196000000003</v>
      </c>
      <c r="Q842" s="15">
        <f>(Table5[[#This Row],[final_sale_price]]-Table5[[#This Row],[avg_comp_price]])/Table5[[#This Row],[avg_comp_price]]</f>
        <v>-0.21430060901263331</v>
      </c>
      <c r="R842" s="11">
        <f>Table5[[#This Row],[Profit]]/Table5[[#This Row],[Revenue]]</f>
        <v>0.34782608695652178</v>
      </c>
    </row>
    <row r="843" spans="1:18" x14ac:dyDescent="0.2">
      <c r="A843" s="5">
        <v>842</v>
      </c>
      <c r="B843" s="5">
        <v>71</v>
      </c>
      <c r="C843" s="7">
        <v>45862</v>
      </c>
      <c r="D843" s="5">
        <v>45</v>
      </c>
      <c r="E843" s="4">
        <v>10</v>
      </c>
      <c r="F843" s="12">
        <f t="shared" si="13"/>
        <v>4438.134</v>
      </c>
      <c r="G843" t="str">
        <f>VLOOKUP(B843,product_tbl[],2,FALSE)</f>
        <v>Self Help Book 71</v>
      </c>
      <c r="H843" t="str">
        <f>VLOOKUP(B843,product_tbl[],3,FALSE)</f>
        <v>Books</v>
      </c>
      <c r="I843">
        <v>2958.7559999999999</v>
      </c>
      <c r="J843">
        <f>VLOOKUP(B843,product_tbl[],5,FALSE)</f>
        <v>4931.26</v>
      </c>
      <c r="K843">
        <f>VLOOKUP(B843,review_tbl[],3,FALSE)</f>
        <v>3</v>
      </c>
      <c r="L843" s="11">
        <v>5209.6951339143197</v>
      </c>
      <c r="M843" s="11">
        <f>AVERAGEIF(Table1[product_id],Master_tbl!B843:B1844,Table1[competitor_price])</f>
        <v>2482.0633333333335</v>
      </c>
      <c r="N843" s="11">
        <f>IFERROR(Table5[[#This Row],[final_sale_price]]*Table5[[#This Row],[quantity_sold ]],0)</f>
        <v>199716.03</v>
      </c>
      <c r="O843" s="11">
        <f>(Table5[[#This Row],[final_sale_price]]-Table5[[#This Row],[cost_price]])*Table5[[#This Row],[quantity_sold ]]</f>
        <v>66572.010000000009</v>
      </c>
      <c r="P843" s="11">
        <f>(Table5[final_sale_price]-Table5[[#This Row],[avg_comp_price]])</f>
        <v>1956.0706666666665</v>
      </c>
      <c r="Q843" s="15">
        <f>(Table5[[#This Row],[final_sale_price]]-Table5[[#This Row],[avg_comp_price]])/Table5[[#This Row],[avg_comp_price]]</f>
        <v>0.78808249588044343</v>
      </c>
      <c r="R843" s="11">
        <f>Table5[[#This Row],[Profit]]/Table5[[#This Row],[Revenue]]</f>
        <v>0.33333333333333337</v>
      </c>
    </row>
    <row r="844" spans="1:18" x14ac:dyDescent="0.2">
      <c r="A844" s="4">
        <v>843</v>
      </c>
      <c r="B844" s="4">
        <v>16</v>
      </c>
      <c r="C844" s="6">
        <v>45006</v>
      </c>
      <c r="D844" s="4">
        <v>7</v>
      </c>
      <c r="E844" s="4">
        <v>5</v>
      </c>
      <c r="F844" s="12">
        <f t="shared" si="13"/>
        <v>6414.21</v>
      </c>
      <c r="G844" t="str">
        <f>VLOOKUP(B844,product_tbl[],2,FALSE)</f>
        <v>Cookbook 16</v>
      </c>
      <c r="H844" t="str">
        <f>VLOOKUP(B844,product_tbl[],3,FALSE)</f>
        <v>Books</v>
      </c>
      <c r="I844">
        <v>4051.08</v>
      </c>
      <c r="J844">
        <f>VLOOKUP(B844,product_tbl[],5,FALSE)</f>
        <v>6751.8</v>
      </c>
      <c r="K844">
        <f>VLOOKUP(B844,review_tbl[],3,FALSE)</f>
        <v>4</v>
      </c>
      <c r="L844" s="11">
        <v>7931.0789657128662</v>
      </c>
      <c r="M844" s="11">
        <f>AVERAGEIF(Table1[product_id],Master_tbl!B844:B1845,Table1[competitor_price])</f>
        <v>6827.7939999999999</v>
      </c>
      <c r="N844" s="11">
        <f>IFERROR(Table5[[#This Row],[final_sale_price]]*Table5[[#This Row],[quantity_sold ]],0)</f>
        <v>44899.47</v>
      </c>
      <c r="O844" s="11">
        <f>(Table5[[#This Row],[final_sale_price]]-Table5[[#This Row],[cost_price]])*Table5[[#This Row],[quantity_sold ]]</f>
        <v>16541.91</v>
      </c>
      <c r="P844" s="11">
        <f>(Table5[final_sale_price]-Table5[[#This Row],[avg_comp_price]])</f>
        <v>-413.58399999999983</v>
      </c>
      <c r="Q844" s="15">
        <f>(Table5[[#This Row],[final_sale_price]]-Table5[[#This Row],[avg_comp_price]])/Table5[[#This Row],[avg_comp_price]]</f>
        <v>-6.0573590825968068E-2</v>
      </c>
      <c r="R844" s="11">
        <f>Table5[[#This Row],[Profit]]/Table5[[#This Row],[Revenue]]</f>
        <v>0.36842105263157893</v>
      </c>
    </row>
    <row r="845" spans="1:18" x14ac:dyDescent="0.2">
      <c r="A845" s="5">
        <v>844</v>
      </c>
      <c r="B845" s="5">
        <v>2</v>
      </c>
      <c r="C845" s="7">
        <v>45661</v>
      </c>
      <c r="D845" s="5">
        <v>12</v>
      </c>
      <c r="E845" s="4">
        <v>8</v>
      </c>
      <c r="F845" s="12">
        <f t="shared" si="13"/>
        <v>4070.7975999999999</v>
      </c>
      <c r="G845" t="str">
        <f>VLOOKUP(B845,product_tbl[],2,FALSE)</f>
        <v>Air Conditioner 2</v>
      </c>
      <c r="H845" t="str">
        <f>VLOOKUP(B845,product_tbl[],3,FALSE)</f>
        <v>Home Appliances</v>
      </c>
      <c r="I845">
        <v>2654.8679999999999</v>
      </c>
      <c r="J845">
        <f>VLOOKUP(B845,product_tbl[],5,FALSE)</f>
        <v>4424.78</v>
      </c>
      <c r="K845">
        <f>VLOOKUP(B845,review_tbl[],3,FALSE)</f>
        <v>4</v>
      </c>
      <c r="L845" s="11">
        <v>4800.6235717820346</v>
      </c>
      <c r="M845" s="11">
        <f>AVERAGEIF(Table1[product_id],Master_tbl!B845:B1846,Table1[competitor_price])</f>
        <v>1807.3</v>
      </c>
      <c r="N845" s="11">
        <f>IFERROR(Table5[[#This Row],[final_sale_price]]*Table5[[#This Row],[quantity_sold ]],0)</f>
        <v>48849.571199999998</v>
      </c>
      <c r="O845" s="11">
        <f>(Table5[[#This Row],[final_sale_price]]-Table5[[#This Row],[cost_price]])*Table5[[#This Row],[quantity_sold ]]</f>
        <v>16991.155200000001</v>
      </c>
      <c r="P845" s="11">
        <f>(Table5[final_sale_price]-Table5[[#This Row],[avg_comp_price]])</f>
        <v>2263.4975999999997</v>
      </c>
      <c r="Q845" s="15">
        <f>(Table5[[#This Row],[final_sale_price]]-Table5[[#This Row],[avg_comp_price]])/Table5[[#This Row],[avg_comp_price]]</f>
        <v>1.2524194101698665</v>
      </c>
      <c r="R845" s="11">
        <f>Table5[[#This Row],[Profit]]/Table5[[#This Row],[Revenue]]</f>
        <v>0.34782608695652178</v>
      </c>
    </row>
    <row r="846" spans="1:18" x14ac:dyDescent="0.2">
      <c r="A846" s="4">
        <v>845</v>
      </c>
      <c r="B846" s="4">
        <v>25</v>
      </c>
      <c r="C846" s="6">
        <v>45816</v>
      </c>
      <c r="D846" s="4">
        <v>35</v>
      </c>
      <c r="E846" s="4">
        <v>7</v>
      </c>
      <c r="F846" s="12">
        <f t="shared" si="13"/>
        <v>528.39809999999989</v>
      </c>
      <c r="G846" t="str">
        <f>VLOOKUP(B846,product_tbl[],2,FALSE)</f>
        <v>Tennis Racket 25</v>
      </c>
      <c r="H846" t="str">
        <f>VLOOKUP(B846,product_tbl[],3,FALSE)</f>
        <v>Sports</v>
      </c>
      <c r="I846">
        <v>340.90199999999999</v>
      </c>
      <c r="J846">
        <f>VLOOKUP(B846,product_tbl[],5,FALSE)</f>
        <v>568.16999999999996</v>
      </c>
      <c r="K846">
        <f>VLOOKUP(B846,review_tbl[],3,FALSE)</f>
        <v>1</v>
      </c>
      <c r="L846" s="11">
        <v>674.47937401808315</v>
      </c>
      <c r="M846" s="11">
        <f>AVERAGEIF(Table1[product_id],Master_tbl!B846:B1847,Table1[competitor_price])</f>
        <v>2024.2300000000002</v>
      </c>
      <c r="N846" s="11">
        <f>IFERROR(Table5[[#This Row],[final_sale_price]]*Table5[[#This Row],[quantity_sold ]],0)</f>
        <v>18493.933499999996</v>
      </c>
      <c r="O846" s="11">
        <f>(Table5[[#This Row],[final_sale_price]]-Table5[[#This Row],[cost_price]])*Table5[[#This Row],[quantity_sold ]]</f>
        <v>6562.3634999999967</v>
      </c>
      <c r="P846" s="11">
        <f>(Table5[final_sale_price]-Table5[[#This Row],[avg_comp_price]])</f>
        <v>-1495.8319000000004</v>
      </c>
      <c r="Q846" s="15">
        <f>(Table5[[#This Row],[final_sale_price]]-Table5[[#This Row],[avg_comp_price]])/Table5[[#This Row],[avg_comp_price]]</f>
        <v>-0.7389634083083445</v>
      </c>
      <c r="R846" s="11">
        <f>Table5[[#This Row],[Profit]]/Table5[[#This Row],[Revenue]]</f>
        <v>0.35483870967741926</v>
      </c>
    </row>
    <row r="847" spans="1:18" x14ac:dyDescent="0.2">
      <c r="A847" s="5">
        <v>846</v>
      </c>
      <c r="B847" s="5">
        <v>69</v>
      </c>
      <c r="C847" s="7">
        <v>45288</v>
      </c>
      <c r="D847" s="5">
        <v>23</v>
      </c>
      <c r="E847" s="4">
        <v>10</v>
      </c>
      <c r="F847" s="12">
        <f t="shared" si="13"/>
        <v>6712.83</v>
      </c>
      <c r="G847" t="str">
        <f>VLOOKUP(B847,product_tbl[],2,FALSE)</f>
        <v>Doll 69</v>
      </c>
      <c r="H847" t="str">
        <f>VLOOKUP(B847,product_tbl[],3,FALSE)</f>
        <v>Toys</v>
      </c>
      <c r="I847">
        <v>4475.2199999999993</v>
      </c>
      <c r="J847">
        <f>VLOOKUP(B847,product_tbl[],5,FALSE)</f>
        <v>7458.7</v>
      </c>
      <c r="K847">
        <f>VLOOKUP(B847,review_tbl[],3,FALSE)</f>
        <v>3</v>
      </c>
      <c r="L847" s="11">
        <v>8882.1655495303548</v>
      </c>
      <c r="M847" s="11">
        <f>AVERAGEIF(Table1[product_id],Master_tbl!B847:B1848,Table1[competitor_price])</f>
        <v>809.57599999999991</v>
      </c>
      <c r="N847" s="11">
        <f>IFERROR(Table5[[#This Row],[final_sale_price]]*Table5[[#This Row],[quantity_sold ]],0)</f>
        <v>154395.09</v>
      </c>
      <c r="O847" s="11">
        <f>(Table5[[#This Row],[final_sale_price]]-Table5[[#This Row],[cost_price]])*Table5[[#This Row],[quantity_sold ]]</f>
        <v>51465.030000000013</v>
      </c>
      <c r="P847" s="11">
        <f>(Table5[final_sale_price]-Table5[[#This Row],[avg_comp_price]])</f>
        <v>5903.2539999999999</v>
      </c>
      <c r="Q847" s="15">
        <f>(Table5[[#This Row],[final_sale_price]]-Table5[[#This Row],[avg_comp_price]])/Table5[[#This Row],[avg_comp_price]]</f>
        <v>7.2917848355188406</v>
      </c>
      <c r="R847" s="11">
        <f>Table5[[#This Row],[Profit]]/Table5[[#This Row],[Revenue]]</f>
        <v>0.33333333333333343</v>
      </c>
    </row>
    <row r="848" spans="1:18" x14ac:dyDescent="0.2">
      <c r="A848" s="4">
        <v>847</v>
      </c>
      <c r="B848" s="4">
        <v>114</v>
      </c>
      <c r="C848" s="6">
        <v>45287</v>
      </c>
      <c r="D848" s="4">
        <v>11</v>
      </c>
      <c r="E848" s="4">
        <v>6</v>
      </c>
      <c r="F848" s="12">
        <f t="shared" si="13"/>
        <v>7185.7453999999998</v>
      </c>
      <c r="G848" t="str">
        <f>VLOOKUP(B848,product_tbl[],2,FALSE)</f>
        <v>Smartwatch 114</v>
      </c>
      <c r="H848" t="str">
        <f>VLOOKUP(B848,product_tbl[],3,FALSE)</f>
        <v>Electronics</v>
      </c>
      <c r="I848">
        <v>4586.6459999999997</v>
      </c>
      <c r="J848">
        <f>VLOOKUP(B848,product_tbl[],5,FALSE)</f>
        <v>7644.41</v>
      </c>
      <c r="K848">
        <f>VLOOKUP(B848,review_tbl[],3,FALSE)</f>
        <v>2</v>
      </c>
      <c r="L848" s="11">
        <v>9742.7634451592021</v>
      </c>
      <c r="M848" s="11">
        <f>AVERAGEIF(Table1[product_id],Master_tbl!B848:B1849,Table1[competitor_price])</f>
        <v>6494.3074999999999</v>
      </c>
      <c r="N848" s="11">
        <f>IFERROR(Table5[[#This Row],[final_sale_price]]*Table5[[#This Row],[quantity_sold ]],0)</f>
        <v>79043.199399999998</v>
      </c>
      <c r="O848" s="11">
        <f>(Table5[[#This Row],[final_sale_price]]-Table5[[#This Row],[cost_price]])*Table5[[#This Row],[quantity_sold ]]</f>
        <v>28590.093400000002</v>
      </c>
      <c r="P848" s="11">
        <f>(Table5[final_sale_price]-Table5[[#This Row],[avg_comp_price]])</f>
        <v>691.4378999999999</v>
      </c>
      <c r="Q848" s="15">
        <f>(Table5[[#This Row],[final_sale_price]]-Table5[[#This Row],[avg_comp_price]])/Table5[[#This Row],[avg_comp_price]]</f>
        <v>0.10646830320245845</v>
      </c>
      <c r="R848" s="11">
        <f>Table5[[#This Row],[Profit]]/Table5[[#This Row],[Revenue]]</f>
        <v>0.36170212765957449</v>
      </c>
    </row>
    <row r="849" spans="1:18" x14ac:dyDescent="0.2">
      <c r="A849" s="5">
        <v>848</v>
      </c>
      <c r="B849" s="5">
        <v>35</v>
      </c>
      <c r="C849" s="7">
        <v>46004</v>
      </c>
      <c r="D849" s="5">
        <v>48</v>
      </c>
      <c r="E849" s="4">
        <v>7</v>
      </c>
      <c r="F849" s="12">
        <f t="shared" si="13"/>
        <v>125.72669999999999</v>
      </c>
      <c r="G849" t="str">
        <f>VLOOKUP(B849,product_tbl[],2,FALSE)</f>
        <v>Sneakers 35</v>
      </c>
      <c r="H849" t="str">
        <f>VLOOKUP(B849,product_tbl[],3,FALSE)</f>
        <v>Fashion</v>
      </c>
      <c r="I849">
        <v>81.11399999999999</v>
      </c>
      <c r="J849">
        <f>VLOOKUP(B849,product_tbl[],5,FALSE)</f>
        <v>135.19</v>
      </c>
      <c r="K849">
        <f>VLOOKUP(B849,review_tbl[],3,FALSE)</f>
        <v>3</v>
      </c>
      <c r="L849" s="11">
        <v>139.93554717682912</v>
      </c>
      <c r="M849" s="11">
        <f>AVERAGEIF(Table1[product_id],Master_tbl!B849:B1850,Table1[competitor_price])</f>
        <v>2089.5899999999997</v>
      </c>
      <c r="N849" s="11">
        <f>IFERROR(Table5[[#This Row],[final_sale_price]]*Table5[[#This Row],[quantity_sold ]],0)</f>
        <v>6034.8815999999997</v>
      </c>
      <c r="O849" s="11">
        <f>(Table5[[#This Row],[final_sale_price]]-Table5[[#This Row],[cost_price]])*Table5[[#This Row],[quantity_sold ]]</f>
        <v>2141.4096</v>
      </c>
      <c r="P849" s="11">
        <f>(Table5[final_sale_price]-Table5[[#This Row],[avg_comp_price]])</f>
        <v>-1963.8632999999998</v>
      </c>
      <c r="Q849" s="15">
        <f>(Table5[[#This Row],[final_sale_price]]-Table5[[#This Row],[avg_comp_price]])/Table5[[#This Row],[avg_comp_price]]</f>
        <v>-0.93983188089529524</v>
      </c>
      <c r="R849" s="11">
        <f>Table5[[#This Row],[Profit]]/Table5[[#This Row],[Revenue]]</f>
        <v>0.35483870967741937</v>
      </c>
    </row>
    <row r="850" spans="1:18" x14ac:dyDescent="0.2">
      <c r="A850" s="4">
        <v>849</v>
      </c>
      <c r="B850" s="4">
        <v>20</v>
      </c>
      <c r="C850" s="6">
        <v>45765</v>
      </c>
      <c r="D850" s="4">
        <v>18</v>
      </c>
      <c r="E850" s="4">
        <v>10</v>
      </c>
      <c r="F850" s="12">
        <f t="shared" si="13"/>
        <v>2728.0619999999999</v>
      </c>
      <c r="G850" t="str">
        <f>VLOOKUP(B850,product_tbl[],2,FALSE)</f>
        <v>Green Tea 20</v>
      </c>
      <c r="H850" t="str">
        <f>VLOOKUP(B850,product_tbl[],3,FALSE)</f>
        <v>Grocery</v>
      </c>
      <c r="I850">
        <v>1818.7079999999999</v>
      </c>
      <c r="J850">
        <f>VLOOKUP(B850,product_tbl[],5,FALSE)</f>
        <v>3031.18</v>
      </c>
      <c r="K850">
        <f>VLOOKUP(B850,review_tbl[],3,FALSE)</f>
        <v>4</v>
      </c>
      <c r="L850" s="11">
        <v>3628.8913767032109</v>
      </c>
      <c r="M850" s="11">
        <f>AVERAGEIF(Table1[product_id],Master_tbl!B850:B1851,Table1[competitor_price])</f>
        <v>4553.9966666666669</v>
      </c>
      <c r="N850" s="11">
        <f>IFERROR(Table5[[#This Row],[final_sale_price]]*Table5[[#This Row],[quantity_sold ]],0)</f>
        <v>49105.115999999995</v>
      </c>
      <c r="O850" s="11">
        <f>(Table5[[#This Row],[final_sale_price]]-Table5[[#This Row],[cost_price]])*Table5[[#This Row],[quantity_sold ]]</f>
        <v>16368.372000000001</v>
      </c>
      <c r="P850" s="11">
        <f>(Table5[final_sale_price]-Table5[[#This Row],[avg_comp_price]])</f>
        <v>-1825.934666666667</v>
      </c>
      <c r="Q850" s="15">
        <f>(Table5[[#This Row],[final_sale_price]]-Table5[[#This Row],[avg_comp_price]])/Table5[[#This Row],[avg_comp_price]]</f>
        <v>-0.40095213069252728</v>
      </c>
      <c r="R850" s="11">
        <f>Table5[[#This Row],[Profit]]/Table5[[#This Row],[Revenue]]</f>
        <v>0.33333333333333337</v>
      </c>
    </row>
    <row r="851" spans="1:18" x14ac:dyDescent="0.2">
      <c r="A851" s="5">
        <v>850</v>
      </c>
      <c r="B851" s="5">
        <v>91</v>
      </c>
      <c r="C851" s="7">
        <v>45705</v>
      </c>
      <c r="D851" s="5">
        <v>6</v>
      </c>
      <c r="E851" s="4">
        <v>10</v>
      </c>
      <c r="F851" s="12">
        <f t="shared" si="13"/>
        <v>2846.7000000000003</v>
      </c>
      <c r="G851" t="str">
        <f>VLOOKUP(B851,product_tbl[],2,FALSE)</f>
        <v>Sunglasses 91</v>
      </c>
      <c r="H851" t="str">
        <f>VLOOKUP(B851,product_tbl[],3,FALSE)</f>
        <v>Fashion</v>
      </c>
      <c r="I851">
        <v>1897.8</v>
      </c>
      <c r="J851">
        <f>VLOOKUP(B851,product_tbl[],5,FALSE)</f>
        <v>3163</v>
      </c>
      <c r="K851">
        <f>VLOOKUP(B851,review_tbl[],3,FALSE)</f>
        <v>2</v>
      </c>
      <c r="L851" s="11">
        <v>4016.7678914762892</v>
      </c>
      <c r="M851" s="11">
        <f>AVERAGEIF(Table1[product_id],Master_tbl!B851:B1852,Table1[competitor_price])</f>
        <v>4782.2433333333329</v>
      </c>
      <c r="N851" s="11">
        <f>IFERROR(Table5[[#This Row],[final_sale_price]]*Table5[[#This Row],[quantity_sold ]],0)</f>
        <v>17080.2</v>
      </c>
      <c r="O851" s="11">
        <f>(Table5[[#This Row],[final_sale_price]]-Table5[[#This Row],[cost_price]])*Table5[[#This Row],[quantity_sold ]]</f>
        <v>5693.4000000000015</v>
      </c>
      <c r="P851" s="11">
        <f>(Table5[final_sale_price]-Table5[[#This Row],[avg_comp_price]])</f>
        <v>-1935.5433333333326</v>
      </c>
      <c r="Q851" s="15">
        <f>(Table5[[#This Row],[final_sale_price]]-Table5[[#This Row],[avg_comp_price]])/Table5[[#This Row],[avg_comp_price]]</f>
        <v>-0.40473543448576771</v>
      </c>
      <c r="R851" s="11">
        <f>Table5[[#This Row],[Profit]]/Table5[[#This Row],[Revenue]]</f>
        <v>0.33333333333333343</v>
      </c>
    </row>
    <row r="852" spans="1:18" x14ac:dyDescent="0.2">
      <c r="A852" s="4">
        <v>851</v>
      </c>
      <c r="B852" s="4">
        <v>81</v>
      </c>
      <c r="C852" s="6">
        <v>45135</v>
      </c>
      <c r="D852" s="4">
        <v>42</v>
      </c>
      <c r="E852" s="4">
        <v>6</v>
      </c>
      <c r="F852" s="12">
        <f t="shared" si="13"/>
        <v>7297.6053999999995</v>
      </c>
      <c r="G852" t="str">
        <f>VLOOKUP(B852,product_tbl[],2,FALSE)</f>
        <v>Water Purifier 81</v>
      </c>
      <c r="H852" t="str">
        <f>VLOOKUP(B852,product_tbl[],3,FALSE)</f>
        <v>Home Appliances</v>
      </c>
      <c r="I852">
        <v>4658.0459999999994</v>
      </c>
      <c r="J852">
        <f>VLOOKUP(B852,product_tbl[],5,FALSE)</f>
        <v>7763.41</v>
      </c>
      <c r="K852">
        <f>VLOOKUP(B852,review_tbl[],3,FALSE)</f>
        <v>2</v>
      </c>
      <c r="L852" s="11">
        <v>9922.2150711587929</v>
      </c>
      <c r="M852" s="11">
        <f>AVERAGEIF(Table1[product_id],Master_tbl!B852:B1853,Table1[competitor_price])</f>
        <v>290.31399999999996</v>
      </c>
      <c r="N852" s="11">
        <f>IFERROR(Table5[[#This Row],[final_sale_price]]*Table5[[#This Row],[quantity_sold ]],0)</f>
        <v>306499.42679999996</v>
      </c>
      <c r="O852" s="11">
        <f>(Table5[[#This Row],[final_sale_price]]-Table5[[#This Row],[cost_price]])*Table5[[#This Row],[quantity_sold ]]</f>
        <v>110861.4948</v>
      </c>
      <c r="P852" s="11">
        <f>(Table5[final_sale_price]-Table5[[#This Row],[avg_comp_price]])</f>
        <v>7007.2913999999992</v>
      </c>
      <c r="Q852" s="15">
        <f>(Table5[[#This Row],[final_sale_price]]-Table5[[#This Row],[avg_comp_price]])/Table5[[#This Row],[avg_comp_price]]</f>
        <v>24.136939313984168</v>
      </c>
      <c r="R852" s="11">
        <f>Table5[[#This Row],[Profit]]/Table5[[#This Row],[Revenue]]</f>
        <v>0.36170212765957455</v>
      </c>
    </row>
    <row r="853" spans="1:18" x14ac:dyDescent="0.2">
      <c r="A853" s="5">
        <v>852</v>
      </c>
      <c r="B853" s="5">
        <v>139</v>
      </c>
      <c r="C853" s="7">
        <v>45570</v>
      </c>
      <c r="D853" s="5">
        <v>4</v>
      </c>
      <c r="E853" s="4">
        <v>5</v>
      </c>
      <c r="F853" s="12">
        <f t="shared" si="13"/>
        <v>2461.5259999999998</v>
      </c>
      <c r="G853" t="str">
        <f>VLOOKUP(B853,product_tbl[],2,FALSE)</f>
        <v>Jacket 139</v>
      </c>
      <c r="H853" t="str">
        <f>VLOOKUP(B853,product_tbl[],3,FALSE)</f>
        <v>Fashion</v>
      </c>
      <c r="I853">
        <v>1554.6479999999999</v>
      </c>
      <c r="J853">
        <f>VLOOKUP(B853,product_tbl[],5,FALSE)</f>
        <v>2591.08</v>
      </c>
      <c r="K853">
        <f>VLOOKUP(B853,review_tbl[],3,FALSE)</f>
        <v>5</v>
      </c>
      <c r="L853" s="11">
        <v>2983.2946624746464</v>
      </c>
      <c r="M853" s="11">
        <f>AVERAGEIF(Table1[product_id],Master_tbl!B853:B1854,Table1[competitor_price])</f>
        <v>2839.1733333333336</v>
      </c>
      <c r="N853" s="11">
        <f>IFERROR(Table5[[#This Row],[final_sale_price]]*Table5[[#This Row],[quantity_sold ]],0)</f>
        <v>9846.1039999999994</v>
      </c>
      <c r="O853" s="11">
        <f>(Table5[[#This Row],[final_sale_price]]-Table5[[#This Row],[cost_price]])*Table5[[#This Row],[quantity_sold ]]</f>
        <v>3627.5119999999997</v>
      </c>
      <c r="P853" s="11">
        <f>(Table5[final_sale_price]-Table5[[#This Row],[avg_comp_price]])</f>
        <v>-377.64733333333379</v>
      </c>
      <c r="Q853" s="15">
        <f>(Table5[[#This Row],[final_sale_price]]-Table5[[#This Row],[avg_comp_price]])/Table5[[#This Row],[avg_comp_price]]</f>
        <v>-0.13301313058261105</v>
      </c>
      <c r="R853" s="11">
        <f>Table5[[#This Row],[Profit]]/Table5[[#This Row],[Revenue]]</f>
        <v>0.36842105263157893</v>
      </c>
    </row>
    <row r="854" spans="1:18" x14ac:dyDescent="0.2">
      <c r="A854" s="4">
        <v>853</v>
      </c>
      <c r="B854" s="4">
        <v>74</v>
      </c>
      <c r="C854" s="6">
        <v>45074</v>
      </c>
      <c r="D854" s="4">
        <v>6</v>
      </c>
      <c r="E854" s="4">
        <v>3</v>
      </c>
      <c r="F854" s="12">
        <f t="shared" si="13"/>
        <v>1848.0536999999999</v>
      </c>
      <c r="G854" t="str">
        <f>VLOOKUP(B854,product_tbl[],2,FALSE)</f>
        <v>Sneakers 74</v>
      </c>
      <c r="H854" t="str">
        <f>VLOOKUP(B854,product_tbl[],3,FALSE)</f>
        <v>Fashion</v>
      </c>
      <c r="I854">
        <v>1143.126</v>
      </c>
      <c r="J854">
        <f>VLOOKUP(B854,product_tbl[],5,FALSE)</f>
        <v>1905.21</v>
      </c>
      <c r="K854">
        <f>VLOOKUP(B854,review_tbl[],3,FALSE)</f>
        <v>5</v>
      </c>
      <c r="L854" s="11">
        <v>2447.0205988580938</v>
      </c>
      <c r="M854" s="11">
        <f>AVERAGEIF(Table1[product_id],Master_tbl!B854:B1855,Table1[competitor_price])</f>
        <v>2585.9039999999995</v>
      </c>
      <c r="N854" s="11">
        <f>IFERROR(Table5[[#This Row],[final_sale_price]]*Table5[[#This Row],[quantity_sold ]],0)</f>
        <v>11088.322199999999</v>
      </c>
      <c r="O854" s="11">
        <f>(Table5[[#This Row],[final_sale_price]]-Table5[[#This Row],[cost_price]])*Table5[[#This Row],[quantity_sold ]]</f>
        <v>4229.5661999999993</v>
      </c>
      <c r="P854" s="11">
        <f>(Table5[final_sale_price]-Table5[[#This Row],[avg_comp_price]])</f>
        <v>-737.85029999999961</v>
      </c>
      <c r="Q854" s="15">
        <f>(Table5[[#This Row],[final_sale_price]]-Table5[[#This Row],[avg_comp_price]])/Table5[[#This Row],[avg_comp_price]]</f>
        <v>-0.2853355344978003</v>
      </c>
      <c r="R854" s="11">
        <f>Table5[[#This Row],[Profit]]/Table5[[#This Row],[Revenue]]</f>
        <v>0.38144329896907214</v>
      </c>
    </row>
    <row r="855" spans="1:18" x14ac:dyDescent="0.2">
      <c r="A855" s="5">
        <v>854</v>
      </c>
      <c r="B855" s="5">
        <v>57</v>
      </c>
      <c r="C855" s="7">
        <v>45599</v>
      </c>
      <c r="D855" s="5">
        <v>7</v>
      </c>
      <c r="E855" s="4">
        <v>2</v>
      </c>
      <c r="F855" s="12">
        <f t="shared" si="13"/>
        <v>6675.5150000000003</v>
      </c>
      <c r="G855" t="str">
        <f>VLOOKUP(B855,product_tbl[],2,FALSE)</f>
        <v>Face Wash 57</v>
      </c>
      <c r="H855" t="str">
        <f>VLOOKUP(B855,product_tbl[],3,FALSE)</f>
        <v>Beauty</v>
      </c>
      <c r="I855">
        <v>4087.0499999999997</v>
      </c>
      <c r="J855">
        <f>VLOOKUP(B855,product_tbl[],5,FALSE)</f>
        <v>6811.75</v>
      </c>
      <c r="K855">
        <f>VLOOKUP(B855,review_tbl[],3,FALSE)</f>
        <v>2</v>
      </c>
      <c r="L855" s="11">
        <v>8227.6069461476436</v>
      </c>
      <c r="M855" s="11">
        <f>AVERAGEIF(Table1[product_id],Master_tbl!B855:B1856,Table1[competitor_price])</f>
        <v>1836.9825000000001</v>
      </c>
      <c r="N855" s="11">
        <f>IFERROR(Table5[[#This Row],[final_sale_price]]*Table5[[#This Row],[quantity_sold ]],0)</f>
        <v>46728.605000000003</v>
      </c>
      <c r="O855" s="11">
        <f>(Table5[[#This Row],[final_sale_price]]-Table5[[#This Row],[cost_price]])*Table5[[#This Row],[quantity_sold ]]</f>
        <v>18119.255000000005</v>
      </c>
      <c r="P855" s="11">
        <f>(Table5[final_sale_price]-Table5[[#This Row],[avg_comp_price]])</f>
        <v>4838.5325000000003</v>
      </c>
      <c r="Q855" s="15">
        <f>(Table5[[#This Row],[final_sale_price]]-Table5[[#This Row],[avg_comp_price]])/Table5[[#This Row],[avg_comp_price]]</f>
        <v>2.633956774220767</v>
      </c>
      <c r="R855" s="11">
        <f>Table5[[#This Row],[Profit]]/Table5[[#This Row],[Revenue]]</f>
        <v>0.38775510204081642</v>
      </c>
    </row>
    <row r="856" spans="1:18" x14ac:dyDescent="0.2">
      <c r="A856" s="4">
        <v>855</v>
      </c>
      <c r="B856" s="4">
        <v>53</v>
      </c>
      <c r="C856" s="6">
        <v>45875</v>
      </c>
      <c r="D856" s="4">
        <v>30</v>
      </c>
      <c r="E856" s="4">
        <v>5</v>
      </c>
      <c r="F856" s="12">
        <f t="shared" si="13"/>
        <v>3291.1894999999995</v>
      </c>
      <c r="G856" t="str">
        <f>VLOOKUP(B856,product_tbl[],2,FALSE)</f>
        <v>Cookbook 53</v>
      </c>
      <c r="H856" t="str">
        <f>VLOOKUP(B856,product_tbl[],3,FALSE)</f>
        <v>Books</v>
      </c>
      <c r="I856">
        <v>2078.6459999999997</v>
      </c>
      <c r="J856">
        <f>VLOOKUP(B856,product_tbl[],5,FALSE)</f>
        <v>3464.41</v>
      </c>
      <c r="K856">
        <f>VLOOKUP(B856,review_tbl[],3,FALSE)</f>
        <v>4</v>
      </c>
      <c r="L856" s="11">
        <v>4162.9812829952116</v>
      </c>
      <c r="M856" s="11">
        <f>AVERAGEIF(Table1[product_id],Master_tbl!B856:B1857,Table1[competitor_price])</f>
        <v>954.33000000000015</v>
      </c>
      <c r="N856" s="11">
        <f>IFERROR(Table5[[#This Row],[final_sale_price]]*Table5[[#This Row],[quantity_sold ]],0)</f>
        <v>98735.684999999983</v>
      </c>
      <c r="O856" s="11">
        <f>(Table5[[#This Row],[final_sale_price]]-Table5[[#This Row],[cost_price]])*Table5[[#This Row],[quantity_sold ]]</f>
        <v>36376.304999999993</v>
      </c>
      <c r="P856" s="11">
        <f>(Table5[final_sale_price]-Table5[[#This Row],[avg_comp_price]])</f>
        <v>2336.8594999999996</v>
      </c>
      <c r="Q856" s="15">
        <f>(Table5[[#This Row],[final_sale_price]]-Table5[[#This Row],[avg_comp_price]])/Table5[[#This Row],[avg_comp_price]]</f>
        <v>2.4486912284010764</v>
      </c>
      <c r="R856" s="11">
        <f>Table5[[#This Row],[Profit]]/Table5[[#This Row],[Revenue]]</f>
        <v>0.36842105263157893</v>
      </c>
    </row>
    <row r="857" spans="1:18" x14ac:dyDescent="0.2">
      <c r="A857" s="5">
        <v>856</v>
      </c>
      <c r="B857" s="5">
        <v>13</v>
      </c>
      <c r="C857" s="7">
        <v>45621</v>
      </c>
      <c r="D857" s="5">
        <v>48</v>
      </c>
      <c r="E857" s="4">
        <v>3</v>
      </c>
      <c r="F857" s="12">
        <f t="shared" si="13"/>
        <v>1743.1481999999999</v>
      </c>
      <c r="G857" t="str">
        <f>VLOOKUP(B857,product_tbl[],2,FALSE)</f>
        <v>Football 13</v>
      </c>
      <c r="H857" t="str">
        <f>VLOOKUP(B857,product_tbl[],3,FALSE)</f>
        <v>Sports</v>
      </c>
      <c r="I857">
        <v>1078.2359999999999</v>
      </c>
      <c r="J857">
        <f>VLOOKUP(B857,product_tbl[],5,FALSE)</f>
        <v>1797.06</v>
      </c>
      <c r="K857">
        <f>VLOOKUP(B857,review_tbl[],3,FALSE)</f>
        <v>5</v>
      </c>
      <c r="L857" s="11">
        <v>1832.5854110753821</v>
      </c>
      <c r="M857" s="11">
        <f>AVERAGEIF(Table1[product_id],Master_tbl!B857:B1858,Table1[competitor_price])</f>
        <v>1712.5580000000002</v>
      </c>
      <c r="N857" s="11">
        <f>IFERROR(Table5[[#This Row],[final_sale_price]]*Table5[[#This Row],[quantity_sold ]],0)</f>
        <v>83671.113599999997</v>
      </c>
      <c r="O857" s="11">
        <f>(Table5[[#This Row],[final_sale_price]]-Table5[[#This Row],[cost_price]])*Table5[[#This Row],[quantity_sold ]]</f>
        <v>31915.785599999999</v>
      </c>
      <c r="P857" s="11">
        <f>(Table5[final_sale_price]-Table5[[#This Row],[avg_comp_price]])</f>
        <v>30.590199999999641</v>
      </c>
      <c r="Q857" s="15">
        <f>(Table5[[#This Row],[final_sale_price]]-Table5[[#This Row],[avg_comp_price]])/Table5[[#This Row],[avg_comp_price]]</f>
        <v>1.7862285540109962E-2</v>
      </c>
      <c r="R857" s="11">
        <f>Table5[[#This Row],[Profit]]/Table5[[#This Row],[Revenue]]</f>
        <v>0.3814432989690722</v>
      </c>
    </row>
    <row r="858" spans="1:18" x14ac:dyDescent="0.2">
      <c r="A858" s="4">
        <v>857</v>
      </c>
      <c r="B858" s="4">
        <v>120</v>
      </c>
      <c r="C858" s="6">
        <v>45151</v>
      </c>
      <c r="D858" s="4">
        <v>44</v>
      </c>
      <c r="E858" s="4">
        <v>10</v>
      </c>
      <c r="F858" s="12">
        <f t="shared" si="13"/>
        <v>1778.94</v>
      </c>
      <c r="G858" t="str">
        <f>VLOOKUP(B858,product_tbl[],2,FALSE)</f>
        <v>Vacuum Cleaner 120</v>
      </c>
      <c r="H858" t="str">
        <f>VLOOKUP(B858,product_tbl[],3,FALSE)</f>
        <v>Home Appliances</v>
      </c>
      <c r="I858">
        <v>1185.9599999999998</v>
      </c>
      <c r="J858">
        <f>VLOOKUP(B858,product_tbl[],5,FALSE)</f>
        <v>1976.6</v>
      </c>
      <c r="K858">
        <f>VLOOKUP(B858,review_tbl[],3,FALSE)</f>
        <v>2</v>
      </c>
      <c r="L858" s="11">
        <v>2205.1457439845062</v>
      </c>
      <c r="M858" s="11">
        <f>AVERAGEIF(Table1[product_id],Master_tbl!B858:B1859,Table1[competitor_price])</f>
        <v>1688.8574999999998</v>
      </c>
      <c r="N858" s="11">
        <f>IFERROR(Table5[[#This Row],[final_sale_price]]*Table5[[#This Row],[quantity_sold ]],0)</f>
        <v>78273.36</v>
      </c>
      <c r="O858" s="11">
        <f>(Table5[[#This Row],[final_sale_price]]-Table5[[#This Row],[cost_price]])*Table5[[#This Row],[quantity_sold ]]</f>
        <v>26091.12000000001</v>
      </c>
      <c r="P858" s="11">
        <f>(Table5[final_sale_price]-Table5[[#This Row],[avg_comp_price]])</f>
        <v>90.082500000000209</v>
      </c>
      <c r="Q858" s="15">
        <f>(Table5[[#This Row],[final_sale_price]]-Table5[[#This Row],[avg_comp_price]])/Table5[[#This Row],[avg_comp_price]]</f>
        <v>5.3339313707639759E-2</v>
      </c>
      <c r="R858" s="11">
        <f>Table5[[#This Row],[Profit]]/Table5[[#This Row],[Revenue]]</f>
        <v>0.33333333333333348</v>
      </c>
    </row>
    <row r="859" spans="1:18" x14ac:dyDescent="0.2">
      <c r="A859" s="5">
        <v>858</v>
      </c>
      <c r="B859" s="5">
        <v>99</v>
      </c>
      <c r="C859" s="7">
        <v>45776</v>
      </c>
      <c r="D859" s="5">
        <v>15</v>
      </c>
      <c r="E859" s="4">
        <v>5</v>
      </c>
      <c r="F859" s="12">
        <f t="shared" si="13"/>
        <v>1941.7809999999999</v>
      </c>
      <c r="G859" t="str">
        <f>VLOOKUP(B859,product_tbl[],2,FALSE)</f>
        <v>Sneakers 99</v>
      </c>
      <c r="H859" t="str">
        <f>VLOOKUP(B859,product_tbl[],3,FALSE)</f>
        <v>Fashion</v>
      </c>
      <c r="I859">
        <v>1226.3879999999999</v>
      </c>
      <c r="J859">
        <f>VLOOKUP(B859,product_tbl[],5,FALSE)</f>
        <v>2043.98</v>
      </c>
      <c r="K859">
        <f>VLOOKUP(B859,review_tbl[],3,FALSE)</f>
        <v>2</v>
      </c>
      <c r="L859" s="11">
        <v>2567.0165217139988</v>
      </c>
      <c r="M859" s="11">
        <f>AVERAGEIF(Table1[product_id],Master_tbl!B859:B1860,Table1[competitor_price])</f>
        <v>958.76666666666654</v>
      </c>
      <c r="N859" s="11">
        <f>IFERROR(Table5[[#This Row],[final_sale_price]]*Table5[[#This Row],[quantity_sold ]],0)</f>
        <v>29126.715</v>
      </c>
      <c r="O859" s="11">
        <f>(Table5[[#This Row],[final_sale_price]]-Table5[[#This Row],[cost_price]])*Table5[[#This Row],[quantity_sold ]]</f>
        <v>10730.895</v>
      </c>
      <c r="P859" s="11">
        <f>(Table5[final_sale_price]-Table5[[#This Row],[avg_comp_price]])</f>
        <v>983.01433333333341</v>
      </c>
      <c r="Q859" s="15">
        <f>(Table5[[#This Row],[final_sale_price]]-Table5[[#This Row],[avg_comp_price]])/Table5[[#This Row],[avg_comp_price]]</f>
        <v>1.0252904773493727</v>
      </c>
      <c r="R859" s="11">
        <f>Table5[[#This Row],[Profit]]/Table5[[#This Row],[Revenue]]</f>
        <v>0.36842105263157898</v>
      </c>
    </row>
    <row r="860" spans="1:18" x14ac:dyDescent="0.2">
      <c r="A860" s="4">
        <v>859</v>
      </c>
      <c r="B860" s="4">
        <v>75</v>
      </c>
      <c r="C860" s="6">
        <v>45220</v>
      </c>
      <c r="D860" s="4">
        <v>7</v>
      </c>
      <c r="E860" s="4">
        <v>6</v>
      </c>
      <c r="F860" s="12">
        <f t="shared" si="13"/>
        <v>3547.0335999999998</v>
      </c>
      <c r="G860" t="str">
        <f>VLOOKUP(B860,product_tbl[],2,FALSE)</f>
        <v>Sneakers 75</v>
      </c>
      <c r="H860" t="str">
        <f>VLOOKUP(B860,product_tbl[],3,FALSE)</f>
        <v>Fashion</v>
      </c>
      <c r="I860">
        <v>2264.0639999999999</v>
      </c>
      <c r="J860">
        <f>VLOOKUP(B860,product_tbl[],5,FALSE)</f>
        <v>3773.44</v>
      </c>
      <c r="K860">
        <f>VLOOKUP(B860,review_tbl[],3,FALSE)</f>
        <v>4</v>
      </c>
      <c r="L860" s="11">
        <v>3937.3699012558291</v>
      </c>
      <c r="M860" s="11">
        <f>AVERAGEIF(Table1[product_id],Master_tbl!B860:B1861,Table1[competitor_price])</f>
        <v>3293.6366666666668</v>
      </c>
      <c r="N860" s="11">
        <f>IFERROR(Table5[[#This Row],[final_sale_price]]*Table5[[#This Row],[quantity_sold ]],0)</f>
        <v>24829.235199999999</v>
      </c>
      <c r="O860" s="11">
        <f>(Table5[[#This Row],[final_sale_price]]-Table5[[#This Row],[cost_price]])*Table5[[#This Row],[quantity_sold ]]</f>
        <v>8980.7871999999988</v>
      </c>
      <c r="P860" s="11">
        <f>(Table5[final_sale_price]-Table5[[#This Row],[avg_comp_price]])</f>
        <v>253.39693333333298</v>
      </c>
      <c r="Q860" s="15">
        <f>(Table5[[#This Row],[final_sale_price]]-Table5[[#This Row],[avg_comp_price]])/Table5[[#This Row],[avg_comp_price]]</f>
        <v>7.6935302517682977E-2</v>
      </c>
      <c r="R860" s="11">
        <f>Table5[[#This Row],[Profit]]/Table5[[#This Row],[Revenue]]</f>
        <v>0.36170212765957444</v>
      </c>
    </row>
    <row r="861" spans="1:18" x14ac:dyDescent="0.2">
      <c r="A861" s="5">
        <v>860</v>
      </c>
      <c r="B861" s="5">
        <v>91</v>
      </c>
      <c r="C861" s="7">
        <v>45805</v>
      </c>
      <c r="D861" s="5">
        <v>40</v>
      </c>
      <c r="E861" s="4">
        <v>8</v>
      </c>
      <c r="F861" s="12">
        <f t="shared" si="13"/>
        <v>2909.96</v>
      </c>
      <c r="G861" t="str">
        <f>VLOOKUP(B861,product_tbl[],2,FALSE)</f>
        <v>Sunglasses 91</v>
      </c>
      <c r="H861" t="str">
        <f>VLOOKUP(B861,product_tbl[],3,FALSE)</f>
        <v>Fashion</v>
      </c>
      <c r="I861">
        <v>1897.8</v>
      </c>
      <c r="J861">
        <f>VLOOKUP(B861,product_tbl[],5,FALSE)</f>
        <v>3163</v>
      </c>
      <c r="K861">
        <f>VLOOKUP(B861,review_tbl[],3,FALSE)</f>
        <v>2</v>
      </c>
      <c r="L861" s="11">
        <v>3798.5620061759364</v>
      </c>
      <c r="M861" s="11">
        <f>AVERAGEIF(Table1[product_id],Master_tbl!B861:B1862,Table1[competitor_price])</f>
        <v>4782.2433333333329</v>
      </c>
      <c r="N861" s="11">
        <f>IFERROR(Table5[[#This Row],[final_sale_price]]*Table5[[#This Row],[quantity_sold ]],0)</f>
        <v>116398.39999999999</v>
      </c>
      <c r="O861" s="11">
        <f>(Table5[[#This Row],[final_sale_price]]-Table5[[#This Row],[cost_price]])*Table5[[#This Row],[quantity_sold ]]</f>
        <v>40486.400000000001</v>
      </c>
      <c r="P861" s="11">
        <f>(Table5[final_sale_price]-Table5[[#This Row],[avg_comp_price]])</f>
        <v>-1872.2833333333328</v>
      </c>
      <c r="Q861" s="15">
        <f>(Table5[[#This Row],[final_sale_price]]-Table5[[#This Row],[avg_comp_price]])/Table5[[#This Row],[avg_comp_price]]</f>
        <v>-0.39150733302989593</v>
      </c>
      <c r="R861" s="11">
        <f>Table5[[#This Row],[Profit]]/Table5[[#This Row],[Revenue]]</f>
        <v>0.34782608695652178</v>
      </c>
    </row>
    <row r="862" spans="1:18" x14ac:dyDescent="0.2">
      <c r="A862" s="4">
        <v>861</v>
      </c>
      <c r="B862" s="4">
        <v>31</v>
      </c>
      <c r="C862" s="6">
        <v>45946</v>
      </c>
      <c r="D862" s="4">
        <v>11</v>
      </c>
      <c r="E862" s="4">
        <v>10</v>
      </c>
      <c r="F862" s="12">
        <f t="shared" si="13"/>
        <v>920.91600000000005</v>
      </c>
      <c r="G862" t="str">
        <f>VLOOKUP(B862,product_tbl[],2,FALSE)</f>
        <v>Bluetooth Speaker 31</v>
      </c>
      <c r="H862" t="str">
        <f>VLOOKUP(B862,product_tbl[],3,FALSE)</f>
        <v>Electronics</v>
      </c>
      <c r="I862">
        <v>613.94399999999996</v>
      </c>
      <c r="J862">
        <f>VLOOKUP(B862,product_tbl[],5,FALSE)</f>
        <v>1023.24</v>
      </c>
      <c r="K862">
        <f>VLOOKUP(B862,review_tbl[],3,FALSE)</f>
        <v>2</v>
      </c>
      <c r="L862" s="11">
        <v>1134.4761154694359</v>
      </c>
      <c r="M862" s="11">
        <f>AVERAGEIF(Table1[product_id],Master_tbl!B862:B1863,Table1[competitor_price])</f>
        <v>1065.8219999999999</v>
      </c>
      <c r="N862" s="11">
        <f>IFERROR(Table5[[#This Row],[final_sale_price]]*Table5[[#This Row],[quantity_sold ]],0)</f>
        <v>10130.076000000001</v>
      </c>
      <c r="O862" s="11">
        <f>(Table5[[#This Row],[final_sale_price]]-Table5[[#This Row],[cost_price]])*Table5[[#This Row],[quantity_sold ]]</f>
        <v>3376.6920000000009</v>
      </c>
      <c r="P862" s="11">
        <f>(Table5[final_sale_price]-Table5[[#This Row],[avg_comp_price]])</f>
        <v>-144.90599999999984</v>
      </c>
      <c r="Q862" s="15">
        <f>(Table5[[#This Row],[final_sale_price]]-Table5[[#This Row],[avg_comp_price]])/Table5[[#This Row],[avg_comp_price]]</f>
        <v>-0.13595703597786482</v>
      </c>
      <c r="R862" s="11">
        <f>Table5[[#This Row],[Profit]]/Table5[[#This Row],[Revenue]]</f>
        <v>0.33333333333333337</v>
      </c>
    </row>
    <row r="863" spans="1:18" x14ac:dyDescent="0.2">
      <c r="A863" s="5">
        <v>862</v>
      </c>
      <c r="B863" s="5">
        <v>56</v>
      </c>
      <c r="C863" s="7">
        <v>45598</v>
      </c>
      <c r="D863" s="5">
        <v>20</v>
      </c>
      <c r="E863" s="4">
        <v>7</v>
      </c>
      <c r="F863" s="12">
        <f t="shared" si="13"/>
        <v>7423.0739999999996</v>
      </c>
      <c r="G863" t="str">
        <f>VLOOKUP(B863,product_tbl[],2,FALSE)</f>
        <v>Smartwatch 56</v>
      </c>
      <c r="H863" t="str">
        <f>VLOOKUP(B863,product_tbl[],3,FALSE)</f>
        <v>Electronics</v>
      </c>
      <c r="I863">
        <v>4789.08</v>
      </c>
      <c r="J863">
        <f>VLOOKUP(B863,product_tbl[],5,FALSE)</f>
        <v>7981.8</v>
      </c>
      <c r="K863">
        <f>VLOOKUP(B863,review_tbl[],3,FALSE)</f>
        <v>5</v>
      </c>
      <c r="L863" s="11">
        <v>9818.959415810501</v>
      </c>
      <c r="M863" s="11">
        <f>AVERAGEIF(Table1[product_id],Master_tbl!B863:B1864,Table1[competitor_price])</f>
        <v>3458.9274999999998</v>
      </c>
      <c r="N863" s="11">
        <f>IFERROR(Table5[[#This Row],[final_sale_price]]*Table5[[#This Row],[quantity_sold ]],0)</f>
        <v>148461.47999999998</v>
      </c>
      <c r="O863" s="11">
        <f>(Table5[[#This Row],[final_sale_price]]-Table5[[#This Row],[cost_price]])*Table5[[#This Row],[quantity_sold ]]</f>
        <v>52679.87999999999</v>
      </c>
      <c r="P863" s="11">
        <f>(Table5[final_sale_price]-Table5[[#This Row],[avg_comp_price]])</f>
        <v>3964.1464999999998</v>
      </c>
      <c r="Q863" s="15">
        <f>(Table5[[#This Row],[final_sale_price]]-Table5[[#This Row],[avg_comp_price]])/Table5[[#This Row],[avg_comp_price]]</f>
        <v>1.146062327123075</v>
      </c>
      <c r="R863" s="11">
        <f>Table5[[#This Row],[Profit]]/Table5[[#This Row],[Revenue]]</f>
        <v>0.35483870967741932</v>
      </c>
    </row>
    <row r="864" spans="1:18" x14ac:dyDescent="0.2">
      <c r="A864" s="4">
        <v>863</v>
      </c>
      <c r="B864" s="4">
        <v>150</v>
      </c>
      <c r="C864" s="6">
        <v>45581</v>
      </c>
      <c r="D864" s="4">
        <v>16</v>
      </c>
      <c r="E864" s="4">
        <v>2</v>
      </c>
      <c r="F864" s="12">
        <f t="shared" si="13"/>
        <v>2243.9255999999996</v>
      </c>
      <c r="G864" t="str">
        <f>VLOOKUP(B864,product_tbl[],2,FALSE)</f>
        <v>Puzzle Set 150</v>
      </c>
      <c r="H864" t="str">
        <f>VLOOKUP(B864,product_tbl[],3,FALSE)</f>
        <v>Toys</v>
      </c>
      <c r="I864">
        <v>1373.8319999999999</v>
      </c>
      <c r="J864">
        <f>VLOOKUP(B864,product_tbl[],5,FALSE)</f>
        <v>2289.7199999999998</v>
      </c>
      <c r="K864">
        <f>VLOOKUP(B864,review_tbl[],3,FALSE)</f>
        <v>3</v>
      </c>
      <c r="L864" s="11">
        <v>2405.4185133108153</v>
      </c>
      <c r="M864" s="11">
        <f>AVERAGEIF(Table1[product_id],Master_tbl!B864:B1865,Table1[competitor_price])</f>
        <v>1810.3166666666666</v>
      </c>
      <c r="N864" s="11">
        <f>IFERROR(Table5[[#This Row],[final_sale_price]]*Table5[[#This Row],[quantity_sold ]],0)</f>
        <v>35902.809599999993</v>
      </c>
      <c r="O864" s="11">
        <f>(Table5[[#This Row],[final_sale_price]]-Table5[[#This Row],[cost_price]])*Table5[[#This Row],[quantity_sold ]]</f>
        <v>13921.497599999995</v>
      </c>
      <c r="P864" s="11">
        <f>(Table5[final_sale_price]-Table5[[#This Row],[avg_comp_price]])</f>
        <v>433.60893333333297</v>
      </c>
      <c r="Q864" s="15">
        <f>(Table5[[#This Row],[final_sale_price]]-Table5[[#This Row],[avg_comp_price]])/Table5[[#This Row],[avg_comp_price]]</f>
        <v>0.23952104143842218</v>
      </c>
      <c r="R864" s="11">
        <f>Table5[[#This Row],[Profit]]/Table5[[#This Row],[Revenue]]</f>
        <v>0.38775510204081626</v>
      </c>
    </row>
    <row r="865" spans="1:18" x14ac:dyDescent="0.2">
      <c r="A865" s="5">
        <v>864</v>
      </c>
      <c r="B865" s="5">
        <v>45</v>
      </c>
      <c r="C865" s="7">
        <v>45832</v>
      </c>
      <c r="D865" s="5">
        <v>46</v>
      </c>
      <c r="E865" s="4">
        <v>5</v>
      </c>
      <c r="F865" s="12">
        <f t="shared" si="13"/>
        <v>5060.0704999999998</v>
      </c>
      <c r="G865" t="str">
        <f>VLOOKUP(B865,product_tbl[],2,FALSE)</f>
        <v>Doll 45</v>
      </c>
      <c r="H865" t="str">
        <f>VLOOKUP(B865,product_tbl[],3,FALSE)</f>
        <v>Toys</v>
      </c>
      <c r="I865">
        <v>3195.8340000000003</v>
      </c>
      <c r="J865">
        <f>VLOOKUP(B865,product_tbl[],5,FALSE)</f>
        <v>5326.39</v>
      </c>
      <c r="K865">
        <f>VLOOKUP(B865,review_tbl[],3,FALSE)</f>
        <v>1</v>
      </c>
      <c r="L865" s="11">
        <v>5800.4288667674982</v>
      </c>
      <c r="M865" s="11">
        <f>AVERAGEIF(Table1[product_id],Master_tbl!B865:B1866,Table1[competitor_price])</f>
        <v>4436.1279999999997</v>
      </c>
      <c r="N865" s="11">
        <f>IFERROR(Table5[[#This Row],[final_sale_price]]*Table5[[#This Row],[quantity_sold ]],0)</f>
        <v>232763.24299999999</v>
      </c>
      <c r="O865" s="11">
        <f>(Table5[[#This Row],[final_sale_price]]-Table5[[#This Row],[cost_price]])*Table5[[#This Row],[quantity_sold ]]</f>
        <v>85754.878999999972</v>
      </c>
      <c r="P865" s="11">
        <f>(Table5[final_sale_price]-Table5[[#This Row],[avg_comp_price]])</f>
        <v>623.94250000000011</v>
      </c>
      <c r="Q865" s="15">
        <f>(Table5[[#This Row],[final_sale_price]]-Table5[[#This Row],[avg_comp_price]])/Table5[[#This Row],[avg_comp_price]]</f>
        <v>0.14065024724264047</v>
      </c>
      <c r="R865" s="11">
        <f>Table5[[#This Row],[Profit]]/Table5[[#This Row],[Revenue]]</f>
        <v>0.36842105263157887</v>
      </c>
    </row>
    <row r="866" spans="1:18" x14ac:dyDescent="0.2">
      <c r="A866" s="4">
        <v>865</v>
      </c>
      <c r="B866" s="4">
        <v>34</v>
      </c>
      <c r="C866" s="6">
        <v>45901</v>
      </c>
      <c r="D866" s="4">
        <v>47</v>
      </c>
      <c r="E866" s="4">
        <v>9</v>
      </c>
      <c r="F866" s="12">
        <f t="shared" si="13"/>
        <v>1186.0849000000001</v>
      </c>
      <c r="G866" t="str">
        <f>VLOOKUP(B866,product_tbl[],2,FALSE)</f>
        <v>Doll 34</v>
      </c>
      <c r="H866" t="str">
        <f>VLOOKUP(B866,product_tbl[],3,FALSE)</f>
        <v>Toys</v>
      </c>
      <c r="I866">
        <v>782.03399999999999</v>
      </c>
      <c r="J866">
        <f>VLOOKUP(B866,product_tbl[],5,FALSE)</f>
        <v>1303.3900000000001</v>
      </c>
      <c r="K866">
        <f>VLOOKUP(B866,review_tbl[],3,FALSE)</f>
        <v>2</v>
      </c>
      <c r="L866" s="11">
        <v>1360.623735138814</v>
      </c>
      <c r="M866" s="11">
        <f>AVERAGEIF(Table1[product_id],Master_tbl!B866:B1867,Table1[competitor_price])</f>
        <v>4145.4440000000004</v>
      </c>
      <c r="N866" s="11">
        <f>IFERROR(Table5[[#This Row],[final_sale_price]]*Table5[[#This Row],[quantity_sold ]],0)</f>
        <v>55745.990300000005</v>
      </c>
      <c r="O866" s="11">
        <f>(Table5[[#This Row],[final_sale_price]]-Table5[[#This Row],[cost_price]])*Table5[[#This Row],[quantity_sold ]]</f>
        <v>18990.392300000003</v>
      </c>
      <c r="P866" s="11">
        <f>(Table5[final_sale_price]-Table5[[#This Row],[avg_comp_price]])</f>
        <v>-2959.3591000000006</v>
      </c>
      <c r="Q866" s="15">
        <f>(Table5[[#This Row],[final_sale_price]]-Table5[[#This Row],[avg_comp_price]])/Table5[[#This Row],[avg_comp_price]]</f>
        <v>-0.71388230066550173</v>
      </c>
      <c r="R866" s="11">
        <f>Table5[[#This Row],[Profit]]/Table5[[#This Row],[Revenue]]</f>
        <v>0.34065934065934067</v>
      </c>
    </row>
    <row r="867" spans="1:18" x14ac:dyDescent="0.2">
      <c r="A867" s="5">
        <v>866</v>
      </c>
      <c r="B867" s="5">
        <v>11</v>
      </c>
      <c r="C867" s="7">
        <v>45889</v>
      </c>
      <c r="D867" s="5">
        <v>19</v>
      </c>
      <c r="E867" s="4">
        <v>7</v>
      </c>
      <c r="F867" s="12">
        <f t="shared" si="13"/>
        <v>2976.1859999999997</v>
      </c>
      <c r="G867" t="str">
        <f>VLOOKUP(B867,product_tbl[],2,FALSE)</f>
        <v>Remote Car 11</v>
      </c>
      <c r="H867" t="str">
        <f>VLOOKUP(B867,product_tbl[],3,FALSE)</f>
        <v>Toys</v>
      </c>
      <c r="I867">
        <v>1920.12</v>
      </c>
      <c r="J867">
        <f>VLOOKUP(B867,product_tbl[],5,FALSE)</f>
        <v>3200.2</v>
      </c>
      <c r="K867">
        <f>VLOOKUP(B867,review_tbl[],3,FALSE)</f>
        <v>1</v>
      </c>
      <c r="L867" s="11">
        <v>3869.0237278374461</v>
      </c>
      <c r="M867" s="11">
        <f>AVERAGEIF(Table1[product_id],Master_tbl!B867:B1868,Table1[competitor_price])</f>
        <v>7089.33</v>
      </c>
      <c r="N867" s="11">
        <f>IFERROR(Table5[[#This Row],[final_sale_price]]*Table5[[#This Row],[quantity_sold ]],0)</f>
        <v>56547.533999999992</v>
      </c>
      <c r="O867" s="11">
        <f>(Table5[[#This Row],[final_sale_price]]-Table5[[#This Row],[cost_price]])*Table5[[#This Row],[quantity_sold ]]</f>
        <v>20065.253999999997</v>
      </c>
      <c r="P867" s="11">
        <f>(Table5[final_sale_price]-Table5[[#This Row],[avg_comp_price]])</f>
        <v>-4113.1440000000002</v>
      </c>
      <c r="Q867" s="15">
        <f>(Table5[[#This Row],[final_sale_price]]-Table5[[#This Row],[avg_comp_price]])/Table5[[#This Row],[avg_comp_price]]</f>
        <v>-0.58018797262928945</v>
      </c>
      <c r="R867" s="11">
        <f>Table5[[#This Row],[Profit]]/Table5[[#This Row],[Revenue]]</f>
        <v>0.35483870967741937</v>
      </c>
    </row>
    <row r="868" spans="1:18" x14ac:dyDescent="0.2">
      <c r="A868" s="4">
        <v>867</v>
      </c>
      <c r="B868" s="4">
        <v>102</v>
      </c>
      <c r="C868" s="6">
        <v>45632</v>
      </c>
      <c r="D868" s="4">
        <v>17</v>
      </c>
      <c r="E868" s="4">
        <v>8</v>
      </c>
      <c r="F868" s="12">
        <f t="shared" si="13"/>
        <v>3812.4247999999998</v>
      </c>
      <c r="G868" t="str">
        <f>VLOOKUP(B868,product_tbl[],2,FALSE)</f>
        <v>Action Figure 102</v>
      </c>
      <c r="H868" t="str">
        <f>VLOOKUP(B868,product_tbl[],3,FALSE)</f>
        <v>Toys</v>
      </c>
      <c r="I868">
        <v>2486.3639999999996</v>
      </c>
      <c r="J868">
        <f>VLOOKUP(B868,product_tbl[],5,FALSE)</f>
        <v>4143.9399999999996</v>
      </c>
      <c r="K868">
        <f>VLOOKUP(B868,review_tbl[],3,FALSE)</f>
        <v>4</v>
      </c>
      <c r="L868" s="11">
        <v>4910.9109244973561</v>
      </c>
      <c r="M868" s="11">
        <f>AVERAGEIF(Table1[product_id],Master_tbl!B868:B1869,Table1[competitor_price])</f>
        <v>2740.84</v>
      </c>
      <c r="N868" s="11">
        <f>IFERROR(Table5[[#This Row],[final_sale_price]]*Table5[[#This Row],[quantity_sold ]],0)</f>
        <v>64811.221599999997</v>
      </c>
      <c r="O868" s="11">
        <f>(Table5[[#This Row],[final_sale_price]]-Table5[[#This Row],[cost_price]])*Table5[[#This Row],[quantity_sold ]]</f>
        <v>22543.033600000002</v>
      </c>
      <c r="P868" s="11">
        <f>(Table5[final_sale_price]-Table5[[#This Row],[avg_comp_price]])</f>
        <v>1071.5847999999996</v>
      </c>
      <c r="Q868" s="15">
        <f>(Table5[[#This Row],[final_sale_price]]-Table5[[#This Row],[avg_comp_price]])/Table5[[#This Row],[avg_comp_price]]</f>
        <v>0.39096948380788354</v>
      </c>
      <c r="R868" s="11">
        <f>Table5[[#This Row],[Profit]]/Table5[[#This Row],[Revenue]]</f>
        <v>0.34782608695652178</v>
      </c>
    </row>
    <row r="869" spans="1:18" x14ac:dyDescent="0.2">
      <c r="A869" s="5">
        <v>868</v>
      </c>
      <c r="B869" s="5">
        <v>15</v>
      </c>
      <c r="C869" s="7">
        <v>45158</v>
      </c>
      <c r="D869" s="5">
        <v>15</v>
      </c>
      <c r="E869" s="4">
        <v>8</v>
      </c>
      <c r="F869" s="12">
        <f t="shared" si="13"/>
        <v>4454.1615999999995</v>
      </c>
      <c r="G869" t="str">
        <f>VLOOKUP(B869,product_tbl[],2,FALSE)</f>
        <v>Tennis Racket 15</v>
      </c>
      <c r="H869" t="str">
        <f>VLOOKUP(B869,product_tbl[],3,FALSE)</f>
        <v>Sports</v>
      </c>
      <c r="I869">
        <v>2904.8879999999995</v>
      </c>
      <c r="J869">
        <f>VLOOKUP(B869,product_tbl[],5,FALSE)</f>
        <v>4841.4799999999996</v>
      </c>
      <c r="K869">
        <f>VLOOKUP(B869,review_tbl[],3,FALSE)</f>
        <v>4</v>
      </c>
      <c r="L869" s="11">
        <v>5127.4783131915719</v>
      </c>
      <c r="M869" s="11">
        <f>AVERAGEIF(Table1[product_id],Master_tbl!B869:B1870,Table1[competitor_price])</f>
        <v>5242.3433333333332</v>
      </c>
      <c r="N869" s="11">
        <f>IFERROR(Table5[[#This Row],[final_sale_price]]*Table5[[#This Row],[quantity_sold ]],0)</f>
        <v>66812.423999999999</v>
      </c>
      <c r="O869" s="11">
        <f>(Table5[[#This Row],[final_sale_price]]-Table5[[#This Row],[cost_price]])*Table5[[#This Row],[quantity_sold ]]</f>
        <v>23239.103999999999</v>
      </c>
      <c r="P869" s="11">
        <f>(Table5[final_sale_price]-Table5[[#This Row],[avg_comp_price]])</f>
        <v>-788.1817333333338</v>
      </c>
      <c r="Q869" s="15">
        <f>(Table5[[#This Row],[final_sale_price]]-Table5[[#This Row],[avg_comp_price]])/Table5[[#This Row],[avg_comp_price]]</f>
        <v>-0.15034912504140968</v>
      </c>
      <c r="R869" s="11">
        <f>Table5[[#This Row],[Profit]]/Table5[[#This Row],[Revenue]]</f>
        <v>0.34782608695652173</v>
      </c>
    </row>
    <row r="870" spans="1:18" x14ac:dyDescent="0.2">
      <c r="A870" s="4">
        <v>869</v>
      </c>
      <c r="B870" s="4">
        <v>137</v>
      </c>
      <c r="C870" s="6">
        <v>45473</v>
      </c>
      <c r="D870" s="4">
        <v>41</v>
      </c>
      <c r="E870" s="4">
        <v>7</v>
      </c>
      <c r="F870" s="12">
        <f t="shared" si="13"/>
        <v>333.56310000000002</v>
      </c>
      <c r="G870" t="str">
        <f>VLOOKUP(B870,product_tbl[],2,FALSE)</f>
        <v>Moisturizer 137</v>
      </c>
      <c r="H870" t="str">
        <f>VLOOKUP(B870,product_tbl[],3,FALSE)</f>
        <v>Beauty</v>
      </c>
      <c r="I870">
        <v>215.202</v>
      </c>
      <c r="J870">
        <f>VLOOKUP(B870,product_tbl[],5,FALSE)</f>
        <v>358.67</v>
      </c>
      <c r="K870">
        <f>VLOOKUP(B870,review_tbl[],3,FALSE)</f>
        <v>3</v>
      </c>
      <c r="L870" s="11">
        <v>395.30436529297731</v>
      </c>
      <c r="M870" s="11">
        <f>AVERAGEIF(Table1[product_id],Master_tbl!B870:B1871,Table1[competitor_price])</f>
        <v>4109.2999999999993</v>
      </c>
      <c r="N870" s="11">
        <f>IFERROR(Table5[[#This Row],[final_sale_price]]*Table5[[#This Row],[quantity_sold ]],0)</f>
        <v>13676.087100000001</v>
      </c>
      <c r="O870" s="11">
        <f>(Table5[[#This Row],[final_sale_price]]-Table5[[#This Row],[cost_price]])*Table5[[#This Row],[quantity_sold ]]</f>
        <v>4852.8051000000005</v>
      </c>
      <c r="P870" s="11">
        <f>(Table5[final_sale_price]-Table5[[#This Row],[avg_comp_price]])</f>
        <v>-3775.7368999999994</v>
      </c>
      <c r="Q870" s="15">
        <f>(Table5[[#This Row],[final_sale_price]]-Table5[[#This Row],[avg_comp_price]])/Table5[[#This Row],[avg_comp_price]]</f>
        <v>-0.91882726985131291</v>
      </c>
      <c r="R870" s="11">
        <f>Table5[[#This Row],[Profit]]/Table5[[#This Row],[Revenue]]</f>
        <v>0.35483870967741937</v>
      </c>
    </row>
    <row r="871" spans="1:18" x14ac:dyDescent="0.2">
      <c r="A871" s="5">
        <v>870</v>
      </c>
      <c r="B871" s="5">
        <v>114</v>
      </c>
      <c r="C871" s="7">
        <v>45207</v>
      </c>
      <c r="D871" s="5">
        <v>47</v>
      </c>
      <c r="E871" s="4">
        <v>7</v>
      </c>
      <c r="F871" s="12">
        <f t="shared" si="13"/>
        <v>7109.3012999999992</v>
      </c>
      <c r="G871" t="str">
        <f>VLOOKUP(B871,product_tbl[],2,FALSE)</f>
        <v>Smartwatch 114</v>
      </c>
      <c r="H871" t="str">
        <f>VLOOKUP(B871,product_tbl[],3,FALSE)</f>
        <v>Electronics</v>
      </c>
      <c r="I871">
        <v>4586.6459999999997</v>
      </c>
      <c r="J871">
        <f>VLOOKUP(B871,product_tbl[],5,FALSE)</f>
        <v>7644.41</v>
      </c>
      <c r="K871">
        <f>VLOOKUP(B871,review_tbl[],3,FALSE)</f>
        <v>2</v>
      </c>
      <c r="L871" s="11">
        <v>8250.1475463774514</v>
      </c>
      <c r="M871" s="11">
        <f>AVERAGEIF(Table1[product_id],Master_tbl!B871:B1872,Table1[competitor_price])</f>
        <v>6494.3074999999999</v>
      </c>
      <c r="N871" s="11">
        <f>IFERROR(Table5[[#This Row],[final_sale_price]]*Table5[[#This Row],[quantity_sold ]],0)</f>
        <v>334137.16109999997</v>
      </c>
      <c r="O871" s="11">
        <f>(Table5[[#This Row],[final_sale_price]]-Table5[[#This Row],[cost_price]])*Table5[[#This Row],[quantity_sold ]]</f>
        <v>118564.79909999997</v>
      </c>
      <c r="P871" s="11">
        <f>(Table5[final_sale_price]-Table5[[#This Row],[avg_comp_price]])</f>
        <v>614.99379999999928</v>
      </c>
      <c r="Q871" s="15">
        <f>(Table5[[#This Row],[final_sale_price]]-Table5[[#This Row],[avg_comp_price]])/Table5[[#This Row],[avg_comp_price]]</f>
        <v>9.4697363806687515E-2</v>
      </c>
      <c r="R871" s="11">
        <f>Table5[[#This Row],[Profit]]/Table5[[#This Row],[Revenue]]</f>
        <v>0.35483870967741932</v>
      </c>
    </row>
    <row r="872" spans="1:18" x14ac:dyDescent="0.2">
      <c r="A872" s="4">
        <v>871</v>
      </c>
      <c r="B872" s="4">
        <v>91</v>
      </c>
      <c r="C872" s="6">
        <v>45567</v>
      </c>
      <c r="D872" s="4">
        <v>6</v>
      </c>
      <c r="E872" s="4">
        <v>5</v>
      </c>
      <c r="F872" s="12">
        <f t="shared" si="13"/>
        <v>3004.85</v>
      </c>
      <c r="G872" t="str">
        <f>VLOOKUP(B872,product_tbl[],2,FALSE)</f>
        <v>Sunglasses 91</v>
      </c>
      <c r="H872" t="str">
        <f>VLOOKUP(B872,product_tbl[],3,FALSE)</f>
        <v>Fashion</v>
      </c>
      <c r="I872">
        <v>1897.8</v>
      </c>
      <c r="J872">
        <f>VLOOKUP(B872,product_tbl[],5,FALSE)</f>
        <v>3163</v>
      </c>
      <c r="K872">
        <f>VLOOKUP(B872,review_tbl[],3,FALSE)</f>
        <v>2</v>
      </c>
      <c r="L872" s="11">
        <v>3378.1701954192463</v>
      </c>
      <c r="M872" s="11">
        <f>AVERAGEIF(Table1[product_id],Master_tbl!B872:B1873,Table1[competitor_price])</f>
        <v>4782.2433333333329</v>
      </c>
      <c r="N872" s="11">
        <f>IFERROR(Table5[[#This Row],[final_sale_price]]*Table5[[#This Row],[quantity_sold ]],0)</f>
        <v>18029.099999999999</v>
      </c>
      <c r="O872" s="11">
        <f>(Table5[[#This Row],[final_sale_price]]-Table5[[#This Row],[cost_price]])*Table5[[#This Row],[quantity_sold ]]</f>
        <v>6642.2999999999993</v>
      </c>
      <c r="P872" s="11">
        <f>(Table5[final_sale_price]-Table5[[#This Row],[avg_comp_price]])</f>
        <v>-1777.393333333333</v>
      </c>
      <c r="Q872" s="15">
        <f>(Table5[[#This Row],[final_sale_price]]-Table5[[#This Row],[avg_comp_price]])/Table5[[#This Row],[avg_comp_price]]</f>
        <v>-0.37166518084608824</v>
      </c>
      <c r="R872" s="11">
        <f>Table5[[#This Row],[Profit]]/Table5[[#This Row],[Revenue]]</f>
        <v>0.36842105263157893</v>
      </c>
    </row>
    <row r="873" spans="1:18" x14ac:dyDescent="0.2">
      <c r="A873" s="5">
        <v>872</v>
      </c>
      <c r="B873" s="5">
        <v>67</v>
      </c>
      <c r="C873" s="7">
        <v>45001</v>
      </c>
      <c r="D873" s="5">
        <v>40</v>
      </c>
      <c r="E873" s="4">
        <v>8</v>
      </c>
      <c r="F873" s="12">
        <f t="shared" si="13"/>
        <v>1058.6532</v>
      </c>
      <c r="G873" t="str">
        <f>VLOOKUP(B873,product_tbl[],2,FALSE)</f>
        <v>Perfume 67</v>
      </c>
      <c r="H873" t="str">
        <f>VLOOKUP(B873,product_tbl[],3,FALSE)</f>
        <v>Beauty</v>
      </c>
      <c r="I873">
        <v>690.42600000000004</v>
      </c>
      <c r="J873">
        <f>VLOOKUP(B873,product_tbl[],5,FALSE)</f>
        <v>1150.71</v>
      </c>
      <c r="K873">
        <f>VLOOKUP(B873,review_tbl[],3,FALSE)</f>
        <v>4</v>
      </c>
      <c r="L873" s="11">
        <v>1193.9025980470519</v>
      </c>
      <c r="M873" s="11">
        <f>AVERAGEIF(Table1[product_id],Master_tbl!B873:B1874,Table1[competitor_price])</f>
        <v>7069.7</v>
      </c>
      <c r="N873" s="11">
        <f>IFERROR(Table5[[#This Row],[final_sale_price]]*Table5[[#This Row],[quantity_sold ]],0)</f>
        <v>42346.127999999997</v>
      </c>
      <c r="O873" s="11">
        <f>(Table5[[#This Row],[final_sale_price]]-Table5[[#This Row],[cost_price]])*Table5[[#This Row],[quantity_sold ]]</f>
        <v>14729.087999999996</v>
      </c>
      <c r="P873" s="11">
        <f>(Table5[final_sale_price]-Table5[[#This Row],[avg_comp_price]])</f>
        <v>-6011.0468000000001</v>
      </c>
      <c r="Q873" s="15">
        <f>(Table5[[#This Row],[final_sale_price]]-Table5[[#This Row],[avg_comp_price]])/Table5[[#This Row],[avg_comp_price]]</f>
        <v>-0.85025486229967329</v>
      </c>
      <c r="R873" s="11">
        <f>Table5[[#This Row],[Profit]]/Table5[[#This Row],[Revenue]]</f>
        <v>0.34782608695652167</v>
      </c>
    </row>
    <row r="874" spans="1:18" x14ac:dyDescent="0.2">
      <c r="A874" s="4">
        <v>873</v>
      </c>
      <c r="B874" s="4">
        <v>21</v>
      </c>
      <c r="C874" s="6">
        <v>45137</v>
      </c>
      <c r="D874" s="4">
        <v>41</v>
      </c>
      <c r="E874" s="4">
        <v>4</v>
      </c>
      <c r="F874" s="12">
        <f t="shared" si="13"/>
        <v>2764.1280000000002</v>
      </c>
      <c r="G874" t="str">
        <f>VLOOKUP(B874,product_tbl[],2,FALSE)</f>
        <v>Water Purifier 21</v>
      </c>
      <c r="H874" t="str">
        <f>VLOOKUP(B874,product_tbl[],3,FALSE)</f>
        <v>Home Appliances</v>
      </c>
      <c r="I874">
        <v>1727.5800000000002</v>
      </c>
      <c r="J874">
        <f>VLOOKUP(B874,product_tbl[],5,FALSE)</f>
        <v>2879.3</v>
      </c>
      <c r="K874">
        <f>VLOOKUP(B874,review_tbl[],3,FALSE)</f>
        <v>3</v>
      </c>
      <c r="L874" s="11">
        <v>3254.5288534134911</v>
      </c>
      <c r="M874" s="11">
        <f>AVERAGEIF(Table1[product_id],Master_tbl!B874:B1875,Table1[competitor_price])</f>
        <v>4150.0079999999998</v>
      </c>
      <c r="N874" s="11">
        <f>IFERROR(Table5[[#This Row],[final_sale_price]]*Table5[[#This Row],[quantity_sold ]],0)</f>
        <v>113329.24800000001</v>
      </c>
      <c r="O874" s="11">
        <f>(Table5[[#This Row],[final_sale_price]]-Table5[[#This Row],[cost_price]])*Table5[[#This Row],[quantity_sold ]]</f>
        <v>42498.468000000001</v>
      </c>
      <c r="P874" s="11">
        <f>(Table5[final_sale_price]-Table5[[#This Row],[avg_comp_price]])</f>
        <v>-1385.8799999999997</v>
      </c>
      <c r="Q874" s="15">
        <f>(Table5[[#This Row],[final_sale_price]]-Table5[[#This Row],[avg_comp_price]])/Table5[[#This Row],[avg_comp_price]]</f>
        <v>-0.33394634419981833</v>
      </c>
      <c r="R874" s="11">
        <f>Table5[[#This Row],[Profit]]/Table5[[#This Row],[Revenue]]</f>
        <v>0.375</v>
      </c>
    </row>
    <row r="875" spans="1:18" x14ac:dyDescent="0.2">
      <c r="A875" s="5">
        <v>874</v>
      </c>
      <c r="B875" s="5">
        <v>144</v>
      </c>
      <c r="C875" s="7">
        <v>45195</v>
      </c>
      <c r="D875" s="5">
        <v>22</v>
      </c>
      <c r="E875" s="4">
        <v>6</v>
      </c>
      <c r="F875" s="12">
        <f t="shared" si="13"/>
        <v>1483.5267999999999</v>
      </c>
      <c r="G875" t="str">
        <f>VLOOKUP(B875,product_tbl[],2,FALSE)</f>
        <v>Air Conditioner 144</v>
      </c>
      <c r="H875" t="str">
        <f>VLOOKUP(B875,product_tbl[],3,FALSE)</f>
        <v>Home Appliances</v>
      </c>
      <c r="I875">
        <v>946.93200000000002</v>
      </c>
      <c r="J875">
        <f>VLOOKUP(B875,product_tbl[],5,FALSE)</f>
        <v>1578.22</v>
      </c>
      <c r="K875">
        <f>VLOOKUP(B875,review_tbl[],3,FALSE)</f>
        <v>2</v>
      </c>
      <c r="L875" s="11">
        <v>1947.0790520761332</v>
      </c>
      <c r="M875" s="11">
        <f>AVERAGEIF(Table1[product_id],Master_tbl!B875:B1876,Table1[competitor_price])</f>
        <v>6414.0239999999994</v>
      </c>
      <c r="N875" s="11">
        <f>IFERROR(Table5[[#This Row],[final_sale_price]]*Table5[[#This Row],[quantity_sold ]],0)</f>
        <v>32637.589599999996</v>
      </c>
      <c r="O875" s="11">
        <f>(Table5[[#This Row],[final_sale_price]]-Table5[[#This Row],[cost_price]])*Table5[[#This Row],[quantity_sold ]]</f>
        <v>11805.085599999997</v>
      </c>
      <c r="P875" s="11">
        <f>(Table5[final_sale_price]-Table5[[#This Row],[avg_comp_price]])</f>
        <v>-4930.4971999999998</v>
      </c>
      <c r="Q875" s="15">
        <f>(Table5[[#This Row],[final_sale_price]]-Table5[[#This Row],[avg_comp_price]])/Table5[[#This Row],[avg_comp_price]]</f>
        <v>-0.76870576100120613</v>
      </c>
      <c r="R875" s="11">
        <f>Table5[[#This Row],[Profit]]/Table5[[#This Row],[Revenue]]</f>
        <v>0.36170212765957444</v>
      </c>
    </row>
    <row r="876" spans="1:18" x14ac:dyDescent="0.2">
      <c r="A876" s="4">
        <v>875</v>
      </c>
      <c r="B876" s="4">
        <v>30</v>
      </c>
      <c r="C876" s="6">
        <v>45128</v>
      </c>
      <c r="D876" s="4">
        <v>41</v>
      </c>
      <c r="E876" s="4">
        <v>8</v>
      </c>
      <c r="F876" s="12">
        <f t="shared" si="13"/>
        <v>1884.4728000000002</v>
      </c>
      <c r="G876" t="str">
        <f>VLOOKUP(B876,product_tbl[],2,FALSE)</f>
        <v>Doll 30</v>
      </c>
      <c r="H876" t="str">
        <f>VLOOKUP(B876,product_tbl[],3,FALSE)</f>
        <v>Toys</v>
      </c>
      <c r="I876">
        <v>1229.0040000000001</v>
      </c>
      <c r="J876">
        <f>VLOOKUP(B876,product_tbl[],5,FALSE)</f>
        <v>2048.34</v>
      </c>
      <c r="K876">
        <f>VLOOKUP(B876,review_tbl[],3,FALSE)</f>
        <v>1</v>
      </c>
      <c r="L876" s="11">
        <v>2278.8191360757191</v>
      </c>
      <c r="M876" s="11">
        <f>AVERAGEIF(Table1[product_id],Master_tbl!B876:B1877,Table1[competitor_price])</f>
        <v>4153.6075000000001</v>
      </c>
      <c r="N876" s="11">
        <f>IFERROR(Table5[[#This Row],[final_sale_price]]*Table5[[#This Row],[quantity_sold ]],0)</f>
        <v>77263.384800000014</v>
      </c>
      <c r="O876" s="11">
        <f>(Table5[[#This Row],[final_sale_price]]-Table5[[#This Row],[cost_price]])*Table5[[#This Row],[quantity_sold ]]</f>
        <v>26874.220800000003</v>
      </c>
      <c r="P876" s="11">
        <f>(Table5[final_sale_price]-Table5[[#This Row],[avg_comp_price]])</f>
        <v>-2269.1346999999996</v>
      </c>
      <c r="Q876" s="15">
        <f>(Table5[[#This Row],[final_sale_price]]-Table5[[#This Row],[avg_comp_price]])/Table5[[#This Row],[avg_comp_price]]</f>
        <v>-0.54630455573859582</v>
      </c>
      <c r="R876" s="11">
        <f>Table5[[#This Row],[Profit]]/Table5[[#This Row],[Revenue]]</f>
        <v>0.34782608695652173</v>
      </c>
    </row>
    <row r="877" spans="1:18" x14ac:dyDescent="0.2">
      <c r="A877" s="5">
        <v>876</v>
      </c>
      <c r="B877" s="5">
        <v>77</v>
      </c>
      <c r="C877" s="7">
        <v>45194</v>
      </c>
      <c r="D877" s="5">
        <v>24</v>
      </c>
      <c r="E877" s="4">
        <v>8</v>
      </c>
      <c r="F877" s="12">
        <f t="shared" si="13"/>
        <v>1845.5016000000001</v>
      </c>
      <c r="G877" t="str">
        <f>VLOOKUP(B877,product_tbl[],2,FALSE)</f>
        <v>Coffee Beans 77</v>
      </c>
      <c r="H877" t="str">
        <f>VLOOKUP(B877,product_tbl[],3,FALSE)</f>
        <v>Grocery</v>
      </c>
      <c r="I877">
        <v>1203.588</v>
      </c>
      <c r="J877">
        <f>VLOOKUP(B877,product_tbl[],5,FALSE)</f>
        <v>2005.98</v>
      </c>
      <c r="K877">
        <f>VLOOKUP(B877,review_tbl[],3,FALSE)</f>
        <v>1</v>
      </c>
      <c r="L877" s="11">
        <v>2057.3263372131546</v>
      </c>
      <c r="M877" s="11">
        <f>AVERAGEIF(Table1[product_id],Master_tbl!B877:B1878,Table1[competitor_price])</f>
        <v>4139.2699999999995</v>
      </c>
      <c r="N877" s="11">
        <f>IFERROR(Table5[[#This Row],[final_sale_price]]*Table5[[#This Row],[quantity_sold ]],0)</f>
        <v>44292.038400000005</v>
      </c>
      <c r="O877" s="11">
        <f>(Table5[[#This Row],[final_sale_price]]-Table5[[#This Row],[cost_price]])*Table5[[#This Row],[quantity_sold ]]</f>
        <v>15405.926400000002</v>
      </c>
      <c r="P877" s="11">
        <f>(Table5[final_sale_price]-Table5[[#This Row],[avg_comp_price]])</f>
        <v>-2293.7683999999995</v>
      </c>
      <c r="Q877" s="15">
        <f>(Table5[[#This Row],[final_sale_price]]-Table5[[#This Row],[avg_comp_price]])/Table5[[#This Row],[avg_comp_price]]</f>
        <v>-0.55414805026006997</v>
      </c>
      <c r="R877" s="11">
        <f>Table5[[#This Row],[Profit]]/Table5[[#This Row],[Revenue]]</f>
        <v>0.34782608695652173</v>
      </c>
    </row>
    <row r="878" spans="1:18" x14ac:dyDescent="0.2">
      <c r="A878" s="4">
        <v>877</v>
      </c>
      <c r="B878" s="4">
        <v>113</v>
      </c>
      <c r="C878" s="6">
        <v>45306</v>
      </c>
      <c r="D878" s="4">
        <v>42</v>
      </c>
      <c r="E878" s="4">
        <v>10</v>
      </c>
      <c r="F878" s="12">
        <f t="shared" si="13"/>
        <v>4346.2439999999997</v>
      </c>
      <c r="G878" t="str">
        <f>VLOOKUP(B878,product_tbl[],2,FALSE)</f>
        <v>Green Tea 113</v>
      </c>
      <c r="H878" t="str">
        <f>VLOOKUP(B878,product_tbl[],3,FALSE)</f>
        <v>Grocery</v>
      </c>
      <c r="I878">
        <v>2897.4959999999996</v>
      </c>
      <c r="J878">
        <f>VLOOKUP(B878,product_tbl[],5,FALSE)</f>
        <v>4829.16</v>
      </c>
      <c r="K878">
        <f>VLOOKUP(B878,review_tbl[],3,FALSE)</f>
        <v>1</v>
      </c>
      <c r="L878" s="11">
        <v>5789.9857238138802</v>
      </c>
      <c r="M878" s="11">
        <f>AVERAGEIF(Table1[product_id],Master_tbl!B878:B1879,Table1[competitor_price])</f>
        <v>4302.05</v>
      </c>
      <c r="N878" s="11">
        <f>IFERROR(Table5[[#This Row],[final_sale_price]]*Table5[[#This Row],[quantity_sold ]],0)</f>
        <v>182542.24799999999</v>
      </c>
      <c r="O878" s="11">
        <f>(Table5[[#This Row],[final_sale_price]]-Table5[[#This Row],[cost_price]])*Table5[[#This Row],[quantity_sold ]]</f>
        <v>60847.416000000005</v>
      </c>
      <c r="P878" s="11">
        <f>(Table5[final_sale_price]-Table5[[#This Row],[avg_comp_price]])</f>
        <v>44.193999999999505</v>
      </c>
      <c r="Q878" s="15">
        <f>(Table5[[#This Row],[final_sale_price]]-Table5[[#This Row],[avg_comp_price]])/Table5[[#This Row],[avg_comp_price]]</f>
        <v>1.0272776931927687E-2</v>
      </c>
      <c r="R878" s="11">
        <f>Table5[[#This Row],[Profit]]/Table5[[#This Row],[Revenue]]</f>
        <v>0.33333333333333337</v>
      </c>
    </row>
    <row r="879" spans="1:18" x14ac:dyDescent="0.2">
      <c r="A879" s="5">
        <v>878</v>
      </c>
      <c r="B879" s="5">
        <v>144</v>
      </c>
      <c r="C879" s="7">
        <v>45228</v>
      </c>
      <c r="D879" s="5">
        <v>42</v>
      </c>
      <c r="E879" s="4">
        <v>6</v>
      </c>
      <c r="F879" s="12">
        <f t="shared" si="13"/>
        <v>1483.5267999999999</v>
      </c>
      <c r="G879" t="str">
        <f>VLOOKUP(B879,product_tbl[],2,FALSE)</f>
        <v>Air Conditioner 144</v>
      </c>
      <c r="H879" t="str">
        <f>VLOOKUP(B879,product_tbl[],3,FALSE)</f>
        <v>Home Appliances</v>
      </c>
      <c r="I879">
        <v>946.93200000000002</v>
      </c>
      <c r="J879">
        <f>VLOOKUP(B879,product_tbl[],5,FALSE)</f>
        <v>1578.22</v>
      </c>
      <c r="K879">
        <f>VLOOKUP(B879,review_tbl[],3,FALSE)</f>
        <v>2</v>
      </c>
      <c r="L879" s="11">
        <v>1864.062907320922</v>
      </c>
      <c r="M879" s="11">
        <f>AVERAGEIF(Table1[product_id],Master_tbl!B879:B1880,Table1[competitor_price])</f>
        <v>6414.0239999999994</v>
      </c>
      <c r="N879" s="11">
        <f>IFERROR(Table5[[#This Row],[final_sale_price]]*Table5[[#This Row],[quantity_sold ]],0)</f>
        <v>62308.125599999992</v>
      </c>
      <c r="O879" s="11">
        <f>(Table5[[#This Row],[final_sale_price]]-Table5[[#This Row],[cost_price]])*Table5[[#This Row],[quantity_sold ]]</f>
        <v>22536.981599999992</v>
      </c>
      <c r="P879" s="11">
        <f>(Table5[final_sale_price]-Table5[[#This Row],[avg_comp_price]])</f>
        <v>-4930.4971999999998</v>
      </c>
      <c r="Q879" s="15">
        <f>(Table5[[#This Row],[final_sale_price]]-Table5[[#This Row],[avg_comp_price]])/Table5[[#This Row],[avg_comp_price]]</f>
        <v>-0.76870576100120613</v>
      </c>
      <c r="R879" s="11">
        <f>Table5[[#This Row],[Profit]]/Table5[[#This Row],[Revenue]]</f>
        <v>0.36170212765957438</v>
      </c>
    </row>
    <row r="880" spans="1:18" x14ac:dyDescent="0.2">
      <c r="A880" s="4">
        <v>879</v>
      </c>
      <c r="B880" s="4">
        <v>130</v>
      </c>
      <c r="C880" s="6">
        <v>45809</v>
      </c>
      <c r="D880" s="4">
        <v>27</v>
      </c>
      <c r="E880" s="4">
        <v>3</v>
      </c>
      <c r="F880" s="12">
        <f t="shared" si="13"/>
        <v>3089.9252999999999</v>
      </c>
      <c r="G880" t="str">
        <f>VLOOKUP(B880,product_tbl[],2,FALSE)</f>
        <v>Gym Gloves 130</v>
      </c>
      <c r="H880" t="str">
        <f>VLOOKUP(B880,product_tbl[],3,FALSE)</f>
        <v>Sports</v>
      </c>
      <c r="I880">
        <v>1911.2939999999999</v>
      </c>
      <c r="J880">
        <f>VLOOKUP(B880,product_tbl[],5,FALSE)</f>
        <v>3185.49</v>
      </c>
      <c r="K880">
        <f>VLOOKUP(B880,review_tbl[],3,FALSE)</f>
        <v>5</v>
      </c>
      <c r="L880" s="11">
        <v>3845.5539174522009</v>
      </c>
      <c r="M880" s="11">
        <f>AVERAGEIF(Table1[product_id],Master_tbl!B880:B1881,Table1[competitor_price])</f>
        <v>3865.1374999999998</v>
      </c>
      <c r="N880" s="11">
        <f>IFERROR(Table5[[#This Row],[final_sale_price]]*Table5[[#This Row],[quantity_sold ]],0)</f>
        <v>83427.983099999998</v>
      </c>
      <c r="O880" s="11">
        <f>(Table5[[#This Row],[final_sale_price]]-Table5[[#This Row],[cost_price]])*Table5[[#This Row],[quantity_sold ]]</f>
        <v>31823.045099999999</v>
      </c>
      <c r="P880" s="11">
        <f>(Table5[final_sale_price]-Table5[[#This Row],[avg_comp_price]])</f>
        <v>-775.21219999999994</v>
      </c>
      <c r="Q880" s="15">
        <f>(Table5[[#This Row],[final_sale_price]]-Table5[[#This Row],[avg_comp_price]])/Table5[[#This Row],[avg_comp_price]]</f>
        <v>-0.20056523215538904</v>
      </c>
      <c r="R880" s="11">
        <f>Table5[[#This Row],[Profit]]/Table5[[#This Row],[Revenue]]</f>
        <v>0.38144329896907214</v>
      </c>
    </row>
    <row r="881" spans="1:18" x14ac:dyDescent="0.2">
      <c r="A881" s="5">
        <v>880</v>
      </c>
      <c r="B881" s="5">
        <v>149</v>
      </c>
      <c r="C881" s="7">
        <v>45112</v>
      </c>
      <c r="D881" s="5">
        <v>7</v>
      </c>
      <c r="E881" s="4">
        <v>6</v>
      </c>
      <c r="F881" s="12">
        <f t="shared" si="13"/>
        <v>5760.1131999999998</v>
      </c>
      <c r="G881" t="str">
        <f>VLOOKUP(B881,product_tbl[],2,FALSE)</f>
        <v>Smartphone 149</v>
      </c>
      <c r="H881" t="str">
        <f>VLOOKUP(B881,product_tbl[],3,FALSE)</f>
        <v>Electronics</v>
      </c>
      <c r="I881">
        <v>3676.6679999999997</v>
      </c>
      <c r="J881">
        <f>VLOOKUP(B881,product_tbl[],5,FALSE)</f>
        <v>6127.78</v>
      </c>
      <c r="K881">
        <f>VLOOKUP(B881,review_tbl[],3,FALSE)</f>
        <v>4</v>
      </c>
      <c r="L881" s="11">
        <v>7710.6858879229148</v>
      </c>
      <c r="M881" s="11">
        <f>AVERAGEIF(Table1[product_id],Master_tbl!B881:B1882,Table1[competitor_price])</f>
        <v>3159.4639999999999</v>
      </c>
      <c r="N881" s="11">
        <f>IFERROR(Table5[[#This Row],[final_sale_price]]*Table5[[#This Row],[quantity_sold ]],0)</f>
        <v>40320.792399999998</v>
      </c>
      <c r="O881" s="11">
        <f>(Table5[[#This Row],[final_sale_price]]-Table5[[#This Row],[cost_price]])*Table5[[#This Row],[quantity_sold ]]</f>
        <v>14584.116400000001</v>
      </c>
      <c r="P881" s="11">
        <f>(Table5[final_sale_price]-Table5[[#This Row],[avg_comp_price]])</f>
        <v>2600.6491999999998</v>
      </c>
      <c r="Q881" s="15">
        <f>(Table5[[#This Row],[final_sale_price]]-Table5[[#This Row],[avg_comp_price]])/Table5[[#This Row],[avg_comp_price]]</f>
        <v>0.82312987266194515</v>
      </c>
      <c r="R881" s="11">
        <f>Table5[[#This Row],[Profit]]/Table5[[#This Row],[Revenue]]</f>
        <v>0.36170212765957449</v>
      </c>
    </row>
    <row r="882" spans="1:18" x14ac:dyDescent="0.2">
      <c r="A882" s="4">
        <v>881</v>
      </c>
      <c r="B882" s="4">
        <v>106</v>
      </c>
      <c r="C882" s="6">
        <v>45691</v>
      </c>
      <c r="D882" s="4">
        <v>40</v>
      </c>
      <c r="E882" s="4">
        <v>8</v>
      </c>
      <c r="F882" s="12">
        <f t="shared" si="13"/>
        <v>1319.3076000000001</v>
      </c>
      <c r="G882" t="str">
        <f>VLOOKUP(B882,product_tbl[],2,FALSE)</f>
        <v>Doll 106</v>
      </c>
      <c r="H882" t="str">
        <f>VLOOKUP(B882,product_tbl[],3,FALSE)</f>
        <v>Toys</v>
      </c>
      <c r="I882">
        <v>860.41800000000001</v>
      </c>
      <c r="J882">
        <f>VLOOKUP(B882,product_tbl[],5,FALSE)</f>
        <v>1434.03</v>
      </c>
      <c r="K882">
        <f>VLOOKUP(B882,review_tbl[],3,FALSE)</f>
        <v>2</v>
      </c>
      <c r="L882" s="11">
        <v>1797.4436345276711</v>
      </c>
      <c r="M882" s="11">
        <f>AVERAGEIF(Table1[product_id],Master_tbl!B882:B1883,Table1[competitor_price])</f>
        <v>695.38400000000001</v>
      </c>
      <c r="N882" s="11">
        <f>IFERROR(Table5[[#This Row],[final_sale_price]]*Table5[[#This Row],[quantity_sold ]],0)</f>
        <v>52772.304000000004</v>
      </c>
      <c r="O882" s="11">
        <f>(Table5[[#This Row],[final_sale_price]]-Table5[[#This Row],[cost_price]])*Table5[[#This Row],[quantity_sold ]]</f>
        <v>18355.584000000003</v>
      </c>
      <c r="P882" s="11">
        <f>(Table5[final_sale_price]-Table5[[#This Row],[avg_comp_price]])</f>
        <v>623.92360000000008</v>
      </c>
      <c r="Q882" s="15">
        <f>(Table5[[#This Row],[final_sale_price]]-Table5[[#This Row],[avg_comp_price]])/Table5[[#This Row],[avg_comp_price]]</f>
        <v>0.89723605950093765</v>
      </c>
      <c r="R882" s="11">
        <f>Table5[[#This Row],[Profit]]/Table5[[#This Row],[Revenue]]</f>
        <v>0.34782608695652178</v>
      </c>
    </row>
    <row r="883" spans="1:18" x14ac:dyDescent="0.2">
      <c r="A883" s="5">
        <v>882</v>
      </c>
      <c r="B883" s="5">
        <v>74</v>
      </c>
      <c r="C883" s="7">
        <v>45733</v>
      </c>
      <c r="D883" s="5">
        <v>31</v>
      </c>
      <c r="E883" s="4">
        <v>2</v>
      </c>
      <c r="F883" s="12">
        <f t="shared" si="13"/>
        <v>1867.1058</v>
      </c>
      <c r="G883" t="str">
        <f>VLOOKUP(B883,product_tbl[],2,FALSE)</f>
        <v>Sneakers 74</v>
      </c>
      <c r="H883" t="str">
        <f>VLOOKUP(B883,product_tbl[],3,FALSE)</f>
        <v>Fashion</v>
      </c>
      <c r="I883">
        <v>1143.126</v>
      </c>
      <c r="J883">
        <f>VLOOKUP(B883,product_tbl[],5,FALSE)</f>
        <v>1905.21</v>
      </c>
      <c r="K883">
        <f>VLOOKUP(B883,review_tbl[],3,FALSE)</f>
        <v>5</v>
      </c>
      <c r="L883" s="11">
        <v>1927.2228987142271</v>
      </c>
      <c r="M883" s="11">
        <f>AVERAGEIF(Table1[product_id],Master_tbl!B883:B1884,Table1[competitor_price])</f>
        <v>2585.9039999999995</v>
      </c>
      <c r="N883" s="11">
        <f>IFERROR(Table5[[#This Row],[final_sale_price]]*Table5[[#This Row],[quantity_sold ]],0)</f>
        <v>57880.279800000004</v>
      </c>
      <c r="O883" s="11">
        <f>(Table5[[#This Row],[final_sale_price]]-Table5[[#This Row],[cost_price]])*Table5[[#This Row],[quantity_sold ]]</f>
        <v>22443.373800000001</v>
      </c>
      <c r="P883" s="11">
        <f>(Table5[final_sale_price]-Table5[[#This Row],[avg_comp_price]])</f>
        <v>-718.7981999999995</v>
      </c>
      <c r="Q883" s="15">
        <f>(Table5[[#This Row],[final_sale_price]]-Table5[[#This Row],[avg_comp_price]])/Table5[[#This Row],[avg_comp_price]]</f>
        <v>-0.27796785959571568</v>
      </c>
      <c r="R883" s="11">
        <f>Table5[[#This Row],[Profit]]/Table5[[#This Row],[Revenue]]</f>
        <v>0.38775510204081631</v>
      </c>
    </row>
    <row r="884" spans="1:18" x14ac:dyDescent="0.2">
      <c r="A884" s="4">
        <v>883</v>
      </c>
      <c r="B884" s="4">
        <v>33</v>
      </c>
      <c r="C884" s="6">
        <v>45816</v>
      </c>
      <c r="D884" s="4">
        <v>7</v>
      </c>
      <c r="E884" s="4">
        <v>9</v>
      </c>
      <c r="F884" s="12">
        <f t="shared" si="13"/>
        <v>4598.2209000000003</v>
      </c>
      <c r="G884" t="str">
        <f>VLOOKUP(B884,product_tbl[],2,FALSE)</f>
        <v>Washing Machine 33</v>
      </c>
      <c r="H884" t="str">
        <f>VLOOKUP(B884,product_tbl[],3,FALSE)</f>
        <v>Home Appliances</v>
      </c>
      <c r="I884">
        <v>3031.7939999999999</v>
      </c>
      <c r="J884">
        <f>VLOOKUP(B884,product_tbl[],5,FALSE)</f>
        <v>5052.99</v>
      </c>
      <c r="K884">
        <f>VLOOKUP(B884,review_tbl[],3,FALSE)</f>
        <v>3</v>
      </c>
      <c r="L884" s="11">
        <v>5054.743160978881</v>
      </c>
      <c r="M884" s="11">
        <f>AVERAGEIF(Table1[product_id],Master_tbl!B884:B1885,Table1[competitor_price])</f>
        <v>2776.7875000000004</v>
      </c>
      <c r="N884" s="11">
        <f>IFERROR(Table5[[#This Row],[final_sale_price]]*Table5[[#This Row],[quantity_sold ]],0)</f>
        <v>32187.546300000002</v>
      </c>
      <c r="O884" s="11">
        <f>(Table5[[#This Row],[final_sale_price]]-Table5[[#This Row],[cost_price]])*Table5[[#This Row],[quantity_sold ]]</f>
        <v>10964.988300000003</v>
      </c>
      <c r="P884" s="11">
        <f>(Table5[final_sale_price]-Table5[[#This Row],[avg_comp_price]])</f>
        <v>1821.4333999999999</v>
      </c>
      <c r="Q884" s="15">
        <f>(Table5[[#This Row],[final_sale_price]]-Table5[[#This Row],[avg_comp_price]])/Table5[[#This Row],[avg_comp_price]]</f>
        <v>0.65594987012870076</v>
      </c>
      <c r="R884" s="11">
        <f>Table5[[#This Row],[Profit]]/Table5[[#This Row],[Revenue]]</f>
        <v>0.34065934065934073</v>
      </c>
    </row>
    <row r="885" spans="1:18" x14ac:dyDescent="0.2">
      <c r="A885" s="5">
        <v>884</v>
      </c>
      <c r="B885" s="5">
        <v>28</v>
      </c>
      <c r="C885" s="7">
        <v>45462</v>
      </c>
      <c r="D885" s="5">
        <v>42</v>
      </c>
      <c r="E885" s="4">
        <v>7</v>
      </c>
      <c r="F885" s="12">
        <f t="shared" si="13"/>
        <v>5316.4565999999995</v>
      </c>
      <c r="G885" t="str">
        <f>VLOOKUP(B885,product_tbl[],2,FALSE)</f>
        <v>Water Purifier 28</v>
      </c>
      <c r="H885" t="str">
        <f>VLOOKUP(B885,product_tbl[],3,FALSE)</f>
        <v>Home Appliances</v>
      </c>
      <c r="I885">
        <v>3429.9719999999998</v>
      </c>
      <c r="J885">
        <f>VLOOKUP(B885,product_tbl[],5,FALSE)</f>
        <v>5716.62</v>
      </c>
      <c r="K885">
        <f>VLOOKUP(B885,review_tbl[],3,FALSE)</f>
        <v>5</v>
      </c>
      <c r="L885" s="11">
        <v>6569.2413149808863</v>
      </c>
      <c r="M885" s="11">
        <f>AVERAGEIF(Table1[product_id],Master_tbl!B885:B1886,Table1[competitor_price])</f>
        <v>3542.9559999999997</v>
      </c>
      <c r="N885" s="11">
        <f>IFERROR(Table5[[#This Row],[final_sale_price]]*Table5[[#This Row],[quantity_sold ]],0)</f>
        <v>223291.17719999998</v>
      </c>
      <c r="O885" s="11">
        <f>(Table5[[#This Row],[final_sale_price]]-Table5[[#This Row],[cost_price]])*Table5[[#This Row],[quantity_sold ]]</f>
        <v>79232.353199999983</v>
      </c>
      <c r="P885" s="11">
        <f>(Table5[final_sale_price]-Table5[[#This Row],[avg_comp_price]])</f>
        <v>1773.5005999999998</v>
      </c>
      <c r="Q885" s="15">
        <f>(Table5[[#This Row],[final_sale_price]]-Table5[[#This Row],[avg_comp_price]])/Table5[[#This Row],[avg_comp_price]]</f>
        <v>0.50057087923191823</v>
      </c>
      <c r="R885" s="11">
        <f>Table5[[#This Row],[Profit]]/Table5[[#This Row],[Revenue]]</f>
        <v>0.35483870967741932</v>
      </c>
    </row>
    <row r="886" spans="1:18" x14ac:dyDescent="0.2">
      <c r="A886" s="4">
        <v>885</v>
      </c>
      <c r="B886" s="4">
        <v>141</v>
      </c>
      <c r="C886" s="6">
        <v>45637</v>
      </c>
      <c r="D886" s="4">
        <v>29</v>
      </c>
      <c r="E886" s="4">
        <v>2</v>
      </c>
      <c r="F886" s="12">
        <f t="shared" si="13"/>
        <v>7707.8861999999999</v>
      </c>
      <c r="G886" t="str">
        <f>VLOOKUP(B886,product_tbl[],2,FALSE)</f>
        <v>Puzzle Set 141</v>
      </c>
      <c r="H886" t="str">
        <f>VLOOKUP(B886,product_tbl[],3,FALSE)</f>
        <v>Toys</v>
      </c>
      <c r="I886">
        <v>4719.1139999999996</v>
      </c>
      <c r="J886">
        <f>VLOOKUP(B886,product_tbl[],5,FALSE)</f>
        <v>7865.19</v>
      </c>
      <c r="K886">
        <f>VLOOKUP(B886,review_tbl[],3,FALSE)</f>
        <v>5</v>
      </c>
      <c r="L886" s="11">
        <v>8144.9338457868271</v>
      </c>
      <c r="M886" s="11">
        <f>AVERAGEIF(Table1[product_id],Master_tbl!B886:B1887,Table1[competitor_price])</f>
        <v>7586.8133333333344</v>
      </c>
      <c r="N886" s="11">
        <f>IFERROR(Table5[[#This Row],[final_sale_price]]*Table5[[#This Row],[quantity_sold ]],0)</f>
        <v>223528.6998</v>
      </c>
      <c r="O886" s="11">
        <f>(Table5[[#This Row],[final_sale_price]]-Table5[[#This Row],[cost_price]])*Table5[[#This Row],[quantity_sold ]]</f>
        <v>86674.393800000005</v>
      </c>
      <c r="P886" s="11">
        <f>(Table5[final_sale_price]-Table5[[#This Row],[avg_comp_price]])</f>
        <v>121.0728666666655</v>
      </c>
      <c r="Q886" s="15">
        <f>(Table5[[#This Row],[final_sale_price]]-Table5[[#This Row],[avg_comp_price]])/Table5[[#This Row],[avg_comp_price]]</f>
        <v>1.5958329452330292E-2</v>
      </c>
      <c r="R886" s="11">
        <f>Table5[[#This Row],[Profit]]/Table5[[#This Row],[Revenue]]</f>
        <v>0.38775510204081637</v>
      </c>
    </row>
    <row r="887" spans="1:18" x14ac:dyDescent="0.2">
      <c r="A887" s="5">
        <v>886</v>
      </c>
      <c r="B887" s="5">
        <v>120</v>
      </c>
      <c r="C887" s="7">
        <v>45767</v>
      </c>
      <c r="D887" s="5">
        <v>40</v>
      </c>
      <c r="E887" s="4">
        <v>5</v>
      </c>
      <c r="F887" s="12">
        <f t="shared" si="13"/>
        <v>1877.7699999999998</v>
      </c>
      <c r="G887" t="str">
        <f>VLOOKUP(B887,product_tbl[],2,FALSE)</f>
        <v>Vacuum Cleaner 120</v>
      </c>
      <c r="H887" t="str">
        <f>VLOOKUP(B887,product_tbl[],3,FALSE)</f>
        <v>Home Appliances</v>
      </c>
      <c r="I887">
        <v>1185.9599999999998</v>
      </c>
      <c r="J887">
        <f>VLOOKUP(B887,product_tbl[],5,FALSE)</f>
        <v>1976.6</v>
      </c>
      <c r="K887">
        <f>VLOOKUP(B887,review_tbl[],3,FALSE)</f>
        <v>2</v>
      </c>
      <c r="L887" s="11">
        <v>2389.2874141985685</v>
      </c>
      <c r="M887" s="11">
        <f>AVERAGEIF(Table1[product_id],Master_tbl!B887:B1888,Table1[competitor_price])</f>
        <v>1688.8574999999998</v>
      </c>
      <c r="N887" s="11">
        <f>IFERROR(Table5[[#This Row],[final_sale_price]]*Table5[[#This Row],[quantity_sold ]],0)</f>
        <v>75110.799999999988</v>
      </c>
      <c r="O887" s="11">
        <f>(Table5[[#This Row],[final_sale_price]]-Table5[[#This Row],[cost_price]])*Table5[[#This Row],[quantity_sold ]]</f>
        <v>27672.399999999998</v>
      </c>
      <c r="P887" s="11">
        <f>(Table5[final_sale_price]-Table5[[#This Row],[avg_comp_price]])</f>
        <v>188.91249999999991</v>
      </c>
      <c r="Q887" s="15">
        <f>(Table5[[#This Row],[final_sale_price]]-Table5[[#This Row],[avg_comp_price]])/Table5[[#This Row],[avg_comp_price]]</f>
        <v>0.11185816446917513</v>
      </c>
      <c r="R887" s="11">
        <f>Table5[[#This Row],[Profit]]/Table5[[#This Row],[Revenue]]</f>
        <v>0.36842105263157898</v>
      </c>
    </row>
    <row r="888" spans="1:18" x14ac:dyDescent="0.2">
      <c r="A888" s="4">
        <v>887</v>
      </c>
      <c r="B888" s="4">
        <v>86</v>
      </c>
      <c r="C888" s="6">
        <v>45332</v>
      </c>
      <c r="D888" s="4">
        <v>5</v>
      </c>
      <c r="E888" s="4">
        <v>10</v>
      </c>
      <c r="F888" s="12">
        <f t="shared" si="13"/>
        <v>2810.6190000000001</v>
      </c>
      <c r="G888" t="str">
        <f>VLOOKUP(B888,product_tbl[],2,FALSE)</f>
        <v>Building Blocks 86</v>
      </c>
      <c r="H888" t="str">
        <f>VLOOKUP(B888,product_tbl[],3,FALSE)</f>
        <v>Toys</v>
      </c>
      <c r="I888">
        <v>1873.7459999999999</v>
      </c>
      <c r="J888">
        <f>VLOOKUP(B888,product_tbl[],5,FALSE)</f>
        <v>3122.91</v>
      </c>
      <c r="K888">
        <f>VLOOKUP(B888,review_tbl[],3,FALSE)</f>
        <v>4</v>
      </c>
      <c r="L888" s="11">
        <v>3600.4219751485216</v>
      </c>
      <c r="M888" s="11">
        <f>AVERAGEIF(Table1[product_id],Master_tbl!B888:B1889,Table1[competitor_price])</f>
        <v>2919.076</v>
      </c>
      <c r="N888" s="11">
        <f>IFERROR(Table5[[#This Row],[final_sale_price]]*Table5[[#This Row],[quantity_sold ]],0)</f>
        <v>14053.095000000001</v>
      </c>
      <c r="O888" s="11">
        <f>(Table5[[#This Row],[final_sale_price]]-Table5[[#This Row],[cost_price]])*Table5[[#This Row],[quantity_sold ]]</f>
        <v>4684.3650000000016</v>
      </c>
      <c r="P888" s="11">
        <f>(Table5[final_sale_price]-Table5[[#This Row],[avg_comp_price]])</f>
        <v>-108.45699999999988</v>
      </c>
      <c r="Q888" s="15">
        <f>(Table5[[#This Row],[final_sale_price]]-Table5[[#This Row],[avg_comp_price]])/Table5[[#This Row],[avg_comp_price]]</f>
        <v>-3.7154565348761007E-2</v>
      </c>
      <c r="R888" s="11">
        <f>Table5[[#This Row],[Profit]]/Table5[[#This Row],[Revenue]]</f>
        <v>0.33333333333333343</v>
      </c>
    </row>
    <row r="889" spans="1:18" x14ac:dyDescent="0.2">
      <c r="A889" s="5">
        <v>888</v>
      </c>
      <c r="B889" s="5">
        <v>49</v>
      </c>
      <c r="C889" s="7">
        <v>45274</v>
      </c>
      <c r="D889" s="5">
        <v>42</v>
      </c>
      <c r="E889" s="4">
        <v>6</v>
      </c>
      <c r="F889" s="12">
        <f t="shared" si="13"/>
        <v>3164.3595999999998</v>
      </c>
      <c r="G889" t="str">
        <f>VLOOKUP(B889,product_tbl[],2,FALSE)</f>
        <v>Foundation 49</v>
      </c>
      <c r="H889" t="str">
        <f>VLOOKUP(B889,product_tbl[],3,FALSE)</f>
        <v>Beauty</v>
      </c>
      <c r="I889">
        <v>2019.8040000000001</v>
      </c>
      <c r="J889">
        <f>VLOOKUP(B889,product_tbl[],5,FALSE)</f>
        <v>3366.34</v>
      </c>
      <c r="K889">
        <f>VLOOKUP(B889,review_tbl[],3,FALSE)</f>
        <v>4</v>
      </c>
      <c r="L889" s="11">
        <v>3546.4795520392563</v>
      </c>
      <c r="M889" s="11">
        <f>AVERAGEIF(Table1[product_id],Master_tbl!B889:B1890,Table1[competitor_price])</f>
        <v>1635.5425</v>
      </c>
      <c r="N889" s="11">
        <f>IFERROR(Table5[[#This Row],[final_sale_price]]*Table5[[#This Row],[quantity_sold ]],0)</f>
        <v>132903.10319999998</v>
      </c>
      <c r="O889" s="11">
        <f>(Table5[[#This Row],[final_sale_price]]-Table5[[#This Row],[cost_price]])*Table5[[#This Row],[quantity_sold ]]</f>
        <v>48071.335199999987</v>
      </c>
      <c r="P889" s="11">
        <f>(Table5[final_sale_price]-Table5[[#This Row],[avg_comp_price]])</f>
        <v>1528.8170999999998</v>
      </c>
      <c r="Q889" s="15">
        <f>(Table5[[#This Row],[final_sale_price]]-Table5[[#This Row],[avg_comp_price]])/Table5[[#This Row],[avg_comp_price]]</f>
        <v>0.93474617749156608</v>
      </c>
      <c r="R889" s="11">
        <f>Table5[[#This Row],[Profit]]/Table5[[#This Row],[Revenue]]</f>
        <v>0.36170212765957444</v>
      </c>
    </row>
    <row r="890" spans="1:18" x14ac:dyDescent="0.2">
      <c r="A890" s="4">
        <v>889</v>
      </c>
      <c r="B890" s="4">
        <v>141</v>
      </c>
      <c r="C890" s="6">
        <v>45308</v>
      </c>
      <c r="D890" s="4">
        <v>43</v>
      </c>
      <c r="E890" s="4">
        <v>4</v>
      </c>
      <c r="F890" s="12">
        <f t="shared" si="13"/>
        <v>7550.5823999999993</v>
      </c>
      <c r="G890" t="str">
        <f>VLOOKUP(B890,product_tbl[],2,FALSE)</f>
        <v>Puzzle Set 141</v>
      </c>
      <c r="H890" t="str">
        <f>VLOOKUP(B890,product_tbl[],3,FALSE)</f>
        <v>Toys</v>
      </c>
      <c r="I890">
        <v>4719.1139999999996</v>
      </c>
      <c r="J890">
        <f>VLOOKUP(B890,product_tbl[],5,FALSE)</f>
        <v>7865.19</v>
      </c>
      <c r="K890">
        <f>VLOOKUP(B890,review_tbl[],3,FALSE)</f>
        <v>5</v>
      </c>
      <c r="L890" s="11">
        <v>9233.7572575516788</v>
      </c>
      <c r="M890" s="11">
        <f>AVERAGEIF(Table1[product_id],Master_tbl!B890:B1891,Table1[competitor_price])</f>
        <v>7586.8133333333344</v>
      </c>
      <c r="N890" s="11">
        <f>IFERROR(Table5[[#This Row],[final_sale_price]]*Table5[[#This Row],[quantity_sold ]],0)</f>
        <v>324675.04319999996</v>
      </c>
      <c r="O890" s="11">
        <f>(Table5[[#This Row],[final_sale_price]]-Table5[[#This Row],[cost_price]])*Table5[[#This Row],[quantity_sold ]]</f>
        <v>121753.14119999998</v>
      </c>
      <c r="P890" s="11">
        <f>(Table5[final_sale_price]-Table5[[#This Row],[avg_comp_price]])</f>
        <v>-36.230933333335088</v>
      </c>
      <c r="Q890" s="15">
        <f>(Table5[[#This Row],[final_sale_price]]-Table5[[#This Row],[avg_comp_price]])/Table5[[#This Row],[avg_comp_price]]</f>
        <v>-4.7755140058806092E-3</v>
      </c>
      <c r="R890" s="11">
        <f>Table5[[#This Row],[Profit]]/Table5[[#This Row],[Revenue]]</f>
        <v>0.375</v>
      </c>
    </row>
    <row r="891" spans="1:18" x14ac:dyDescent="0.2">
      <c r="A891" s="5">
        <v>890</v>
      </c>
      <c r="B891" s="5">
        <v>139</v>
      </c>
      <c r="C891" s="7">
        <v>45094</v>
      </c>
      <c r="D891" s="5">
        <v>7</v>
      </c>
      <c r="E891" s="4">
        <v>5</v>
      </c>
      <c r="F891" s="12">
        <f t="shared" si="13"/>
        <v>2461.5259999999998</v>
      </c>
      <c r="G891" t="str">
        <f>VLOOKUP(B891,product_tbl[],2,FALSE)</f>
        <v>Jacket 139</v>
      </c>
      <c r="H891" t="str">
        <f>VLOOKUP(B891,product_tbl[],3,FALSE)</f>
        <v>Fashion</v>
      </c>
      <c r="I891">
        <v>1554.6479999999999</v>
      </c>
      <c r="J891">
        <f>VLOOKUP(B891,product_tbl[],5,FALSE)</f>
        <v>2591.08</v>
      </c>
      <c r="K891">
        <f>VLOOKUP(B891,review_tbl[],3,FALSE)</f>
        <v>5</v>
      </c>
      <c r="L891" s="11">
        <v>2645.724842084117</v>
      </c>
      <c r="M891" s="11">
        <f>AVERAGEIF(Table1[product_id],Master_tbl!B891:B1892,Table1[competitor_price])</f>
        <v>2839.1733333333336</v>
      </c>
      <c r="N891" s="11">
        <f>IFERROR(Table5[[#This Row],[final_sale_price]]*Table5[[#This Row],[quantity_sold ]],0)</f>
        <v>17230.682000000001</v>
      </c>
      <c r="O891" s="11">
        <f>(Table5[[#This Row],[final_sale_price]]-Table5[[#This Row],[cost_price]])*Table5[[#This Row],[quantity_sold ]]</f>
        <v>6348.1459999999997</v>
      </c>
      <c r="P891" s="11">
        <f>(Table5[final_sale_price]-Table5[[#This Row],[avg_comp_price]])</f>
        <v>-377.64733333333379</v>
      </c>
      <c r="Q891" s="15">
        <f>(Table5[[#This Row],[final_sale_price]]-Table5[[#This Row],[avg_comp_price]])/Table5[[#This Row],[avg_comp_price]]</f>
        <v>-0.13301313058261105</v>
      </c>
      <c r="R891" s="11">
        <f>Table5[[#This Row],[Profit]]/Table5[[#This Row],[Revenue]]</f>
        <v>0.36842105263157893</v>
      </c>
    </row>
    <row r="892" spans="1:18" x14ac:dyDescent="0.2">
      <c r="A892" s="4">
        <v>891</v>
      </c>
      <c r="B892" s="4">
        <v>56</v>
      </c>
      <c r="C892" s="6">
        <v>45480</v>
      </c>
      <c r="D892" s="4">
        <v>34</v>
      </c>
      <c r="E892" s="4">
        <v>10</v>
      </c>
      <c r="F892" s="12">
        <f t="shared" si="13"/>
        <v>7183.62</v>
      </c>
      <c r="G892" t="str">
        <f>VLOOKUP(B892,product_tbl[],2,FALSE)</f>
        <v>Smartwatch 56</v>
      </c>
      <c r="H892" t="str">
        <f>VLOOKUP(B892,product_tbl[],3,FALSE)</f>
        <v>Electronics</v>
      </c>
      <c r="I892">
        <v>4789.08</v>
      </c>
      <c r="J892">
        <f>VLOOKUP(B892,product_tbl[],5,FALSE)</f>
        <v>7981.8</v>
      </c>
      <c r="K892">
        <f>VLOOKUP(B892,review_tbl[],3,FALSE)</f>
        <v>5</v>
      </c>
      <c r="L892" s="11">
        <v>9733.0245037722252</v>
      </c>
      <c r="M892" s="11">
        <f>AVERAGEIF(Table1[product_id],Master_tbl!B892:B1893,Table1[competitor_price])</f>
        <v>3458.9274999999998</v>
      </c>
      <c r="N892" s="11">
        <f>IFERROR(Table5[[#This Row],[final_sale_price]]*Table5[[#This Row],[quantity_sold ]],0)</f>
        <v>244243.08</v>
      </c>
      <c r="O892" s="11">
        <f>(Table5[[#This Row],[final_sale_price]]-Table5[[#This Row],[cost_price]])*Table5[[#This Row],[quantity_sold ]]</f>
        <v>81414.36</v>
      </c>
      <c r="P892" s="11">
        <f>(Table5[final_sale_price]-Table5[[#This Row],[avg_comp_price]])</f>
        <v>3724.6925000000001</v>
      </c>
      <c r="Q892" s="15">
        <f>(Table5[[#This Row],[final_sale_price]]-Table5[[#This Row],[avg_comp_price]])/Table5[[#This Row],[avg_comp_price]]</f>
        <v>1.076834510119105</v>
      </c>
      <c r="R892" s="11">
        <f>Table5[[#This Row],[Profit]]/Table5[[#This Row],[Revenue]]</f>
        <v>0.33333333333333337</v>
      </c>
    </row>
    <row r="893" spans="1:18" x14ac:dyDescent="0.2">
      <c r="A893" s="5">
        <v>892</v>
      </c>
      <c r="B893" s="5">
        <v>15</v>
      </c>
      <c r="C893" s="7">
        <v>45297</v>
      </c>
      <c r="D893" s="5">
        <v>18</v>
      </c>
      <c r="E893" s="4">
        <v>4</v>
      </c>
      <c r="F893" s="12">
        <f t="shared" si="13"/>
        <v>4647.8207999999995</v>
      </c>
      <c r="G893" t="str">
        <f>VLOOKUP(B893,product_tbl[],2,FALSE)</f>
        <v>Tennis Racket 15</v>
      </c>
      <c r="H893" t="str">
        <f>VLOOKUP(B893,product_tbl[],3,FALSE)</f>
        <v>Sports</v>
      </c>
      <c r="I893">
        <v>2904.8879999999995</v>
      </c>
      <c r="J893">
        <f>VLOOKUP(B893,product_tbl[],5,FALSE)</f>
        <v>4841.4799999999996</v>
      </c>
      <c r="K893">
        <f>VLOOKUP(B893,review_tbl[],3,FALSE)</f>
        <v>4</v>
      </c>
      <c r="L893" s="11">
        <v>6186.209379076342</v>
      </c>
      <c r="M893" s="11">
        <f>AVERAGEIF(Table1[product_id],Master_tbl!B893:B1894,Table1[competitor_price])</f>
        <v>5242.3433333333332</v>
      </c>
      <c r="N893" s="11">
        <f>IFERROR(Table5[[#This Row],[final_sale_price]]*Table5[[#This Row],[quantity_sold ]],0)</f>
        <v>83660.774399999995</v>
      </c>
      <c r="O893" s="11">
        <f>(Table5[[#This Row],[final_sale_price]]-Table5[[#This Row],[cost_price]])*Table5[[#This Row],[quantity_sold ]]</f>
        <v>31372.790400000002</v>
      </c>
      <c r="P893" s="11">
        <f>(Table5[final_sale_price]-Table5[[#This Row],[avg_comp_price]])</f>
        <v>-594.52253333333374</v>
      </c>
      <c r="Q893" s="15">
        <f>(Table5[[#This Row],[final_sale_price]]-Table5[[#This Row],[avg_comp_price]])/Table5[[#This Row],[avg_comp_price]]</f>
        <v>-0.11340778265190575</v>
      </c>
      <c r="R893" s="11">
        <f>Table5[[#This Row],[Profit]]/Table5[[#This Row],[Revenue]]</f>
        <v>0.37500000000000006</v>
      </c>
    </row>
    <row r="894" spans="1:18" x14ac:dyDescent="0.2">
      <c r="A894" s="4">
        <v>893</v>
      </c>
      <c r="B894" s="4">
        <v>107</v>
      </c>
      <c r="C894" s="6">
        <v>45257</v>
      </c>
      <c r="D894" s="4">
        <v>13</v>
      </c>
      <c r="E894" s="4">
        <v>2</v>
      </c>
      <c r="F894" s="12">
        <f t="shared" si="13"/>
        <v>1536.5420000000001</v>
      </c>
      <c r="G894" t="str">
        <f>VLOOKUP(B894,product_tbl[],2,FALSE)</f>
        <v>Face Wash 107</v>
      </c>
      <c r="H894" t="str">
        <f>VLOOKUP(B894,product_tbl[],3,FALSE)</f>
        <v>Beauty</v>
      </c>
      <c r="I894">
        <v>940.74</v>
      </c>
      <c r="J894">
        <f>VLOOKUP(B894,product_tbl[],5,FALSE)</f>
        <v>1567.9</v>
      </c>
      <c r="K894">
        <f>VLOOKUP(B894,review_tbl[],3,FALSE)</f>
        <v>2</v>
      </c>
      <c r="L894" s="11">
        <v>1751.6595852910334</v>
      </c>
      <c r="M894" s="11">
        <f>AVERAGEIF(Table1[product_id],Master_tbl!B894:B1895,Table1[competitor_price])</f>
        <v>979.96</v>
      </c>
      <c r="N894" s="11">
        <f>IFERROR(Table5[[#This Row],[final_sale_price]]*Table5[[#This Row],[quantity_sold ]],0)</f>
        <v>19975.046000000002</v>
      </c>
      <c r="O894" s="11">
        <f>(Table5[[#This Row],[final_sale_price]]-Table5[[#This Row],[cost_price]])*Table5[[#This Row],[quantity_sold ]]</f>
        <v>7745.4260000000013</v>
      </c>
      <c r="P894" s="11">
        <f>(Table5[final_sale_price]-Table5[[#This Row],[avg_comp_price]])</f>
        <v>556.58200000000011</v>
      </c>
      <c r="Q894" s="15">
        <f>(Table5[[#This Row],[final_sale_price]]-Table5[[#This Row],[avg_comp_price]])/Table5[[#This Row],[avg_comp_price]]</f>
        <v>0.56796399853055235</v>
      </c>
      <c r="R894" s="11">
        <f>Table5[[#This Row],[Profit]]/Table5[[#This Row],[Revenue]]</f>
        <v>0.38775510204081637</v>
      </c>
    </row>
    <row r="895" spans="1:18" x14ac:dyDescent="0.2">
      <c r="A895" s="5">
        <v>894</v>
      </c>
      <c r="B895" s="5">
        <v>127</v>
      </c>
      <c r="C895" s="7">
        <v>44951</v>
      </c>
      <c r="D895" s="5">
        <v>46</v>
      </c>
      <c r="E895" s="4">
        <v>5</v>
      </c>
      <c r="F895" s="12">
        <f t="shared" si="13"/>
        <v>5216.0320000000002</v>
      </c>
      <c r="G895" t="str">
        <f>VLOOKUP(B895,product_tbl[],2,FALSE)</f>
        <v>Gym Gloves 127</v>
      </c>
      <c r="H895" t="str">
        <f>VLOOKUP(B895,product_tbl[],3,FALSE)</f>
        <v>Sports</v>
      </c>
      <c r="I895">
        <v>3294.3360000000002</v>
      </c>
      <c r="J895">
        <f>VLOOKUP(B895,product_tbl[],5,FALSE)</f>
        <v>5490.56</v>
      </c>
      <c r="K895">
        <f>VLOOKUP(B895,review_tbl[],3,FALSE)</f>
        <v>1</v>
      </c>
      <c r="L895" s="11">
        <v>5971.1069464271814</v>
      </c>
      <c r="M895" s="11">
        <f>AVERAGEIF(Table1[product_id],Master_tbl!B895:B1896,Table1[competitor_price])</f>
        <v>5984.333333333333</v>
      </c>
      <c r="N895" s="11">
        <f>IFERROR(Table5[[#This Row],[final_sale_price]]*Table5[[#This Row],[quantity_sold ]],0)</f>
        <v>239937.47200000001</v>
      </c>
      <c r="O895" s="11">
        <f>(Table5[[#This Row],[final_sale_price]]-Table5[[#This Row],[cost_price]])*Table5[[#This Row],[quantity_sold ]]</f>
        <v>88398.016000000003</v>
      </c>
      <c r="P895" s="11">
        <f>(Table5[final_sale_price]-Table5[[#This Row],[avg_comp_price]])</f>
        <v>-768.30133333333288</v>
      </c>
      <c r="Q895" s="15">
        <f>(Table5[[#This Row],[final_sale_price]]-Table5[[#This Row],[avg_comp_price]])/Table5[[#This Row],[avg_comp_price]]</f>
        <v>-0.12838545089957104</v>
      </c>
      <c r="R895" s="11">
        <f>Table5[[#This Row],[Profit]]/Table5[[#This Row],[Revenue]]</f>
        <v>0.36842105263157893</v>
      </c>
    </row>
    <row r="896" spans="1:18" x14ac:dyDescent="0.2">
      <c r="A896" s="4">
        <v>895</v>
      </c>
      <c r="B896" s="4">
        <v>141</v>
      </c>
      <c r="C896" s="6">
        <v>45064</v>
      </c>
      <c r="D896" s="4">
        <v>7</v>
      </c>
      <c r="E896" s="4">
        <v>3</v>
      </c>
      <c r="F896" s="12">
        <f t="shared" si="13"/>
        <v>7629.2342999999992</v>
      </c>
      <c r="G896" t="str">
        <f>VLOOKUP(B896,product_tbl[],2,FALSE)</f>
        <v>Puzzle Set 141</v>
      </c>
      <c r="H896" t="str">
        <f>VLOOKUP(B896,product_tbl[],3,FALSE)</f>
        <v>Toys</v>
      </c>
      <c r="I896">
        <v>4719.1139999999996</v>
      </c>
      <c r="J896">
        <f>VLOOKUP(B896,product_tbl[],5,FALSE)</f>
        <v>7865.19</v>
      </c>
      <c r="K896">
        <f>VLOOKUP(B896,review_tbl[],3,FALSE)</f>
        <v>5</v>
      </c>
      <c r="L896" s="11">
        <v>7903.7083270331168</v>
      </c>
      <c r="M896" s="11">
        <f>AVERAGEIF(Table1[product_id],Master_tbl!B896:B1897,Table1[competitor_price])</f>
        <v>7586.8133333333344</v>
      </c>
      <c r="N896" s="11">
        <f>IFERROR(Table5[[#This Row],[final_sale_price]]*Table5[[#This Row],[quantity_sold ]],0)</f>
        <v>53404.640099999997</v>
      </c>
      <c r="O896" s="11">
        <f>(Table5[[#This Row],[final_sale_price]]-Table5[[#This Row],[cost_price]])*Table5[[#This Row],[quantity_sold ]]</f>
        <v>20370.842099999998</v>
      </c>
      <c r="P896" s="11">
        <f>(Table5[final_sale_price]-Table5[[#This Row],[avg_comp_price]])</f>
        <v>42.420966666664754</v>
      </c>
      <c r="Q896" s="15">
        <f>(Table5[[#This Row],[final_sale_price]]-Table5[[#This Row],[avg_comp_price]])/Table5[[#This Row],[avg_comp_price]]</f>
        <v>5.5914077232247818E-3</v>
      </c>
      <c r="R896" s="11">
        <f>Table5[[#This Row],[Profit]]/Table5[[#This Row],[Revenue]]</f>
        <v>0.38144329896907214</v>
      </c>
    </row>
    <row r="897" spans="1:18" x14ac:dyDescent="0.2">
      <c r="A897" s="5">
        <v>896</v>
      </c>
      <c r="B897" s="5">
        <v>107</v>
      </c>
      <c r="C897" s="7">
        <v>45363</v>
      </c>
      <c r="D897" s="5">
        <v>33</v>
      </c>
      <c r="E897" s="4">
        <v>3</v>
      </c>
      <c r="F897" s="12">
        <f t="shared" si="13"/>
        <v>1520.8630000000001</v>
      </c>
      <c r="G897" t="str">
        <f>VLOOKUP(B897,product_tbl[],2,FALSE)</f>
        <v>Face Wash 107</v>
      </c>
      <c r="H897" t="str">
        <f>VLOOKUP(B897,product_tbl[],3,FALSE)</f>
        <v>Beauty</v>
      </c>
      <c r="I897">
        <v>940.74</v>
      </c>
      <c r="J897">
        <f>VLOOKUP(B897,product_tbl[],5,FALSE)</f>
        <v>1567.9</v>
      </c>
      <c r="K897">
        <f>VLOOKUP(B897,review_tbl[],3,FALSE)</f>
        <v>2</v>
      </c>
      <c r="L897" s="11">
        <v>1856.8230122422267</v>
      </c>
      <c r="M897" s="11">
        <f>AVERAGEIF(Table1[product_id],Master_tbl!B897:B1898,Table1[competitor_price])</f>
        <v>979.96</v>
      </c>
      <c r="N897" s="11">
        <f>IFERROR(Table5[[#This Row],[final_sale_price]]*Table5[[#This Row],[quantity_sold ]],0)</f>
        <v>50188.478999999999</v>
      </c>
      <c r="O897" s="11">
        <f>(Table5[[#This Row],[final_sale_price]]-Table5[[#This Row],[cost_price]])*Table5[[#This Row],[quantity_sold ]]</f>
        <v>19144.059000000001</v>
      </c>
      <c r="P897" s="11">
        <f>(Table5[final_sale_price]-Table5[[#This Row],[avg_comp_price]])</f>
        <v>540.90300000000002</v>
      </c>
      <c r="Q897" s="15">
        <f>(Table5[[#This Row],[final_sale_price]]-Table5[[#This Row],[avg_comp_price]])/Table5[[#This Row],[avg_comp_price]]</f>
        <v>0.55196436589248543</v>
      </c>
      <c r="R897" s="11">
        <f>Table5[[#This Row],[Profit]]/Table5[[#This Row],[Revenue]]</f>
        <v>0.3814432989690722</v>
      </c>
    </row>
    <row r="898" spans="1:18" x14ac:dyDescent="0.2">
      <c r="A898" s="4">
        <v>897</v>
      </c>
      <c r="B898" s="4">
        <v>98</v>
      </c>
      <c r="C898" s="6">
        <v>45545</v>
      </c>
      <c r="D898" s="4">
        <v>31</v>
      </c>
      <c r="E898" s="4">
        <v>3</v>
      </c>
      <c r="F898" s="12">
        <f t="shared" ref="F898:F961" si="14">J898*(1-E898/100)</f>
        <v>7573.4495999999999</v>
      </c>
      <c r="G898" t="str">
        <f>VLOOKUP(B898,product_tbl[],2,FALSE)</f>
        <v>Puzzle Set 98</v>
      </c>
      <c r="H898" t="str">
        <f>VLOOKUP(B898,product_tbl[],3,FALSE)</f>
        <v>Toys</v>
      </c>
      <c r="I898">
        <v>4684.6080000000002</v>
      </c>
      <c r="J898">
        <f>VLOOKUP(B898,product_tbl[],5,FALSE)</f>
        <v>7807.68</v>
      </c>
      <c r="K898">
        <f>VLOOKUP(B898,review_tbl[],3,FALSE)</f>
        <v>3</v>
      </c>
      <c r="L898" s="11">
        <v>8728.0824124312312</v>
      </c>
      <c r="M898" s="11">
        <f>AVERAGEIF(Table1[product_id],Master_tbl!B898:B1899,Table1[competitor_price])</f>
        <v>6533.69</v>
      </c>
      <c r="N898" s="11">
        <f>IFERROR(Table5[[#This Row],[final_sale_price]]*Table5[[#This Row],[quantity_sold ]],0)</f>
        <v>234776.9376</v>
      </c>
      <c r="O898" s="11">
        <f>(Table5[[#This Row],[final_sale_price]]-Table5[[#This Row],[cost_price]])*Table5[[#This Row],[quantity_sold ]]</f>
        <v>89554.089599999992</v>
      </c>
      <c r="P898" s="11">
        <f>(Table5[final_sale_price]-Table5[[#This Row],[avg_comp_price]])</f>
        <v>1039.7596000000003</v>
      </c>
      <c r="Q898" s="15">
        <f>(Table5[[#This Row],[final_sale_price]]-Table5[[#This Row],[avg_comp_price]])/Table5[[#This Row],[avg_comp_price]]</f>
        <v>0.15913818990493891</v>
      </c>
      <c r="R898" s="11">
        <f>Table5[[#This Row],[Profit]]/Table5[[#This Row],[Revenue]]</f>
        <v>0.38144329896907214</v>
      </c>
    </row>
    <row r="899" spans="1:18" x14ac:dyDescent="0.2">
      <c r="A899" s="5">
        <v>898</v>
      </c>
      <c r="B899" s="5">
        <v>21</v>
      </c>
      <c r="C899" s="7">
        <v>45716</v>
      </c>
      <c r="D899" s="5">
        <v>45</v>
      </c>
      <c r="E899" s="4">
        <v>6</v>
      </c>
      <c r="F899" s="12">
        <f t="shared" si="14"/>
        <v>2706.5419999999999</v>
      </c>
      <c r="G899" t="str">
        <f>VLOOKUP(B899,product_tbl[],2,FALSE)</f>
        <v>Water Purifier 21</v>
      </c>
      <c r="H899" t="str">
        <f>VLOOKUP(B899,product_tbl[],3,FALSE)</f>
        <v>Home Appliances</v>
      </c>
      <c r="I899">
        <v>1727.5800000000002</v>
      </c>
      <c r="J899">
        <f>VLOOKUP(B899,product_tbl[],5,FALSE)</f>
        <v>2879.3</v>
      </c>
      <c r="K899">
        <f>VLOOKUP(B899,review_tbl[],3,FALSE)</f>
        <v>3</v>
      </c>
      <c r="L899" s="11">
        <v>3025.8271928868303</v>
      </c>
      <c r="M899" s="11">
        <f>AVERAGEIF(Table1[product_id],Master_tbl!B899:B1900,Table1[competitor_price])</f>
        <v>4150.0079999999998</v>
      </c>
      <c r="N899" s="11">
        <f>IFERROR(Table5[[#This Row],[final_sale_price]]*Table5[[#This Row],[quantity_sold ]],0)</f>
        <v>121794.39</v>
      </c>
      <c r="O899" s="11">
        <f>(Table5[[#This Row],[final_sale_price]]-Table5[[#This Row],[cost_price]])*Table5[[#This Row],[quantity_sold ]]</f>
        <v>44053.289999999986</v>
      </c>
      <c r="P899" s="11">
        <f>(Table5[final_sale_price]-Table5[[#This Row],[avg_comp_price]])</f>
        <v>-1443.4659999999999</v>
      </c>
      <c r="Q899" s="15">
        <f>(Table5[[#This Row],[final_sale_price]]-Table5[[#This Row],[avg_comp_price]])/Table5[[#This Row],[avg_comp_price]]</f>
        <v>-0.34782246202898887</v>
      </c>
      <c r="R899" s="11">
        <f>Table5[[#This Row],[Profit]]/Table5[[#This Row],[Revenue]]</f>
        <v>0.36170212765957438</v>
      </c>
    </row>
    <row r="900" spans="1:18" x14ac:dyDescent="0.2">
      <c r="A900" s="4">
        <v>899</v>
      </c>
      <c r="B900" s="4">
        <v>37</v>
      </c>
      <c r="C900" s="6">
        <v>45674</v>
      </c>
      <c r="D900" s="4">
        <v>23</v>
      </c>
      <c r="E900" s="4">
        <v>10</v>
      </c>
      <c r="F900" s="12">
        <f t="shared" si="14"/>
        <v>3475.3229999999999</v>
      </c>
      <c r="G900" t="str">
        <f>VLOOKUP(B900,product_tbl[],2,FALSE)</f>
        <v>Sugar 37</v>
      </c>
      <c r="H900" t="str">
        <f>VLOOKUP(B900,product_tbl[],3,FALSE)</f>
        <v>Grocery</v>
      </c>
      <c r="I900">
        <v>2316.8819999999996</v>
      </c>
      <c r="J900">
        <f>VLOOKUP(B900,product_tbl[],5,FALSE)</f>
        <v>3861.47</v>
      </c>
      <c r="K900">
        <f>VLOOKUP(B900,review_tbl[],3,FALSE)</f>
        <v>1</v>
      </c>
      <c r="L900" s="11">
        <v>4654.6891540579227</v>
      </c>
      <c r="M900" s="11">
        <f>AVERAGEIF(Table1[product_id],Master_tbl!B900:B1901,Table1[competitor_price])</f>
        <v>2618.5759999999996</v>
      </c>
      <c r="N900" s="11">
        <f>IFERROR(Table5[[#This Row],[final_sale_price]]*Table5[[#This Row],[quantity_sold ]],0)</f>
        <v>79932.429000000004</v>
      </c>
      <c r="O900" s="11">
        <f>(Table5[[#This Row],[final_sale_price]]-Table5[[#This Row],[cost_price]])*Table5[[#This Row],[quantity_sold ]]</f>
        <v>26644.143000000007</v>
      </c>
      <c r="P900" s="11">
        <f>(Table5[final_sale_price]-Table5[[#This Row],[avg_comp_price]])</f>
        <v>856.7470000000003</v>
      </c>
      <c r="Q900" s="15">
        <f>(Table5[[#This Row],[final_sale_price]]-Table5[[#This Row],[avg_comp_price]])/Table5[[#This Row],[avg_comp_price]]</f>
        <v>0.32718049810278582</v>
      </c>
      <c r="R900" s="11">
        <f>Table5[[#This Row],[Profit]]/Table5[[#This Row],[Revenue]]</f>
        <v>0.33333333333333343</v>
      </c>
    </row>
    <row r="901" spans="1:18" x14ac:dyDescent="0.2">
      <c r="A901" s="5">
        <v>900</v>
      </c>
      <c r="B901" s="5">
        <v>139</v>
      </c>
      <c r="C901" s="7">
        <v>45470</v>
      </c>
      <c r="D901" s="5">
        <v>10</v>
      </c>
      <c r="E901" s="4">
        <v>9</v>
      </c>
      <c r="F901" s="12">
        <f t="shared" si="14"/>
        <v>2357.8827999999999</v>
      </c>
      <c r="G901" t="str">
        <f>VLOOKUP(B901,product_tbl[],2,FALSE)</f>
        <v>Jacket 139</v>
      </c>
      <c r="H901" t="str">
        <f>VLOOKUP(B901,product_tbl[],3,FALSE)</f>
        <v>Fashion</v>
      </c>
      <c r="I901">
        <v>1554.6479999999999</v>
      </c>
      <c r="J901">
        <f>VLOOKUP(B901,product_tbl[],5,FALSE)</f>
        <v>2591.08</v>
      </c>
      <c r="K901">
        <f>VLOOKUP(B901,review_tbl[],3,FALSE)</f>
        <v>5</v>
      </c>
      <c r="L901" s="11">
        <v>3109.2806399992255</v>
      </c>
      <c r="M901" s="11">
        <f>AVERAGEIF(Table1[product_id],Master_tbl!B901:B1902,Table1[competitor_price])</f>
        <v>2839.1733333333336</v>
      </c>
      <c r="N901" s="11">
        <f>IFERROR(Table5[[#This Row],[final_sale_price]]*Table5[[#This Row],[quantity_sold ]],0)</f>
        <v>23578.827999999998</v>
      </c>
      <c r="O901" s="11">
        <f>(Table5[[#This Row],[final_sale_price]]-Table5[[#This Row],[cost_price]])*Table5[[#This Row],[quantity_sold ]]</f>
        <v>8032.348</v>
      </c>
      <c r="P901" s="11">
        <f>(Table5[final_sale_price]-Table5[[#This Row],[avg_comp_price]])</f>
        <v>-481.29053333333377</v>
      </c>
      <c r="Q901" s="15">
        <f>(Table5[[#This Row],[final_sale_price]]-Table5[[#This Row],[avg_comp_price]])/Table5[[#This Row],[avg_comp_price]]</f>
        <v>-0.16951784087386954</v>
      </c>
      <c r="R901" s="11">
        <f>Table5[[#This Row],[Profit]]/Table5[[#This Row],[Revenue]]</f>
        <v>0.34065934065934067</v>
      </c>
    </row>
    <row r="902" spans="1:18" x14ac:dyDescent="0.2">
      <c r="A902" s="4">
        <v>901</v>
      </c>
      <c r="B902" s="4">
        <v>24</v>
      </c>
      <c r="C902" s="6">
        <v>45760</v>
      </c>
      <c r="D902" s="4">
        <v>35</v>
      </c>
      <c r="E902" s="4">
        <v>6</v>
      </c>
      <c r="F902" s="12">
        <f t="shared" si="14"/>
        <v>3756.7287999999999</v>
      </c>
      <c r="G902" t="str">
        <f>VLOOKUP(B902,product_tbl[],2,FALSE)</f>
        <v>Rice Pack 24</v>
      </c>
      <c r="H902" t="str">
        <f>VLOOKUP(B902,product_tbl[],3,FALSE)</f>
        <v>Grocery</v>
      </c>
      <c r="I902">
        <v>2397.9119999999998</v>
      </c>
      <c r="J902">
        <f>VLOOKUP(B902,product_tbl[],5,FALSE)</f>
        <v>3996.52</v>
      </c>
      <c r="K902">
        <f>VLOOKUP(B902,review_tbl[],3,FALSE)</f>
        <v>4</v>
      </c>
      <c r="L902" s="11">
        <v>5142.8718552580476</v>
      </c>
      <c r="M902" s="11">
        <f>AVERAGEIF(Table1[product_id],Master_tbl!B902:B1903,Table1[competitor_price])</f>
        <v>3028.7733333333331</v>
      </c>
      <c r="N902" s="11">
        <f>IFERROR(Table5[[#This Row],[final_sale_price]]*Table5[[#This Row],[quantity_sold ]],0)</f>
        <v>131485.508</v>
      </c>
      <c r="O902" s="11">
        <f>(Table5[[#This Row],[final_sale_price]]-Table5[[#This Row],[cost_price]])*Table5[[#This Row],[quantity_sold ]]</f>
        <v>47558.588000000003</v>
      </c>
      <c r="P902" s="11">
        <f>(Table5[final_sale_price]-Table5[[#This Row],[avg_comp_price]])</f>
        <v>727.95546666666678</v>
      </c>
      <c r="Q902" s="15">
        <f>(Table5[[#This Row],[final_sale_price]]-Table5[[#This Row],[avg_comp_price]])/Table5[[#This Row],[avg_comp_price]]</f>
        <v>0.24034663097931841</v>
      </c>
      <c r="R902" s="11">
        <f>Table5[[#This Row],[Profit]]/Table5[[#This Row],[Revenue]]</f>
        <v>0.36170212765957449</v>
      </c>
    </row>
    <row r="903" spans="1:18" x14ac:dyDescent="0.2">
      <c r="A903" s="5">
        <v>902</v>
      </c>
      <c r="B903" s="5">
        <v>69</v>
      </c>
      <c r="C903" s="7">
        <v>45075</v>
      </c>
      <c r="D903" s="5">
        <v>28</v>
      </c>
      <c r="E903" s="4">
        <v>7</v>
      </c>
      <c r="F903" s="12">
        <f t="shared" si="14"/>
        <v>6936.5909999999994</v>
      </c>
      <c r="G903" t="str">
        <f>VLOOKUP(B903,product_tbl[],2,FALSE)</f>
        <v>Doll 69</v>
      </c>
      <c r="H903" t="str">
        <f>VLOOKUP(B903,product_tbl[],3,FALSE)</f>
        <v>Toys</v>
      </c>
      <c r="I903">
        <v>4475.2199999999993</v>
      </c>
      <c r="J903">
        <f>VLOOKUP(B903,product_tbl[],5,FALSE)</f>
        <v>7458.7</v>
      </c>
      <c r="K903">
        <f>VLOOKUP(B903,review_tbl[],3,FALSE)</f>
        <v>3</v>
      </c>
      <c r="L903" s="11">
        <v>8735.5039406269661</v>
      </c>
      <c r="M903" s="11">
        <f>AVERAGEIF(Table1[product_id],Master_tbl!B903:B1904,Table1[competitor_price])</f>
        <v>809.57599999999991</v>
      </c>
      <c r="N903" s="11">
        <f>IFERROR(Table5[[#This Row],[final_sale_price]]*Table5[[#This Row],[quantity_sold ]],0)</f>
        <v>194224.54799999998</v>
      </c>
      <c r="O903" s="11">
        <f>(Table5[[#This Row],[final_sale_price]]-Table5[[#This Row],[cost_price]])*Table5[[#This Row],[quantity_sold ]]</f>
        <v>68918.388000000006</v>
      </c>
      <c r="P903" s="11">
        <f>(Table5[final_sale_price]-Table5[[#This Row],[avg_comp_price]])</f>
        <v>6127.0149999999994</v>
      </c>
      <c r="Q903" s="15">
        <f>(Table5[[#This Row],[final_sale_price]]-Table5[[#This Row],[avg_comp_price]])/Table5[[#This Row],[avg_comp_price]]</f>
        <v>7.5681776633694673</v>
      </c>
      <c r="R903" s="11">
        <f>Table5[[#This Row],[Profit]]/Table5[[#This Row],[Revenue]]</f>
        <v>0.35483870967741943</v>
      </c>
    </row>
    <row r="904" spans="1:18" x14ac:dyDescent="0.2">
      <c r="A904" s="4">
        <v>903</v>
      </c>
      <c r="B904" s="4">
        <v>17</v>
      </c>
      <c r="C904" s="6">
        <v>45023</v>
      </c>
      <c r="D904" s="4">
        <v>29</v>
      </c>
      <c r="E904" s="4">
        <v>2</v>
      </c>
      <c r="F904" s="12">
        <f t="shared" si="14"/>
        <v>2919.5866000000001</v>
      </c>
      <c r="G904" t="str">
        <f>VLOOKUP(B904,product_tbl[],2,FALSE)</f>
        <v>Yoga Mat 17</v>
      </c>
      <c r="H904" t="str">
        <f>VLOOKUP(B904,product_tbl[],3,FALSE)</f>
        <v>Sports</v>
      </c>
      <c r="I904">
        <v>1787.502</v>
      </c>
      <c r="J904">
        <f>VLOOKUP(B904,product_tbl[],5,FALSE)</f>
        <v>2979.17</v>
      </c>
      <c r="K904">
        <f>VLOOKUP(B904,review_tbl[],3,FALSE)</f>
        <v>2</v>
      </c>
      <c r="L904" s="11">
        <v>3264.0096058020581</v>
      </c>
      <c r="M904" s="11">
        <f>AVERAGEIF(Table1[product_id],Master_tbl!B904:B1905,Table1[competitor_price])</f>
        <v>1105.6675</v>
      </c>
      <c r="N904" s="11">
        <f>IFERROR(Table5[[#This Row],[final_sale_price]]*Table5[[#This Row],[quantity_sold ]],0)</f>
        <v>84668.011400000003</v>
      </c>
      <c r="O904" s="11">
        <f>(Table5[[#This Row],[final_sale_price]]-Table5[[#This Row],[cost_price]])*Table5[[#This Row],[quantity_sold ]]</f>
        <v>32830.453400000006</v>
      </c>
      <c r="P904" s="11">
        <f>(Table5[final_sale_price]-Table5[[#This Row],[avg_comp_price]])</f>
        <v>1813.9191000000001</v>
      </c>
      <c r="Q904" s="15">
        <f>(Table5[[#This Row],[final_sale_price]]-Table5[[#This Row],[avg_comp_price]])/Table5[[#This Row],[avg_comp_price]]</f>
        <v>1.6405647267374686</v>
      </c>
      <c r="R904" s="11">
        <f>Table5[[#This Row],[Profit]]/Table5[[#This Row],[Revenue]]</f>
        <v>0.38775510204081637</v>
      </c>
    </row>
    <row r="905" spans="1:18" x14ac:dyDescent="0.2">
      <c r="A905" s="5">
        <v>904</v>
      </c>
      <c r="B905" s="5">
        <v>45</v>
      </c>
      <c r="C905" s="7">
        <v>45611</v>
      </c>
      <c r="D905" s="5">
        <v>2</v>
      </c>
      <c r="E905" s="4">
        <v>7</v>
      </c>
      <c r="F905" s="12">
        <f t="shared" si="14"/>
        <v>4953.5427</v>
      </c>
      <c r="G905" t="str">
        <f>VLOOKUP(B905,product_tbl[],2,FALSE)</f>
        <v>Doll 45</v>
      </c>
      <c r="H905" t="str">
        <f>VLOOKUP(B905,product_tbl[],3,FALSE)</f>
        <v>Toys</v>
      </c>
      <c r="I905">
        <v>3195.8340000000003</v>
      </c>
      <c r="J905">
        <f>VLOOKUP(B905,product_tbl[],5,FALSE)</f>
        <v>5326.39</v>
      </c>
      <c r="K905">
        <f>VLOOKUP(B905,review_tbl[],3,FALSE)</f>
        <v>1</v>
      </c>
      <c r="L905" s="11">
        <v>6300.7577287275926</v>
      </c>
      <c r="M905" s="11">
        <f>AVERAGEIF(Table1[product_id],Master_tbl!B905:B1906,Table1[competitor_price])</f>
        <v>4436.1279999999997</v>
      </c>
      <c r="N905" s="11">
        <f>IFERROR(Table5[[#This Row],[final_sale_price]]*Table5[[#This Row],[quantity_sold ]],0)</f>
        <v>9907.0853999999999</v>
      </c>
      <c r="O905" s="11">
        <f>(Table5[[#This Row],[final_sale_price]]-Table5[[#This Row],[cost_price]])*Table5[[#This Row],[quantity_sold ]]</f>
        <v>3515.4173999999994</v>
      </c>
      <c r="P905" s="11">
        <f>(Table5[final_sale_price]-Table5[[#This Row],[avg_comp_price]])</f>
        <v>517.41470000000027</v>
      </c>
      <c r="Q905" s="15">
        <f>(Table5[[#This Row],[final_sale_price]]-Table5[[#This Row],[avg_comp_price]])/Table5[[#This Row],[avg_comp_price]]</f>
        <v>0.11663655782700597</v>
      </c>
      <c r="R905" s="11">
        <f>Table5[[#This Row],[Profit]]/Table5[[#This Row],[Revenue]]</f>
        <v>0.35483870967741932</v>
      </c>
    </row>
    <row r="906" spans="1:18" x14ac:dyDescent="0.2">
      <c r="A906" s="4">
        <v>905</v>
      </c>
      <c r="B906" s="4">
        <v>119</v>
      </c>
      <c r="C906" s="6">
        <v>45325</v>
      </c>
      <c r="D906" s="4">
        <v>26</v>
      </c>
      <c r="E906" s="4">
        <v>3</v>
      </c>
      <c r="F906" s="12">
        <f t="shared" si="14"/>
        <v>1883.6527000000001</v>
      </c>
      <c r="G906" t="str">
        <f>VLOOKUP(B906,product_tbl[],2,FALSE)</f>
        <v>Wheat Flour 119</v>
      </c>
      <c r="H906" t="str">
        <f>VLOOKUP(B906,product_tbl[],3,FALSE)</f>
        <v>Grocery</v>
      </c>
      <c r="I906">
        <v>1165.146</v>
      </c>
      <c r="J906">
        <f>VLOOKUP(B906,product_tbl[],5,FALSE)</f>
        <v>1941.91</v>
      </c>
      <c r="K906">
        <f>VLOOKUP(B906,review_tbl[],3,FALSE)</f>
        <v>4</v>
      </c>
      <c r="L906" s="11">
        <v>2491.0344333117068</v>
      </c>
      <c r="M906" s="11">
        <f>AVERAGEIF(Table1[product_id],Master_tbl!B906:B1907,Table1[competitor_price])</f>
        <v>4902.3539999999994</v>
      </c>
      <c r="N906" s="11">
        <f>IFERROR(Table5[[#This Row],[final_sale_price]]*Table5[[#This Row],[quantity_sold ]],0)</f>
        <v>48974.970200000003</v>
      </c>
      <c r="O906" s="11">
        <f>(Table5[[#This Row],[final_sale_price]]-Table5[[#This Row],[cost_price]])*Table5[[#This Row],[quantity_sold ]]</f>
        <v>18681.174200000005</v>
      </c>
      <c r="P906" s="11">
        <f>(Table5[final_sale_price]-Table5[[#This Row],[avg_comp_price]])</f>
        <v>-3018.7012999999993</v>
      </c>
      <c r="Q906" s="15">
        <f>(Table5[[#This Row],[final_sale_price]]-Table5[[#This Row],[avg_comp_price]])/Table5[[#This Row],[avg_comp_price]]</f>
        <v>-0.6157656709409397</v>
      </c>
      <c r="R906" s="11">
        <f>Table5[[#This Row],[Profit]]/Table5[[#This Row],[Revenue]]</f>
        <v>0.38144329896907225</v>
      </c>
    </row>
    <row r="907" spans="1:18" x14ac:dyDescent="0.2">
      <c r="A907" s="5">
        <v>906</v>
      </c>
      <c r="B907" s="5">
        <v>52</v>
      </c>
      <c r="C907" s="7">
        <v>45211</v>
      </c>
      <c r="D907" s="5">
        <v>45</v>
      </c>
      <c r="E907" s="4">
        <v>3</v>
      </c>
      <c r="F907" s="12">
        <f t="shared" si="14"/>
        <v>4325.4045999999998</v>
      </c>
      <c r="G907" t="str">
        <f>VLOOKUP(B907,product_tbl[],2,FALSE)</f>
        <v>Cookbook 52</v>
      </c>
      <c r="H907" t="str">
        <f>VLOOKUP(B907,product_tbl[],3,FALSE)</f>
        <v>Books</v>
      </c>
      <c r="I907">
        <v>2675.5080000000003</v>
      </c>
      <c r="J907">
        <f>VLOOKUP(B907,product_tbl[],5,FALSE)</f>
        <v>4459.18</v>
      </c>
      <c r="K907">
        <f>VLOOKUP(B907,review_tbl[],3,FALSE)</f>
        <v>3</v>
      </c>
      <c r="L907" s="11">
        <v>5286.4013050166532</v>
      </c>
      <c r="M907" s="11">
        <f>AVERAGEIF(Table1[product_id],Master_tbl!B907:B1908,Table1[competitor_price])</f>
        <v>6258.09</v>
      </c>
      <c r="N907" s="11">
        <f>IFERROR(Table5[[#This Row],[final_sale_price]]*Table5[[#This Row],[quantity_sold ]],0)</f>
        <v>194643.20699999999</v>
      </c>
      <c r="O907" s="11">
        <f>(Table5[[#This Row],[final_sale_price]]-Table5[[#This Row],[cost_price]])*Table5[[#This Row],[quantity_sold ]]</f>
        <v>74245.34699999998</v>
      </c>
      <c r="P907" s="11">
        <f>(Table5[final_sale_price]-Table5[[#This Row],[avg_comp_price]])</f>
        <v>-1932.6854000000003</v>
      </c>
      <c r="Q907" s="15">
        <f>(Table5[[#This Row],[final_sale_price]]-Table5[[#This Row],[avg_comp_price]])/Table5[[#This Row],[avg_comp_price]]</f>
        <v>-0.30882991455859538</v>
      </c>
      <c r="R907" s="11">
        <f>Table5[[#This Row],[Profit]]/Table5[[#This Row],[Revenue]]</f>
        <v>0.38144329896907209</v>
      </c>
    </row>
    <row r="908" spans="1:18" x14ac:dyDescent="0.2">
      <c r="A908" s="4">
        <v>907</v>
      </c>
      <c r="B908" s="4">
        <v>61</v>
      </c>
      <c r="C908" s="6">
        <v>45786</v>
      </c>
      <c r="D908" s="4">
        <v>2</v>
      </c>
      <c r="E908" s="4">
        <v>7</v>
      </c>
      <c r="F908" s="12">
        <f t="shared" si="14"/>
        <v>2271.2831999999999</v>
      </c>
      <c r="G908" t="str">
        <f>VLOOKUP(B908,product_tbl[],2,FALSE)</f>
        <v>Green Tea 61</v>
      </c>
      <c r="H908" t="str">
        <f>VLOOKUP(B908,product_tbl[],3,FALSE)</f>
        <v>Grocery</v>
      </c>
      <c r="I908">
        <v>1465.3439999999998</v>
      </c>
      <c r="J908">
        <f>VLOOKUP(B908,product_tbl[],5,FALSE)</f>
        <v>2442.2399999999998</v>
      </c>
      <c r="K908">
        <f>VLOOKUP(B908,review_tbl[],3,FALSE)</f>
        <v>5</v>
      </c>
      <c r="L908" s="11">
        <v>2777.3915195572581</v>
      </c>
      <c r="M908" s="11">
        <f>AVERAGEIF(Table1[product_id],Master_tbl!B908:B1909,Table1[competitor_price])</f>
        <v>411.75600000000003</v>
      </c>
      <c r="N908" s="11">
        <f>IFERROR(Table5[[#This Row],[final_sale_price]]*Table5[[#This Row],[quantity_sold ]],0)</f>
        <v>4542.5663999999997</v>
      </c>
      <c r="O908" s="11">
        <f>(Table5[[#This Row],[final_sale_price]]-Table5[[#This Row],[cost_price]])*Table5[[#This Row],[quantity_sold ]]</f>
        <v>1611.8784000000001</v>
      </c>
      <c r="P908" s="11">
        <f>(Table5[final_sale_price]-Table5[[#This Row],[avg_comp_price]])</f>
        <v>1859.5271999999998</v>
      </c>
      <c r="Q908" s="15">
        <f>(Table5[[#This Row],[final_sale_price]]-Table5[[#This Row],[avg_comp_price]])/Table5[[#This Row],[avg_comp_price]]</f>
        <v>4.5160901116195022</v>
      </c>
      <c r="R908" s="11">
        <f>Table5[[#This Row],[Profit]]/Table5[[#This Row],[Revenue]]</f>
        <v>0.35483870967741937</v>
      </c>
    </row>
    <row r="909" spans="1:18" x14ac:dyDescent="0.2">
      <c r="A909" s="5">
        <v>908</v>
      </c>
      <c r="B909" s="5">
        <v>13</v>
      </c>
      <c r="C909" s="7">
        <v>45078</v>
      </c>
      <c r="D909" s="5">
        <v>37</v>
      </c>
      <c r="E909" s="4">
        <v>4</v>
      </c>
      <c r="F909" s="12">
        <f t="shared" si="14"/>
        <v>1725.1776</v>
      </c>
      <c r="G909" t="str">
        <f>VLOOKUP(B909,product_tbl[],2,FALSE)</f>
        <v>Football 13</v>
      </c>
      <c r="H909" t="str">
        <f>VLOOKUP(B909,product_tbl[],3,FALSE)</f>
        <v>Sports</v>
      </c>
      <c r="I909">
        <v>1078.2359999999999</v>
      </c>
      <c r="J909">
        <f>VLOOKUP(B909,product_tbl[],5,FALSE)</f>
        <v>1797.06</v>
      </c>
      <c r="K909">
        <f>VLOOKUP(B909,review_tbl[],3,FALSE)</f>
        <v>5</v>
      </c>
      <c r="L909" s="11">
        <v>2153.8948061974857</v>
      </c>
      <c r="M909" s="11">
        <f>AVERAGEIF(Table1[product_id],Master_tbl!B909:B1910,Table1[competitor_price])</f>
        <v>1712.5580000000002</v>
      </c>
      <c r="N909" s="11">
        <f>IFERROR(Table5[[#This Row],[final_sale_price]]*Table5[[#This Row],[quantity_sold ]],0)</f>
        <v>63831.571199999998</v>
      </c>
      <c r="O909" s="11">
        <f>(Table5[[#This Row],[final_sale_price]]-Table5[[#This Row],[cost_price]])*Table5[[#This Row],[quantity_sold ]]</f>
        <v>23936.839200000002</v>
      </c>
      <c r="P909" s="11">
        <f>(Table5[final_sale_price]-Table5[[#This Row],[avg_comp_price]])</f>
        <v>12.619599999999764</v>
      </c>
      <c r="Q909" s="15">
        <f>(Table5[[#This Row],[final_sale_price]]-Table5[[#This Row],[avg_comp_price]])/Table5[[#This Row],[avg_comp_price]]</f>
        <v>7.368859915985188E-3</v>
      </c>
      <c r="R909" s="11">
        <f>Table5[[#This Row],[Profit]]/Table5[[#This Row],[Revenue]]</f>
        <v>0.37500000000000006</v>
      </c>
    </row>
    <row r="910" spans="1:18" x14ac:dyDescent="0.2">
      <c r="A910" s="4">
        <v>909</v>
      </c>
      <c r="B910" s="4">
        <v>75</v>
      </c>
      <c r="C910" s="6">
        <v>45000</v>
      </c>
      <c r="D910" s="4">
        <v>32</v>
      </c>
      <c r="E910" s="4">
        <v>4</v>
      </c>
      <c r="F910" s="12">
        <f t="shared" si="14"/>
        <v>3622.5023999999999</v>
      </c>
      <c r="G910" t="str">
        <f>VLOOKUP(B910,product_tbl[],2,FALSE)</f>
        <v>Sneakers 75</v>
      </c>
      <c r="H910" t="str">
        <f>VLOOKUP(B910,product_tbl[],3,FALSE)</f>
        <v>Fashion</v>
      </c>
      <c r="I910">
        <v>2264.0639999999999</v>
      </c>
      <c r="J910">
        <f>VLOOKUP(B910,product_tbl[],5,FALSE)</f>
        <v>3773.44</v>
      </c>
      <c r="K910">
        <f>VLOOKUP(B910,review_tbl[],3,FALSE)</f>
        <v>4</v>
      </c>
      <c r="L910" s="11">
        <v>3920.6431576740788</v>
      </c>
      <c r="M910" s="11">
        <f>AVERAGEIF(Table1[product_id],Master_tbl!B910:B1911,Table1[competitor_price])</f>
        <v>3293.6366666666668</v>
      </c>
      <c r="N910" s="11">
        <f>IFERROR(Table5[[#This Row],[final_sale_price]]*Table5[[#This Row],[quantity_sold ]],0)</f>
        <v>115920.0768</v>
      </c>
      <c r="O910" s="11">
        <f>(Table5[[#This Row],[final_sale_price]]-Table5[[#This Row],[cost_price]])*Table5[[#This Row],[quantity_sold ]]</f>
        <v>43470.0288</v>
      </c>
      <c r="P910" s="11">
        <f>(Table5[final_sale_price]-Table5[[#This Row],[avg_comp_price]])</f>
        <v>328.86573333333308</v>
      </c>
      <c r="Q910" s="15">
        <f>(Table5[[#This Row],[final_sale_price]]-Table5[[#This Row],[avg_comp_price]])/Table5[[#This Row],[avg_comp_price]]</f>
        <v>9.9848819592527324E-2</v>
      </c>
      <c r="R910" s="11">
        <f>Table5[[#This Row],[Profit]]/Table5[[#This Row],[Revenue]]</f>
        <v>0.375</v>
      </c>
    </row>
    <row r="911" spans="1:18" x14ac:dyDescent="0.2">
      <c r="A911" s="5">
        <v>910</v>
      </c>
      <c r="B911" s="5">
        <v>41</v>
      </c>
      <c r="C911" s="7">
        <v>45027</v>
      </c>
      <c r="D911" s="5">
        <v>6</v>
      </c>
      <c r="E911" s="4">
        <v>5</v>
      </c>
      <c r="F911" s="12">
        <f t="shared" si="14"/>
        <v>2927.3964999999998</v>
      </c>
      <c r="G911" t="str">
        <f>VLOOKUP(B911,product_tbl[],2,FALSE)</f>
        <v>Olive Oil 41</v>
      </c>
      <c r="H911" t="str">
        <f>VLOOKUP(B911,product_tbl[],3,FALSE)</f>
        <v>Grocery</v>
      </c>
      <c r="I911">
        <v>1848.8819999999998</v>
      </c>
      <c r="J911">
        <f>VLOOKUP(B911,product_tbl[],5,FALSE)</f>
        <v>3081.47</v>
      </c>
      <c r="K911">
        <f>VLOOKUP(B911,review_tbl[],3,FALSE)</f>
        <v>1</v>
      </c>
      <c r="L911" s="11">
        <v>3224.1138314308155</v>
      </c>
      <c r="M911" s="11">
        <f>AVERAGEIF(Table1[product_id],Master_tbl!B911:B1912,Table1[competitor_price])</f>
        <v>1589.1249999999998</v>
      </c>
      <c r="N911" s="11">
        <f>IFERROR(Table5[[#This Row],[final_sale_price]]*Table5[[#This Row],[quantity_sold ]],0)</f>
        <v>17564.379000000001</v>
      </c>
      <c r="O911" s="11">
        <f>(Table5[[#This Row],[final_sale_price]]-Table5[[#This Row],[cost_price]])*Table5[[#This Row],[quantity_sold ]]</f>
        <v>6471.0869999999995</v>
      </c>
      <c r="P911" s="11">
        <f>(Table5[final_sale_price]-Table5[[#This Row],[avg_comp_price]])</f>
        <v>1338.2715000000001</v>
      </c>
      <c r="Q911" s="15">
        <f>(Table5[[#This Row],[final_sale_price]]-Table5[[#This Row],[avg_comp_price]])/Table5[[#This Row],[avg_comp_price]]</f>
        <v>0.84214363250216329</v>
      </c>
      <c r="R911" s="11">
        <f>Table5[[#This Row],[Profit]]/Table5[[#This Row],[Revenue]]</f>
        <v>0.36842105263157893</v>
      </c>
    </row>
    <row r="912" spans="1:18" x14ac:dyDescent="0.2">
      <c r="A912" s="4">
        <v>911</v>
      </c>
      <c r="B912" s="4">
        <v>55</v>
      </c>
      <c r="C912" s="6">
        <v>45738</v>
      </c>
      <c r="D912" s="4">
        <v>14</v>
      </c>
      <c r="E912" s="4">
        <v>3</v>
      </c>
      <c r="F912" s="12">
        <f t="shared" si="14"/>
        <v>935.36129999999991</v>
      </c>
      <c r="G912" t="str">
        <f>VLOOKUP(B912,product_tbl[],2,FALSE)</f>
        <v>Face Wash 55</v>
      </c>
      <c r="H912" t="str">
        <f>VLOOKUP(B912,product_tbl[],3,FALSE)</f>
        <v>Beauty</v>
      </c>
      <c r="I912">
        <v>578.57399999999996</v>
      </c>
      <c r="J912">
        <f>VLOOKUP(B912,product_tbl[],5,FALSE)</f>
        <v>964.29</v>
      </c>
      <c r="K912">
        <f>VLOOKUP(B912,review_tbl[],3,FALSE)</f>
        <v>2</v>
      </c>
      <c r="L912" s="11">
        <v>1041.8460117435106</v>
      </c>
      <c r="M912" s="11">
        <f>AVERAGEIF(Table1[product_id],Master_tbl!B912:B1913,Table1[competitor_price])</f>
        <v>1508.7675000000002</v>
      </c>
      <c r="N912" s="11">
        <f>IFERROR(Table5[[#This Row],[final_sale_price]]*Table5[[#This Row],[quantity_sold ]],0)</f>
        <v>13095.058199999999</v>
      </c>
      <c r="O912" s="11">
        <f>(Table5[[#This Row],[final_sale_price]]-Table5[[#This Row],[cost_price]])*Table5[[#This Row],[quantity_sold ]]</f>
        <v>4995.0221999999994</v>
      </c>
      <c r="P912" s="11">
        <f>(Table5[final_sale_price]-Table5[[#This Row],[avg_comp_price]])</f>
        <v>-573.40620000000024</v>
      </c>
      <c r="Q912" s="15">
        <f>(Table5[[#This Row],[final_sale_price]]-Table5[[#This Row],[avg_comp_price]])/Table5[[#This Row],[avg_comp_price]]</f>
        <v>-0.38004941119158531</v>
      </c>
      <c r="R912" s="11">
        <f>Table5[[#This Row],[Profit]]/Table5[[#This Row],[Revenue]]</f>
        <v>0.38144329896907214</v>
      </c>
    </row>
    <row r="913" spans="1:18" x14ac:dyDescent="0.2">
      <c r="A913" s="5">
        <v>912</v>
      </c>
      <c r="B913" s="5">
        <v>140</v>
      </c>
      <c r="C913" s="7">
        <v>45337</v>
      </c>
      <c r="D913" s="5">
        <v>38</v>
      </c>
      <c r="E913" s="4">
        <v>8</v>
      </c>
      <c r="F913" s="12">
        <f t="shared" si="14"/>
        <v>822.25920000000008</v>
      </c>
      <c r="G913" t="str">
        <f>VLOOKUP(B913,product_tbl[],2,FALSE)</f>
        <v>Remote Car 140</v>
      </c>
      <c r="H913" t="str">
        <f>VLOOKUP(B913,product_tbl[],3,FALSE)</f>
        <v>Toys</v>
      </c>
      <c r="I913">
        <v>536.25599999999997</v>
      </c>
      <c r="J913">
        <f>VLOOKUP(B913,product_tbl[],5,FALSE)</f>
        <v>893.76</v>
      </c>
      <c r="K913">
        <f>VLOOKUP(B913,review_tbl[],3,FALSE)</f>
        <v>3</v>
      </c>
      <c r="L913" s="11">
        <v>1014.492035632721</v>
      </c>
      <c r="M913" s="11">
        <f>AVERAGEIF(Table1[product_id],Master_tbl!B913:B1914,Table1[competitor_price])</f>
        <v>4472.5149999999994</v>
      </c>
      <c r="N913" s="11">
        <f>IFERROR(Table5[[#This Row],[final_sale_price]]*Table5[[#This Row],[quantity_sold ]],0)</f>
        <v>31245.849600000001</v>
      </c>
      <c r="O913" s="11">
        <f>(Table5[[#This Row],[final_sale_price]]-Table5[[#This Row],[cost_price]])*Table5[[#This Row],[quantity_sold ]]</f>
        <v>10868.121600000004</v>
      </c>
      <c r="P913" s="11">
        <f>(Table5[final_sale_price]-Table5[[#This Row],[avg_comp_price]])</f>
        <v>-3650.2557999999995</v>
      </c>
      <c r="Q913" s="15">
        <f>(Table5[[#This Row],[final_sale_price]]-Table5[[#This Row],[avg_comp_price]])/Table5[[#This Row],[avg_comp_price]]</f>
        <v>-0.81615283570876784</v>
      </c>
      <c r="R913" s="11">
        <f>Table5[[#This Row],[Profit]]/Table5[[#This Row],[Revenue]]</f>
        <v>0.34782608695652184</v>
      </c>
    </row>
    <row r="914" spans="1:18" x14ac:dyDescent="0.2">
      <c r="A914" s="4">
        <v>913</v>
      </c>
      <c r="B914" s="4">
        <v>7</v>
      </c>
      <c r="C914" s="6">
        <v>45529</v>
      </c>
      <c r="D914" s="4">
        <v>22</v>
      </c>
      <c r="E914" s="4">
        <v>7</v>
      </c>
      <c r="F914" s="12">
        <f t="shared" si="14"/>
        <v>7779.2639999999992</v>
      </c>
      <c r="G914" t="str">
        <f>VLOOKUP(B914,product_tbl[],2,FALSE)</f>
        <v>Handbag 7</v>
      </c>
      <c r="H914" t="str">
        <f>VLOOKUP(B914,product_tbl[],3,FALSE)</f>
        <v>Fashion</v>
      </c>
      <c r="I914">
        <v>5018.8799999999992</v>
      </c>
      <c r="J914">
        <f>VLOOKUP(B914,product_tbl[],5,FALSE)</f>
        <v>8364.7999999999993</v>
      </c>
      <c r="K914">
        <f>VLOOKUP(B914,review_tbl[],3,FALSE)</f>
        <v>1</v>
      </c>
      <c r="L914" s="11">
        <v>9312.232882108372</v>
      </c>
      <c r="M914" s="11">
        <f>AVERAGEIF(Table1[product_id],Master_tbl!B914:B1915,Table1[competitor_price])</f>
        <v>1679.8333333333333</v>
      </c>
      <c r="N914" s="11">
        <f>IFERROR(Table5[[#This Row],[final_sale_price]]*Table5[[#This Row],[quantity_sold ]],0)</f>
        <v>171143.80799999999</v>
      </c>
      <c r="O914" s="11">
        <f>(Table5[[#This Row],[final_sale_price]]-Table5[[#This Row],[cost_price]])*Table5[[#This Row],[quantity_sold ]]</f>
        <v>60728.448000000004</v>
      </c>
      <c r="P914" s="11">
        <f>(Table5[final_sale_price]-Table5[[#This Row],[avg_comp_price]])</f>
        <v>6099.4306666666662</v>
      </c>
      <c r="Q914" s="15">
        <f>(Table5[[#This Row],[final_sale_price]]-Table5[[#This Row],[avg_comp_price]])/Table5[[#This Row],[avg_comp_price]]</f>
        <v>3.630973707709098</v>
      </c>
      <c r="R914" s="11">
        <f>Table5[[#This Row],[Profit]]/Table5[[#This Row],[Revenue]]</f>
        <v>0.35483870967741937</v>
      </c>
    </row>
    <row r="915" spans="1:18" x14ac:dyDescent="0.2">
      <c r="A915" s="5">
        <v>914</v>
      </c>
      <c r="B915" s="5">
        <v>84</v>
      </c>
      <c r="C915" s="7">
        <v>45589</v>
      </c>
      <c r="D915" s="5">
        <v>28</v>
      </c>
      <c r="E915" s="4">
        <v>6</v>
      </c>
      <c r="F915" s="12">
        <f t="shared" si="14"/>
        <v>7294.5503999999992</v>
      </c>
      <c r="G915" t="str">
        <f>VLOOKUP(B915,product_tbl[],2,FALSE)</f>
        <v>Moisturizer 84</v>
      </c>
      <c r="H915" t="str">
        <f>VLOOKUP(B915,product_tbl[],3,FALSE)</f>
        <v>Beauty</v>
      </c>
      <c r="I915">
        <v>4656.0959999999995</v>
      </c>
      <c r="J915">
        <f>VLOOKUP(B915,product_tbl[],5,FALSE)</f>
        <v>7760.16</v>
      </c>
      <c r="K915">
        <f>VLOOKUP(B915,review_tbl[],3,FALSE)</f>
        <v>1</v>
      </c>
      <c r="L915" s="11">
        <v>10061.558126975942</v>
      </c>
      <c r="M915" s="11">
        <f>AVERAGEIF(Table1[product_id],Master_tbl!B915:B1916,Table1[competitor_price])</f>
        <v>2588.9250000000002</v>
      </c>
      <c r="N915" s="11">
        <f>IFERROR(Table5[[#This Row],[final_sale_price]]*Table5[[#This Row],[quantity_sold ]],0)</f>
        <v>204247.41119999997</v>
      </c>
      <c r="O915" s="11">
        <f>(Table5[[#This Row],[final_sale_price]]-Table5[[#This Row],[cost_price]])*Table5[[#This Row],[quantity_sold ]]</f>
        <v>73876.723199999993</v>
      </c>
      <c r="P915" s="11">
        <f>(Table5[final_sale_price]-Table5[[#This Row],[avg_comp_price]])</f>
        <v>4705.625399999999</v>
      </c>
      <c r="Q915" s="15">
        <f>(Table5[[#This Row],[final_sale_price]]-Table5[[#This Row],[avg_comp_price]])/Table5[[#This Row],[avg_comp_price]]</f>
        <v>1.8175981922998923</v>
      </c>
      <c r="R915" s="11">
        <f>Table5[[#This Row],[Profit]]/Table5[[#This Row],[Revenue]]</f>
        <v>0.36170212765957449</v>
      </c>
    </row>
    <row r="916" spans="1:18" x14ac:dyDescent="0.2">
      <c r="A916" s="4">
        <v>915</v>
      </c>
      <c r="B916" s="4">
        <v>50</v>
      </c>
      <c r="C916" s="6">
        <v>45299</v>
      </c>
      <c r="D916" s="4">
        <v>13</v>
      </c>
      <c r="E916" s="4">
        <v>6</v>
      </c>
      <c r="F916" s="12">
        <f t="shared" si="14"/>
        <v>1275.298</v>
      </c>
      <c r="G916" t="str">
        <f>VLOOKUP(B916,product_tbl[],2,FALSE)</f>
        <v>Doll 50</v>
      </c>
      <c r="H916" t="str">
        <f>VLOOKUP(B916,product_tbl[],3,FALSE)</f>
        <v>Toys</v>
      </c>
      <c r="I916">
        <v>814.02</v>
      </c>
      <c r="J916">
        <f>VLOOKUP(B916,product_tbl[],5,FALSE)</f>
        <v>1356.7</v>
      </c>
      <c r="K916">
        <f>VLOOKUP(B916,review_tbl[],3,FALSE)</f>
        <v>3</v>
      </c>
      <c r="L916" s="11">
        <v>1431.3843489506119</v>
      </c>
      <c r="M916" s="11">
        <f>AVERAGEIF(Table1[product_id],Master_tbl!B916:B1917,Table1[competitor_price])</f>
        <v>4909.6483333333335</v>
      </c>
      <c r="N916" s="11">
        <f>IFERROR(Table5[[#This Row],[final_sale_price]]*Table5[[#This Row],[quantity_sold ]],0)</f>
        <v>16578.874</v>
      </c>
      <c r="O916" s="11">
        <f>(Table5[[#This Row],[final_sale_price]]-Table5[[#This Row],[cost_price]])*Table5[[#This Row],[quantity_sold ]]</f>
        <v>5996.6140000000005</v>
      </c>
      <c r="P916" s="11">
        <f>(Table5[final_sale_price]-Table5[[#This Row],[avg_comp_price]])</f>
        <v>-3634.3503333333338</v>
      </c>
      <c r="Q916" s="15">
        <f>(Table5[[#This Row],[final_sale_price]]-Table5[[#This Row],[avg_comp_price]])/Table5[[#This Row],[avg_comp_price]]</f>
        <v>-0.74024656891583207</v>
      </c>
      <c r="R916" s="11">
        <f>Table5[[#This Row],[Profit]]/Table5[[#This Row],[Revenue]]</f>
        <v>0.36170212765957449</v>
      </c>
    </row>
    <row r="917" spans="1:18" x14ac:dyDescent="0.2">
      <c r="A917" s="5">
        <v>916</v>
      </c>
      <c r="B917" s="5">
        <v>119</v>
      </c>
      <c r="C917" s="7">
        <v>45275</v>
      </c>
      <c r="D917" s="5">
        <v>50</v>
      </c>
      <c r="E917" s="4">
        <v>10</v>
      </c>
      <c r="F917" s="12">
        <f t="shared" si="14"/>
        <v>1747.7190000000001</v>
      </c>
      <c r="G917" t="str">
        <f>VLOOKUP(B917,product_tbl[],2,FALSE)</f>
        <v>Wheat Flour 119</v>
      </c>
      <c r="H917" t="str">
        <f>VLOOKUP(B917,product_tbl[],3,FALSE)</f>
        <v>Grocery</v>
      </c>
      <c r="I917">
        <v>1165.146</v>
      </c>
      <c r="J917">
        <f>VLOOKUP(B917,product_tbl[],5,FALSE)</f>
        <v>1941.91</v>
      </c>
      <c r="K917">
        <f>VLOOKUP(B917,review_tbl[],3,FALSE)</f>
        <v>4</v>
      </c>
      <c r="L917" s="11">
        <v>2205.6526165522168</v>
      </c>
      <c r="M917" s="11">
        <f>AVERAGEIF(Table1[product_id],Master_tbl!B917:B1918,Table1[competitor_price])</f>
        <v>4902.3539999999994</v>
      </c>
      <c r="N917" s="11">
        <f>IFERROR(Table5[[#This Row],[final_sale_price]]*Table5[[#This Row],[quantity_sold ]],0)</f>
        <v>87385.95</v>
      </c>
      <c r="O917" s="11">
        <f>(Table5[[#This Row],[final_sale_price]]-Table5[[#This Row],[cost_price]])*Table5[[#This Row],[quantity_sold ]]</f>
        <v>29128.650000000005</v>
      </c>
      <c r="P917" s="11">
        <f>(Table5[final_sale_price]-Table5[[#This Row],[avg_comp_price]])</f>
        <v>-3154.6349999999993</v>
      </c>
      <c r="Q917" s="15">
        <f>(Table5[[#This Row],[final_sale_price]]-Table5[[#This Row],[avg_comp_price]])/Table5[[#This Row],[avg_comp_price]]</f>
        <v>-0.64349392149159357</v>
      </c>
      <c r="R917" s="11">
        <f>Table5[[#This Row],[Profit]]/Table5[[#This Row],[Revenue]]</f>
        <v>0.33333333333333343</v>
      </c>
    </row>
    <row r="918" spans="1:18" x14ac:dyDescent="0.2">
      <c r="A918" s="4">
        <v>917</v>
      </c>
      <c r="B918" s="4">
        <v>8</v>
      </c>
      <c r="C918" s="6">
        <v>45306</v>
      </c>
      <c r="D918" s="4">
        <v>33</v>
      </c>
      <c r="E918" s="4">
        <v>10</v>
      </c>
      <c r="F918" s="12">
        <f t="shared" si="14"/>
        <v>5079.5459999999994</v>
      </c>
      <c r="G918" t="str">
        <f>VLOOKUP(B918,product_tbl[],2,FALSE)</f>
        <v>Puzzle Set 8</v>
      </c>
      <c r="H918" t="str">
        <f>VLOOKUP(B918,product_tbl[],3,FALSE)</f>
        <v>Toys</v>
      </c>
      <c r="I918">
        <v>3386.3639999999996</v>
      </c>
      <c r="J918">
        <f>VLOOKUP(B918,product_tbl[],5,FALSE)</f>
        <v>5643.94</v>
      </c>
      <c r="K918">
        <f>VLOOKUP(B918,review_tbl[],3,FALSE)</f>
        <v>2</v>
      </c>
      <c r="L918" s="11">
        <v>6202.2395194341989</v>
      </c>
      <c r="M918" s="11">
        <f>AVERAGEIF(Table1[product_id],Master_tbl!B918:B1919,Table1[competitor_price])</f>
        <v>2853.6650000000004</v>
      </c>
      <c r="N918" s="11">
        <f>IFERROR(Table5[[#This Row],[final_sale_price]]*Table5[[#This Row],[quantity_sold ]],0)</f>
        <v>167625.01799999998</v>
      </c>
      <c r="O918" s="11">
        <f>(Table5[[#This Row],[final_sale_price]]-Table5[[#This Row],[cost_price]])*Table5[[#This Row],[quantity_sold ]]</f>
        <v>55875.005999999994</v>
      </c>
      <c r="P918" s="11">
        <f>(Table5[final_sale_price]-Table5[[#This Row],[avg_comp_price]])</f>
        <v>2225.8809999999989</v>
      </c>
      <c r="Q918" s="15">
        <f>(Table5[[#This Row],[final_sale_price]]-Table5[[#This Row],[avg_comp_price]])/Table5[[#This Row],[avg_comp_price]]</f>
        <v>0.78000781451221446</v>
      </c>
      <c r="R918" s="11">
        <f>Table5[[#This Row],[Profit]]/Table5[[#This Row],[Revenue]]</f>
        <v>0.33333333333333331</v>
      </c>
    </row>
    <row r="919" spans="1:18" x14ac:dyDescent="0.2">
      <c r="A919" s="5">
        <v>918</v>
      </c>
      <c r="B919" s="5">
        <v>9</v>
      </c>
      <c r="C919" s="7">
        <v>45347</v>
      </c>
      <c r="D919" s="5">
        <v>36</v>
      </c>
      <c r="E919" s="4">
        <v>10</v>
      </c>
      <c r="F919" s="12">
        <f t="shared" si="14"/>
        <v>2577.4650000000001</v>
      </c>
      <c r="G919" t="str">
        <f>VLOOKUP(B919,product_tbl[],2,FALSE)</f>
        <v>Air Conditioner 9</v>
      </c>
      <c r="H919" t="str">
        <f>VLOOKUP(B919,product_tbl[],3,FALSE)</f>
        <v>Home Appliances</v>
      </c>
      <c r="I919">
        <v>1718.31</v>
      </c>
      <c r="J919">
        <f>VLOOKUP(B919,product_tbl[],5,FALSE)</f>
        <v>2863.85</v>
      </c>
      <c r="K919">
        <f>VLOOKUP(B919,review_tbl[],3,FALSE)</f>
        <v>5</v>
      </c>
      <c r="L919" s="11">
        <v>3473.3782560648083</v>
      </c>
      <c r="M919" s="11">
        <f>AVERAGEIF(Table1[product_id],Master_tbl!B919:B1920,Table1[competitor_price])</f>
        <v>6325.1699999999992</v>
      </c>
      <c r="N919" s="11">
        <f>IFERROR(Table5[[#This Row],[final_sale_price]]*Table5[[#This Row],[quantity_sold ]],0)</f>
        <v>92788.74</v>
      </c>
      <c r="O919" s="11">
        <f>(Table5[[#This Row],[final_sale_price]]-Table5[[#This Row],[cost_price]])*Table5[[#This Row],[quantity_sold ]]</f>
        <v>30929.580000000009</v>
      </c>
      <c r="P919" s="11">
        <f>(Table5[final_sale_price]-Table5[[#This Row],[avg_comp_price]])</f>
        <v>-3747.704999999999</v>
      </c>
      <c r="Q919" s="15">
        <f>(Table5[[#This Row],[final_sale_price]]-Table5[[#This Row],[avg_comp_price]])/Table5[[#This Row],[avg_comp_price]]</f>
        <v>-0.59250660456556892</v>
      </c>
      <c r="R919" s="11">
        <f>Table5[[#This Row],[Profit]]/Table5[[#This Row],[Revenue]]</f>
        <v>0.33333333333333343</v>
      </c>
    </row>
    <row r="920" spans="1:18" x14ac:dyDescent="0.2">
      <c r="A920" s="4">
        <v>919</v>
      </c>
      <c r="B920" s="4">
        <v>111</v>
      </c>
      <c r="C920" s="6">
        <v>45089</v>
      </c>
      <c r="D920" s="4">
        <v>11</v>
      </c>
      <c r="E920" s="4">
        <v>10</v>
      </c>
      <c r="F920" s="12">
        <f t="shared" si="14"/>
        <v>678.798</v>
      </c>
      <c r="G920" t="str">
        <f>VLOOKUP(B920,product_tbl[],2,FALSE)</f>
        <v>Perfume 111</v>
      </c>
      <c r="H920" t="str">
        <f>VLOOKUP(B920,product_tbl[],3,FALSE)</f>
        <v>Beauty</v>
      </c>
      <c r="I920">
        <v>452.53199999999998</v>
      </c>
      <c r="J920">
        <f>VLOOKUP(B920,product_tbl[],5,FALSE)</f>
        <v>754.22</v>
      </c>
      <c r="K920">
        <f>VLOOKUP(B920,review_tbl[],3,FALSE)</f>
        <v>3</v>
      </c>
      <c r="L920" s="11">
        <v>756.41902297280558</v>
      </c>
      <c r="M920" s="11">
        <f>AVERAGEIF(Table1[product_id],Master_tbl!B920:B1921,Table1[competitor_price])</f>
        <v>3824.0450000000001</v>
      </c>
      <c r="N920" s="11">
        <f>IFERROR(Table5[[#This Row],[final_sale_price]]*Table5[[#This Row],[quantity_sold ]],0)</f>
        <v>7466.7780000000002</v>
      </c>
      <c r="O920" s="11">
        <f>(Table5[[#This Row],[final_sale_price]]-Table5[[#This Row],[cost_price]])*Table5[[#This Row],[quantity_sold ]]</f>
        <v>2488.9260000000004</v>
      </c>
      <c r="P920" s="11">
        <f>(Table5[final_sale_price]-Table5[[#This Row],[avg_comp_price]])</f>
        <v>-3145.2470000000003</v>
      </c>
      <c r="Q920" s="15">
        <f>(Table5[[#This Row],[final_sale_price]]-Table5[[#This Row],[avg_comp_price]])/Table5[[#This Row],[avg_comp_price]]</f>
        <v>-0.82249215163524492</v>
      </c>
      <c r="R920" s="11">
        <f>Table5[[#This Row],[Profit]]/Table5[[#This Row],[Revenue]]</f>
        <v>0.33333333333333337</v>
      </c>
    </row>
    <row r="921" spans="1:18" x14ac:dyDescent="0.2">
      <c r="A921" s="5">
        <v>920</v>
      </c>
      <c r="B921" s="5">
        <v>147</v>
      </c>
      <c r="C921" s="7">
        <v>45538</v>
      </c>
      <c r="D921" s="5">
        <v>48</v>
      </c>
      <c r="E921" s="4">
        <v>5</v>
      </c>
      <c r="F921" s="12">
        <f t="shared" si="14"/>
        <v>4355.1039999999994</v>
      </c>
      <c r="G921" t="str">
        <f>VLOOKUP(B921,product_tbl[],2,FALSE)</f>
        <v>Cricket Bat 147</v>
      </c>
      <c r="H921" t="str">
        <f>VLOOKUP(B921,product_tbl[],3,FALSE)</f>
        <v>Sports</v>
      </c>
      <c r="I921">
        <v>2750.5919999999996</v>
      </c>
      <c r="J921">
        <f>VLOOKUP(B921,product_tbl[],5,FALSE)</f>
        <v>4584.32</v>
      </c>
      <c r="K921">
        <f>VLOOKUP(B921,review_tbl[],3,FALSE)</f>
        <v>1</v>
      </c>
      <c r="L921" s="11">
        <v>4787.1064712934585</v>
      </c>
      <c r="M921" s="11">
        <f>AVERAGEIF(Table1[product_id],Master_tbl!B921:B1922,Table1[competitor_price])</f>
        <v>769.14</v>
      </c>
      <c r="N921" s="11">
        <f>IFERROR(Table5[[#This Row],[final_sale_price]]*Table5[[#This Row],[quantity_sold ]],0)</f>
        <v>209044.99199999997</v>
      </c>
      <c r="O921" s="11">
        <f>(Table5[[#This Row],[final_sale_price]]-Table5[[#This Row],[cost_price]])*Table5[[#This Row],[quantity_sold ]]</f>
        <v>77016.575999999986</v>
      </c>
      <c r="P921" s="11">
        <f>(Table5[final_sale_price]-Table5[[#This Row],[avg_comp_price]])</f>
        <v>3585.9639999999995</v>
      </c>
      <c r="Q921" s="15">
        <f>(Table5[[#This Row],[final_sale_price]]-Table5[[#This Row],[avg_comp_price]])/Table5[[#This Row],[avg_comp_price]]</f>
        <v>4.6623033517955115</v>
      </c>
      <c r="R921" s="11">
        <f>Table5[[#This Row],[Profit]]/Table5[[#This Row],[Revenue]]</f>
        <v>0.36842105263157893</v>
      </c>
    </row>
    <row r="922" spans="1:18" x14ac:dyDescent="0.2">
      <c r="A922" s="4">
        <v>921</v>
      </c>
      <c r="B922" s="4">
        <v>141</v>
      </c>
      <c r="C922" s="6">
        <v>45858</v>
      </c>
      <c r="D922" s="4">
        <v>24</v>
      </c>
      <c r="E922" s="4">
        <v>4</v>
      </c>
      <c r="F922" s="12">
        <f t="shared" si="14"/>
        <v>7550.5823999999993</v>
      </c>
      <c r="G922" t="str">
        <f>VLOOKUP(B922,product_tbl[],2,FALSE)</f>
        <v>Puzzle Set 141</v>
      </c>
      <c r="H922" t="str">
        <f>VLOOKUP(B922,product_tbl[],3,FALSE)</f>
        <v>Toys</v>
      </c>
      <c r="I922">
        <v>4719.1139999999996</v>
      </c>
      <c r="J922">
        <f>VLOOKUP(B922,product_tbl[],5,FALSE)</f>
        <v>7865.19</v>
      </c>
      <c r="K922">
        <f>VLOOKUP(B922,review_tbl[],3,FALSE)</f>
        <v>5</v>
      </c>
      <c r="L922" s="11">
        <v>7884.4923953602383</v>
      </c>
      <c r="M922" s="11">
        <f>AVERAGEIF(Table1[product_id],Master_tbl!B922:B1923,Table1[competitor_price])</f>
        <v>7586.8133333333344</v>
      </c>
      <c r="N922" s="11">
        <f>IFERROR(Table5[[#This Row],[final_sale_price]]*Table5[[#This Row],[quantity_sold ]],0)</f>
        <v>181213.97759999998</v>
      </c>
      <c r="O922" s="11">
        <f>(Table5[[#This Row],[final_sale_price]]-Table5[[#This Row],[cost_price]])*Table5[[#This Row],[quantity_sold ]]</f>
        <v>67955.241599999994</v>
      </c>
      <c r="P922" s="11">
        <f>(Table5[final_sale_price]-Table5[[#This Row],[avg_comp_price]])</f>
        <v>-36.230933333335088</v>
      </c>
      <c r="Q922" s="15">
        <f>(Table5[[#This Row],[final_sale_price]]-Table5[[#This Row],[avg_comp_price]])/Table5[[#This Row],[avg_comp_price]]</f>
        <v>-4.7755140058806092E-3</v>
      </c>
      <c r="R922" s="11">
        <f>Table5[[#This Row],[Profit]]/Table5[[#This Row],[Revenue]]</f>
        <v>0.375</v>
      </c>
    </row>
    <row r="923" spans="1:18" x14ac:dyDescent="0.2">
      <c r="A923" s="5">
        <v>922</v>
      </c>
      <c r="B923" s="5">
        <v>144</v>
      </c>
      <c r="C923" s="7">
        <v>45889</v>
      </c>
      <c r="D923" s="5">
        <v>37</v>
      </c>
      <c r="E923" s="4">
        <v>2</v>
      </c>
      <c r="F923" s="12">
        <f t="shared" si="14"/>
        <v>1546.6556</v>
      </c>
      <c r="G923" t="str">
        <f>VLOOKUP(B923,product_tbl[],2,FALSE)</f>
        <v>Air Conditioner 144</v>
      </c>
      <c r="H923" t="str">
        <f>VLOOKUP(B923,product_tbl[],3,FALSE)</f>
        <v>Home Appliances</v>
      </c>
      <c r="I923">
        <v>946.93200000000002</v>
      </c>
      <c r="J923">
        <f>VLOOKUP(B923,product_tbl[],5,FALSE)</f>
        <v>1578.22</v>
      </c>
      <c r="K923">
        <f>VLOOKUP(B923,review_tbl[],3,FALSE)</f>
        <v>2</v>
      </c>
      <c r="L923" s="11">
        <v>1633.7662673809791</v>
      </c>
      <c r="M923" s="11">
        <f>AVERAGEIF(Table1[product_id],Master_tbl!B923:B1924,Table1[competitor_price])</f>
        <v>6414.0239999999994</v>
      </c>
      <c r="N923" s="11">
        <f>IFERROR(Table5[[#This Row],[final_sale_price]]*Table5[[#This Row],[quantity_sold ]],0)</f>
        <v>57226.2572</v>
      </c>
      <c r="O923" s="11">
        <f>(Table5[[#This Row],[final_sale_price]]-Table5[[#This Row],[cost_price]])*Table5[[#This Row],[quantity_sold ]]</f>
        <v>22189.7732</v>
      </c>
      <c r="P923" s="11">
        <f>(Table5[final_sale_price]-Table5[[#This Row],[avg_comp_price]])</f>
        <v>-4867.3683999999994</v>
      </c>
      <c r="Q923" s="15">
        <f>(Table5[[#This Row],[final_sale_price]]-Table5[[#This Row],[avg_comp_price]])/Table5[[#This Row],[avg_comp_price]]</f>
        <v>-0.75886345295870417</v>
      </c>
      <c r="R923" s="11">
        <f>Table5[[#This Row],[Profit]]/Table5[[#This Row],[Revenue]]</f>
        <v>0.38775510204081631</v>
      </c>
    </row>
    <row r="924" spans="1:18" x14ac:dyDescent="0.2">
      <c r="A924" s="4">
        <v>923</v>
      </c>
      <c r="B924" s="4">
        <v>37</v>
      </c>
      <c r="C924" s="6">
        <v>45742</v>
      </c>
      <c r="D924" s="4">
        <v>49</v>
      </c>
      <c r="E924" s="4">
        <v>5</v>
      </c>
      <c r="F924" s="12">
        <f t="shared" si="14"/>
        <v>3668.3964999999998</v>
      </c>
      <c r="G924" t="str">
        <f>VLOOKUP(B924,product_tbl[],2,FALSE)</f>
        <v>Sugar 37</v>
      </c>
      <c r="H924" t="str">
        <f>VLOOKUP(B924,product_tbl[],3,FALSE)</f>
        <v>Grocery</v>
      </c>
      <c r="I924">
        <v>2316.8819999999996</v>
      </c>
      <c r="J924">
        <f>VLOOKUP(B924,product_tbl[],5,FALSE)</f>
        <v>3861.47</v>
      </c>
      <c r="K924">
        <f>VLOOKUP(B924,review_tbl[],3,FALSE)</f>
        <v>1</v>
      </c>
      <c r="L924" s="11">
        <v>4944.6298461431052</v>
      </c>
      <c r="M924" s="11">
        <f>AVERAGEIF(Table1[product_id],Master_tbl!B924:B1925,Table1[competitor_price])</f>
        <v>2618.5759999999996</v>
      </c>
      <c r="N924" s="11">
        <f>IFERROR(Table5[[#This Row],[final_sale_price]]*Table5[[#This Row],[quantity_sold ]],0)</f>
        <v>179751.42849999998</v>
      </c>
      <c r="O924" s="11">
        <f>(Table5[[#This Row],[final_sale_price]]-Table5[[#This Row],[cost_price]])*Table5[[#This Row],[quantity_sold ]]</f>
        <v>66224.210500000016</v>
      </c>
      <c r="P924" s="11">
        <f>(Table5[final_sale_price]-Table5[[#This Row],[avg_comp_price]])</f>
        <v>1049.8205000000003</v>
      </c>
      <c r="Q924" s="15">
        <f>(Table5[[#This Row],[final_sale_price]]-Table5[[#This Row],[avg_comp_price]])/Table5[[#This Row],[avg_comp_price]]</f>
        <v>0.40091274799738502</v>
      </c>
      <c r="R924" s="11">
        <f>Table5[[#This Row],[Profit]]/Table5[[#This Row],[Revenue]]</f>
        <v>0.36842105263157909</v>
      </c>
    </row>
    <row r="925" spans="1:18" x14ac:dyDescent="0.2">
      <c r="A925" s="5">
        <v>924</v>
      </c>
      <c r="B925" s="5">
        <v>122</v>
      </c>
      <c r="C925" s="7">
        <v>45775</v>
      </c>
      <c r="D925" s="5">
        <v>21</v>
      </c>
      <c r="E925" s="4">
        <v>8</v>
      </c>
      <c r="F925" s="12">
        <f t="shared" si="14"/>
        <v>4735.9207999999999</v>
      </c>
      <c r="G925" t="str">
        <f>VLOOKUP(B925,product_tbl[],2,FALSE)</f>
        <v>Shampoo 122</v>
      </c>
      <c r="H925" t="str">
        <f>VLOOKUP(B925,product_tbl[],3,FALSE)</f>
        <v>Beauty</v>
      </c>
      <c r="I925">
        <v>3088.6439999999998</v>
      </c>
      <c r="J925">
        <f>VLOOKUP(B925,product_tbl[],5,FALSE)</f>
        <v>5147.74</v>
      </c>
      <c r="K925">
        <f>VLOOKUP(B925,review_tbl[],3,FALSE)</f>
        <v>3</v>
      </c>
      <c r="L925" s="11">
        <v>5996.0350820558915</v>
      </c>
      <c r="M925" s="11">
        <f>AVERAGEIF(Table1[product_id],Master_tbl!B925:B1926,Table1[competitor_price])</f>
        <v>4724.1475</v>
      </c>
      <c r="N925" s="11">
        <f>IFERROR(Table5[[#This Row],[final_sale_price]]*Table5[[#This Row],[quantity_sold ]],0)</f>
        <v>99454.33679999999</v>
      </c>
      <c r="O925" s="11">
        <f>(Table5[[#This Row],[final_sale_price]]-Table5[[#This Row],[cost_price]])*Table5[[#This Row],[quantity_sold ]]</f>
        <v>34592.8128</v>
      </c>
      <c r="P925" s="11">
        <f>(Table5[final_sale_price]-Table5[[#This Row],[avg_comp_price]])</f>
        <v>11.773299999999836</v>
      </c>
      <c r="Q925" s="15">
        <f>(Table5[[#This Row],[final_sale_price]]-Table5[[#This Row],[avg_comp_price]])/Table5[[#This Row],[avg_comp_price]]</f>
        <v>2.4921533461857055E-3</v>
      </c>
      <c r="R925" s="11">
        <f>Table5[[#This Row],[Profit]]/Table5[[#This Row],[Revenue]]</f>
        <v>0.34782608695652178</v>
      </c>
    </row>
    <row r="926" spans="1:18" x14ac:dyDescent="0.2">
      <c r="A926" s="4">
        <v>925</v>
      </c>
      <c r="B926" s="4">
        <v>99</v>
      </c>
      <c r="C926" s="6">
        <v>45836</v>
      </c>
      <c r="D926" s="4">
        <v>21</v>
      </c>
      <c r="E926" s="4">
        <v>10</v>
      </c>
      <c r="F926" s="12">
        <f t="shared" si="14"/>
        <v>1839.5820000000001</v>
      </c>
      <c r="G926" t="str">
        <f>VLOOKUP(B926,product_tbl[],2,FALSE)</f>
        <v>Sneakers 99</v>
      </c>
      <c r="H926" t="str">
        <f>VLOOKUP(B926,product_tbl[],3,FALSE)</f>
        <v>Fashion</v>
      </c>
      <c r="I926">
        <v>1226.3879999999999</v>
      </c>
      <c r="J926">
        <f>VLOOKUP(B926,product_tbl[],5,FALSE)</f>
        <v>2043.98</v>
      </c>
      <c r="K926">
        <f>VLOOKUP(B926,review_tbl[],3,FALSE)</f>
        <v>2</v>
      </c>
      <c r="L926" s="11">
        <v>2560.7854606820388</v>
      </c>
      <c r="M926" s="11">
        <f>AVERAGEIF(Table1[product_id],Master_tbl!B926:B1927,Table1[competitor_price])</f>
        <v>958.76666666666654</v>
      </c>
      <c r="N926" s="11">
        <f>IFERROR(Table5[[#This Row],[final_sale_price]]*Table5[[#This Row],[quantity_sold ]],0)</f>
        <v>38631.222000000002</v>
      </c>
      <c r="O926" s="11">
        <f>(Table5[[#This Row],[final_sale_price]]-Table5[[#This Row],[cost_price]])*Table5[[#This Row],[quantity_sold ]]</f>
        <v>12877.074000000004</v>
      </c>
      <c r="P926" s="11">
        <f>(Table5[final_sale_price]-Table5[[#This Row],[avg_comp_price]])</f>
        <v>880.81533333333357</v>
      </c>
      <c r="Q926" s="15">
        <f>(Table5[[#This Row],[final_sale_price]]-Table5[[#This Row],[avg_comp_price]])/Table5[[#This Row],[avg_comp_price]]</f>
        <v>0.91869624169940589</v>
      </c>
      <c r="R926" s="11">
        <f>Table5[[#This Row],[Profit]]/Table5[[#This Row],[Revenue]]</f>
        <v>0.33333333333333343</v>
      </c>
    </row>
    <row r="927" spans="1:18" x14ac:dyDescent="0.2">
      <c r="A927" s="5">
        <v>926</v>
      </c>
      <c r="B927" s="5">
        <v>62</v>
      </c>
      <c r="C927" s="7">
        <v>45531</v>
      </c>
      <c r="D927" s="5">
        <v>6</v>
      </c>
      <c r="E927" s="4">
        <v>4</v>
      </c>
      <c r="F927" s="12">
        <f t="shared" si="14"/>
        <v>3319.6223999999997</v>
      </c>
      <c r="G927" t="str">
        <f>VLOOKUP(B927,product_tbl[],2,FALSE)</f>
        <v>Olive Oil 62</v>
      </c>
      <c r="H927" t="str">
        <f>VLOOKUP(B927,product_tbl[],3,FALSE)</f>
        <v>Grocery</v>
      </c>
      <c r="I927">
        <v>2074.7640000000001</v>
      </c>
      <c r="J927">
        <f>VLOOKUP(B927,product_tbl[],5,FALSE)</f>
        <v>3457.94</v>
      </c>
      <c r="K927">
        <f>VLOOKUP(B927,review_tbl[],3,FALSE)</f>
        <v>4</v>
      </c>
      <c r="L927" s="11">
        <v>3640.220492158362</v>
      </c>
      <c r="M927" s="11">
        <f>AVERAGEIF(Table1[product_id],Master_tbl!B927:B1928,Table1[competitor_price])</f>
        <v>5560.3266666666668</v>
      </c>
      <c r="N927" s="11">
        <f>IFERROR(Table5[[#This Row],[final_sale_price]]*Table5[[#This Row],[quantity_sold ]],0)</f>
        <v>19917.734399999998</v>
      </c>
      <c r="O927" s="11">
        <f>(Table5[[#This Row],[final_sale_price]]-Table5[[#This Row],[cost_price]])*Table5[[#This Row],[quantity_sold ]]</f>
        <v>7469.1503999999977</v>
      </c>
      <c r="P927" s="11">
        <f>(Table5[final_sale_price]-Table5[[#This Row],[avg_comp_price]])</f>
        <v>-2240.7042666666671</v>
      </c>
      <c r="Q927" s="15">
        <f>(Table5[[#This Row],[final_sale_price]]-Table5[[#This Row],[avg_comp_price]])/Table5[[#This Row],[avg_comp_price]]</f>
        <v>-0.40298068818498678</v>
      </c>
      <c r="R927" s="11">
        <f>Table5[[#This Row],[Profit]]/Table5[[#This Row],[Revenue]]</f>
        <v>0.37499999999999994</v>
      </c>
    </row>
    <row r="928" spans="1:18" x14ac:dyDescent="0.2">
      <c r="A928" s="4">
        <v>927</v>
      </c>
      <c r="B928" s="4">
        <v>126</v>
      </c>
      <c r="C928" s="6">
        <v>45686</v>
      </c>
      <c r="D928" s="4">
        <v>2</v>
      </c>
      <c r="E928" s="4">
        <v>3</v>
      </c>
      <c r="F928" s="12">
        <f t="shared" si="14"/>
        <v>982.83309999999994</v>
      </c>
      <c r="G928" t="str">
        <f>VLOOKUP(B928,product_tbl[],2,FALSE)</f>
        <v>Cricket Bat 126</v>
      </c>
      <c r="H928" t="str">
        <f>VLOOKUP(B928,product_tbl[],3,FALSE)</f>
        <v>Sports</v>
      </c>
      <c r="I928">
        <v>607.93799999999999</v>
      </c>
      <c r="J928">
        <f>VLOOKUP(B928,product_tbl[],5,FALSE)</f>
        <v>1013.23</v>
      </c>
      <c r="K928">
        <f>VLOOKUP(B928,review_tbl[],3,FALSE)</f>
        <v>5</v>
      </c>
      <c r="L928" s="11">
        <v>1201.4495049068555</v>
      </c>
      <c r="M928" s="11">
        <f>AVERAGEIF(Table1[product_id],Master_tbl!B928:B1929,Table1[competitor_price])</f>
        <v>7593.0025000000005</v>
      </c>
      <c r="N928" s="11">
        <f>IFERROR(Table5[[#This Row],[final_sale_price]]*Table5[[#This Row],[quantity_sold ]],0)</f>
        <v>1965.6661999999999</v>
      </c>
      <c r="O928" s="11">
        <f>(Table5[[#This Row],[final_sale_price]]-Table5[[#This Row],[cost_price]])*Table5[[#This Row],[quantity_sold ]]</f>
        <v>749.79019999999991</v>
      </c>
      <c r="P928" s="11">
        <f>(Table5[final_sale_price]-Table5[[#This Row],[avg_comp_price]])</f>
        <v>-6610.1694000000007</v>
      </c>
      <c r="Q928" s="15">
        <f>(Table5[[#This Row],[final_sale_price]]-Table5[[#This Row],[avg_comp_price]])/Table5[[#This Row],[avg_comp_price]]</f>
        <v>-0.8705606774131841</v>
      </c>
      <c r="R928" s="11">
        <f>Table5[[#This Row],[Profit]]/Table5[[#This Row],[Revenue]]</f>
        <v>0.38144329896907214</v>
      </c>
    </row>
    <row r="929" spans="1:18" x14ac:dyDescent="0.2">
      <c r="A929" s="5">
        <v>928</v>
      </c>
      <c r="B929" s="5">
        <v>118</v>
      </c>
      <c r="C929" s="7">
        <v>45690</v>
      </c>
      <c r="D929" s="5">
        <v>18</v>
      </c>
      <c r="E929" s="4">
        <v>6</v>
      </c>
      <c r="F929" s="12">
        <f t="shared" si="14"/>
        <v>2960.2949999999996</v>
      </c>
      <c r="G929" t="str">
        <f>VLOOKUP(B929,product_tbl[],2,FALSE)</f>
        <v>Doll 118</v>
      </c>
      <c r="H929" t="str">
        <f>VLOOKUP(B929,product_tbl[],3,FALSE)</f>
        <v>Toys</v>
      </c>
      <c r="I929">
        <v>1889.55</v>
      </c>
      <c r="J929">
        <f>VLOOKUP(B929,product_tbl[],5,FALSE)</f>
        <v>3149.25</v>
      </c>
      <c r="K929">
        <f>VLOOKUP(B929,review_tbl[],3,FALSE)</f>
        <v>5</v>
      </c>
      <c r="L929" s="11">
        <v>3666.5775891463959</v>
      </c>
      <c r="M929" s="11">
        <f>AVERAGEIF(Table1[product_id],Master_tbl!B929:B1930,Table1[competitor_price])</f>
        <v>224.52399999999997</v>
      </c>
      <c r="N929" s="11">
        <f>IFERROR(Table5[[#This Row],[final_sale_price]]*Table5[[#This Row],[quantity_sold ]],0)</f>
        <v>53285.30999999999</v>
      </c>
      <c r="O929" s="11">
        <f>(Table5[[#This Row],[final_sale_price]]-Table5[[#This Row],[cost_price]])*Table5[[#This Row],[quantity_sold ]]</f>
        <v>19273.409999999993</v>
      </c>
      <c r="P929" s="11">
        <f>(Table5[final_sale_price]-Table5[[#This Row],[avg_comp_price]])</f>
        <v>2735.7709999999997</v>
      </c>
      <c r="Q929" s="15">
        <f>(Table5[[#This Row],[final_sale_price]]-Table5[[#This Row],[avg_comp_price]])/Table5[[#This Row],[avg_comp_price]]</f>
        <v>12.184759758422263</v>
      </c>
      <c r="R929" s="11">
        <f>Table5[[#This Row],[Profit]]/Table5[[#This Row],[Revenue]]</f>
        <v>0.36170212765957438</v>
      </c>
    </row>
    <row r="930" spans="1:18" x14ac:dyDescent="0.2">
      <c r="A930" s="4">
        <v>929</v>
      </c>
      <c r="B930" s="4">
        <v>132</v>
      </c>
      <c r="C930" s="6">
        <v>45168</v>
      </c>
      <c r="D930" s="4">
        <v>2</v>
      </c>
      <c r="E930" s="4">
        <v>4</v>
      </c>
      <c r="F930" s="12">
        <f t="shared" si="14"/>
        <v>5268.7968000000001</v>
      </c>
      <c r="G930" t="str">
        <f>VLOOKUP(B930,product_tbl[],2,FALSE)</f>
        <v>Cricket Bat 132</v>
      </c>
      <c r="H930" t="str">
        <f>VLOOKUP(B930,product_tbl[],3,FALSE)</f>
        <v>Sports</v>
      </c>
      <c r="I930">
        <v>3292.998</v>
      </c>
      <c r="J930">
        <f>VLOOKUP(B930,product_tbl[],5,FALSE)</f>
        <v>5488.33</v>
      </c>
      <c r="K930">
        <f>VLOOKUP(B930,review_tbl[],3,FALSE)</f>
        <v>5</v>
      </c>
      <c r="L930" s="11">
        <v>7059.4246338351431</v>
      </c>
      <c r="M930" s="11">
        <f>AVERAGEIF(Table1[product_id],Master_tbl!B930:B1931,Table1[competitor_price])</f>
        <v>3374.6533333333332</v>
      </c>
      <c r="N930" s="11">
        <f>IFERROR(Table5[[#This Row],[final_sale_price]]*Table5[[#This Row],[quantity_sold ]],0)</f>
        <v>10537.5936</v>
      </c>
      <c r="O930" s="11">
        <f>(Table5[[#This Row],[final_sale_price]]-Table5[[#This Row],[cost_price]])*Table5[[#This Row],[quantity_sold ]]</f>
        <v>3951.5976000000001</v>
      </c>
      <c r="P930" s="11">
        <f>(Table5[final_sale_price]-Table5[[#This Row],[avg_comp_price]])</f>
        <v>1894.1434666666669</v>
      </c>
      <c r="Q930" s="15">
        <f>(Table5[[#This Row],[final_sale_price]]-Table5[[#This Row],[avg_comp_price]])/Table5[[#This Row],[avg_comp_price]]</f>
        <v>0.56128534684056441</v>
      </c>
      <c r="R930" s="11">
        <f>Table5[[#This Row],[Profit]]/Table5[[#This Row],[Revenue]]</f>
        <v>0.375</v>
      </c>
    </row>
    <row r="931" spans="1:18" x14ac:dyDescent="0.2">
      <c r="A931" s="5">
        <v>930</v>
      </c>
      <c r="B931" s="5">
        <v>58</v>
      </c>
      <c r="C931" s="7">
        <v>44948</v>
      </c>
      <c r="D931" s="5">
        <v>41</v>
      </c>
      <c r="E931" s="4">
        <v>6</v>
      </c>
      <c r="F931" s="12">
        <f t="shared" si="14"/>
        <v>1070.2651999999998</v>
      </c>
      <c r="G931" t="str">
        <f>VLOOKUP(B931,product_tbl[],2,FALSE)</f>
        <v>Wheat Flour 58</v>
      </c>
      <c r="H931" t="str">
        <f>VLOOKUP(B931,product_tbl[],3,FALSE)</f>
        <v>Grocery</v>
      </c>
      <c r="I931">
        <v>683.14799999999991</v>
      </c>
      <c r="J931">
        <f>VLOOKUP(B931,product_tbl[],5,FALSE)</f>
        <v>1138.58</v>
      </c>
      <c r="K931">
        <f>VLOOKUP(B931,review_tbl[],3,FALSE)</f>
        <v>2</v>
      </c>
      <c r="L931" s="11">
        <v>1345.0390619188779</v>
      </c>
      <c r="M931" s="11">
        <f>AVERAGEIF(Table1[product_id],Master_tbl!B931:B1932,Table1[competitor_price])</f>
        <v>1439.8525</v>
      </c>
      <c r="N931" s="11">
        <f>IFERROR(Table5[[#This Row],[final_sale_price]]*Table5[[#This Row],[quantity_sold ]],0)</f>
        <v>43880.873199999995</v>
      </c>
      <c r="O931" s="11">
        <f>(Table5[[#This Row],[final_sale_price]]-Table5[[#This Row],[cost_price]])*Table5[[#This Row],[quantity_sold ]]</f>
        <v>15871.805199999997</v>
      </c>
      <c r="P931" s="11">
        <f>(Table5[final_sale_price]-Table5[[#This Row],[avg_comp_price]])</f>
        <v>-369.58730000000014</v>
      </c>
      <c r="Q931" s="15">
        <f>(Table5[[#This Row],[final_sale_price]]-Table5[[#This Row],[avg_comp_price]])/Table5[[#This Row],[avg_comp_price]]</f>
        <v>-0.25668413952123581</v>
      </c>
      <c r="R931" s="11">
        <f>Table5[[#This Row],[Profit]]/Table5[[#This Row],[Revenue]]</f>
        <v>0.36170212765957444</v>
      </c>
    </row>
    <row r="932" spans="1:18" x14ac:dyDescent="0.2">
      <c r="A932" s="4">
        <v>931</v>
      </c>
      <c r="B932" s="4">
        <v>141</v>
      </c>
      <c r="C932" s="6">
        <v>45203</v>
      </c>
      <c r="D932" s="4">
        <v>40</v>
      </c>
      <c r="E932" s="4">
        <v>7</v>
      </c>
      <c r="F932" s="12">
        <f t="shared" si="14"/>
        <v>7314.6266999999989</v>
      </c>
      <c r="G932" t="str">
        <f>VLOOKUP(B932,product_tbl[],2,FALSE)</f>
        <v>Puzzle Set 141</v>
      </c>
      <c r="H932" t="str">
        <f>VLOOKUP(B932,product_tbl[],3,FALSE)</f>
        <v>Toys</v>
      </c>
      <c r="I932">
        <v>4719.1139999999996</v>
      </c>
      <c r="J932">
        <f>VLOOKUP(B932,product_tbl[],5,FALSE)</f>
        <v>7865.19</v>
      </c>
      <c r="K932">
        <f>VLOOKUP(B932,review_tbl[],3,FALSE)</f>
        <v>5</v>
      </c>
      <c r="L932" s="11">
        <v>8319.4486905866434</v>
      </c>
      <c r="M932" s="11">
        <f>AVERAGEIF(Table1[product_id],Master_tbl!B932:B1933,Table1[competitor_price])</f>
        <v>7586.8133333333344</v>
      </c>
      <c r="N932" s="11">
        <f>IFERROR(Table5[[#This Row],[final_sale_price]]*Table5[[#This Row],[quantity_sold ]],0)</f>
        <v>292585.06799999997</v>
      </c>
      <c r="O932" s="11">
        <f>(Table5[[#This Row],[final_sale_price]]-Table5[[#This Row],[cost_price]])*Table5[[#This Row],[quantity_sold ]]</f>
        <v>103820.50799999997</v>
      </c>
      <c r="P932" s="11">
        <f>(Table5[final_sale_price]-Table5[[#This Row],[avg_comp_price]])</f>
        <v>-272.18663333333552</v>
      </c>
      <c r="Q932" s="15">
        <f>(Table5[[#This Row],[final_sale_price]]-Table5[[#This Row],[avg_comp_price]])/Table5[[#This Row],[avg_comp_price]]</f>
        <v>-3.58762791931969E-2</v>
      </c>
      <c r="R932" s="11">
        <f>Table5[[#This Row],[Profit]]/Table5[[#This Row],[Revenue]]</f>
        <v>0.35483870967741932</v>
      </c>
    </row>
    <row r="933" spans="1:18" x14ac:dyDescent="0.2">
      <c r="A933" s="5">
        <v>932</v>
      </c>
      <c r="B933" s="5">
        <v>16</v>
      </c>
      <c r="C933" s="7">
        <v>44957</v>
      </c>
      <c r="D933" s="5">
        <v>39</v>
      </c>
      <c r="E933" s="4">
        <v>9</v>
      </c>
      <c r="F933" s="12">
        <f t="shared" si="14"/>
        <v>6144.1380000000008</v>
      </c>
      <c r="G933" t="str">
        <f>VLOOKUP(B933,product_tbl[],2,FALSE)</f>
        <v>Cookbook 16</v>
      </c>
      <c r="H933" t="str">
        <f>VLOOKUP(B933,product_tbl[],3,FALSE)</f>
        <v>Books</v>
      </c>
      <c r="I933">
        <v>4051.08</v>
      </c>
      <c r="J933">
        <f>VLOOKUP(B933,product_tbl[],5,FALSE)</f>
        <v>6751.8</v>
      </c>
      <c r="K933">
        <f>VLOOKUP(B933,review_tbl[],3,FALSE)</f>
        <v>4</v>
      </c>
      <c r="L933" s="11">
        <v>8036.4471256525694</v>
      </c>
      <c r="M933" s="11">
        <f>AVERAGEIF(Table1[product_id],Master_tbl!B933:B1934,Table1[competitor_price])</f>
        <v>6827.7939999999999</v>
      </c>
      <c r="N933" s="11">
        <f>IFERROR(Table5[[#This Row],[final_sale_price]]*Table5[[#This Row],[quantity_sold ]],0)</f>
        <v>239621.38200000004</v>
      </c>
      <c r="O933" s="11">
        <f>(Table5[[#This Row],[final_sale_price]]-Table5[[#This Row],[cost_price]])*Table5[[#This Row],[quantity_sold ]]</f>
        <v>81629.262000000032</v>
      </c>
      <c r="P933" s="11">
        <f>(Table5[final_sale_price]-Table5[[#This Row],[avg_comp_price]])</f>
        <v>-683.65599999999904</v>
      </c>
      <c r="Q933" s="15">
        <f>(Table5[[#This Row],[final_sale_price]]-Table5[[#This Row],[avg_comp_price]])/Table5[[#This Row],[avg_comp_price]]</f>
        <v>-0.10012838700171667</v>
      </c>
      <c r="R933" s="11">
        <f>Table5[[#This Row],[Profit]]/Table5[[#This Row],[Revenue]]</f>
        <v>0.34065934065934073</v>
      </c>
    </row>
    <row r="934" spans="1:18" x14ac:dyDescent="0.2">
      <c r="A934" s="4">
        <v>933</v>
      </c>
      <c r="B934" s="4">
        <v>32</v>
      </c>
      <c r="C934" s="6">
        <v>45236</v>
      </c>
      <c r="D934" s="4">
        <v>6</v>
      </c>
      <c r="E934" s="4">
        <v>8</v>
      </c>
      <c r="F934" s="12">
        <f t="shared" si="14"/>
        <v>873.04320000000007</v>
      </c>
      <c r="G934" t="str">
        <f>VLOOKUP(B934,product_tbl[],2,FALSE)</f>
        <v>Fiction Novel 32</v>
      </c>
      <c r="H934" t="str">
        <f>VLOOKUP(B934,product_tbl[],3,FALSE)</f>
        <v>Books</v>
      </c>
      <c r="I934">
        <v>569.37599999999998</v>
      </c>
      <c r="J934">
        <f>VLOOKUP(B934,product_tbl[],5,FALSE)</f>
        <v>948.96</v>
      </c>
      <c r="K934">
        <f>VLOOKUP(B934,review_tbl[],3,FALSE)</f>
        <v>4</v>
      </c>
      <c r="L934" s="11">
        <v>1053.0284387748418</v>
      </c>
      <c r="M934" s="11">
        <f>AVERAGEIF(Table1[product_id],Master_tbl!B934:B1935,Table1[competitor_price])</f>
        <v>2168.4866666666671</v>
      </c>
      <c r="N934" s="11">
        <f>IFERROR(Table5[[#This Row],[final_sale_price]]*Table5[[#This Row],[quantity_sold ]],0)</f>
        <v>5238.2592000000004</v>
      </c>
      <c r="O934" s="11">
        <f>(Table5[[#This Row],[final_sale_price]]-Table5[[#This Row],[cost_price]])*Table5[[#This Row],[quantity_sold ]]</f>
        <v>1822.0032000000006</v>
      </c>
      <c r="P934" s="11">
        <f>(Table5[final_sale_price]-Table5[[#This Row],[avg_comp_price]])</f>
        <v>-1295.4434666666671</v>
      </c>
      <c r="Q934" s="15">
        <f>(Table5[[#This Row],[final_sale_price]]-Table5[[#This Row],[avg_comp_price]])/Table5[[#This Row],[avg_comp_price]]</f>
        <v>-0.59739517267034159</v>
      </c>
      <c r="R934" s="11">
        <f>Table5[[#This Row],[Profit]]/Table5[[#This Row],[Revenue]]</f>
        <v>0.34782608695652184</v>
      </c>
    </row>
    <row r="935" spans="1:18" x14ac:dyDescent="0.2">
      <c r="A935" s="5">
        <v>934</v>
      </c>
      <c r="B935" s="5">
        <v>25</v>
      </c>
      <c r="C935" s="7">
        <v>45215</v>
      </c>
      <c r="D935" s="5">
        <v>3</v>
      </c>
      <c r="E935" s="4">
        <v>4</v>
      </c>
      <c r="F935" s="12">
        <f t="shared" si="14"/>
        <v>545.44319999999993</v>
      </c>
      <c r="G935" t="str">
        <f>VLOOKUP(B935,product_tbl[],2,FALSE)</f>
        <v>Tennis Racket 25</v>
      </c>
      <c r="H935" t="str">
        <f>VLOOKUP(B935,product_tbl[],3,FALSE)</f>
        <v>Sports</v>
      </c>
      <c r="I935">
        <v>340.90199999999999</v>
      </c>
      <c r="J935">
        <f>VLOOKUP(B935,product_tbl[],5,FALSE)</f>
        <v>568.16999999999996</v>
      </c>
      <c r="K935">
        <f>VLOOKUP(B935,review_tbl[],3,FALSE)</f>
        <v>1</v>
      </c>
      <c r="L935" s="11">
        <v>672.42945627882182</v>
      </c>
      <c r="M935" s="11">
        <f>AVERAGEIF(Table1[product_id],Master_tbl!B935:B1936,Table1[competitor_price])</f>
        <v>2024.2300000000002</v>
      </c>
      <c r="N935" s="11">
        <f>IFERROR(Table5[[#This Row],[final_sale_price]]*Table5[[#This Row],[quantity_sold ]],0)</f>
        <v>1636.3295999999998</v>
      </c>
      <c r="O935" s="11">
        <f>(Table5[[#This Row],[final_sale_price]]-Table5[[#This Row],[cost_price]])*Table5[[#This Row],[quantity_sold ]]</f>
        <v>613.6235999999999</v>
      </c>
      <c r="P935" s="11">
        <f>(Table5[final_sale_price]-Table5[[#This Row],[avg_comp_price]])</f>
        <v>-1478.7868000000003</v>
      </c>
      <c r="Q935" s="15">
        <f>(Table5[[#This Row],[final_sale_price]]-Table5[[#This Row],[avg_comp_price]])/Table5[[#This Row],[avg_comp_price]]</f>
        <v>-0.73054287309248467</v>
      </c>
      <c r="R935" s="11">
        <f>Table5[[#This Row],[Profit]]/Table5[[#This Row],[Revenue]]</f>
        <v>0.375</v>
      </c>
    </row>
    <row r="936" spans="1:18" x14ac:dyDescent="0.2">
      <c r="A936" s="4">
        <v>935</v>
      </c>
      <c r="B936" s="4">
        <v>138</v>
      </c>
      <c r="C936" s="6">
        <v>45013</v>
      </c>
      <c r="D936" s="4">
        <v>23</v>
      </c>
      <c r="E936" s="4">
        <v>2</v>
      </c>
      <c r="F936" s="12">
        <f t="shared" si="14"/>
        <v>3029.6601999999998</v>
      </c>
      <c r="G936" t="str">
        <f>VLOOKUP(B936,product_tbl[],2,FALSE)</f>
        <v>Running Shoes 138</v>
      </c>
      <c r="H936" t="str">
        <f>VLOOKUP(B936,product_tbl[],3,FALSE)</f>
        <v>Sports</v>
      </c>
      <c r="I936">
        <v>1854.8939999999998</v>
      </c>
      <c r="J936">
        <f>VLOOKUP(B936,product_tbl[],5,FALSE)</f>
        <v>3091.49</v>
      </c>
      <c r="K936">
        <f>VLOOKUP(B936,review_tbl[],3,FALSE)</f>
        <v>5</v>
      </c>
      <c r="L936" s="11">
        <v>3619.8341958061096</v>
      </c>
      <c r="M936" s="11">
        <f>AVERAGEIF(Table1[product_id],Master_tbl!B936:B1937,Table1[competitor_price])</f>
        <v>4980.4933333333329</v>
      </c>
      <c r="N936" s="11">
        <f>IFERROR(Table5[[#This Row],[final_sale_price]]*Table5[[#This Row],[quantity_sold ]],0)</f>
        <v>69682.184599999993</v>
      </c>
      <c r="O936" s="11">
        <f>(Table5[[#This Row],[final_sale_price]]-Table5[[#This Row],[cost_price]])*Table5[[#This Row],[quantity_sold ]]</f>
        <v>27019.622600000002</v>
      </c>
      <c r="P936" s="11">
        <f>(Table5[final_sale_price]-Table5[[#This Row],[avg_comp_price]])</f>
        <v>-1950.8331333333331</v>
      </c>
      <c r="Q936" s="15">
        <f>(Table5[[#This Row],[final_sale_price]]-Table5[[#This Row],[avg_comp_price]])/Table5[[#This Row],[avg_comp_price]]</f>
        <v>-0.39169475848443391</v>
      </c>
      <c r="R936" s="11">
        <f>Table5[[#This Row],[Profit]]/Table5[[#This Row],[Revenue]]</f>
        <v>0.38775510204081642</v>
      </c>
    </row>
    <row r="937" spans="1:18" x14ac:dyDescent="0.2">
      <c r="A937" s="5">
        <v>936</v>
      </c>
      <c r="B937" s="5">
        <v>52</v>
      </c>
      <c r="C937" s="7">
        <v>45603</v>
      </c>
      <c r="D937" s="5">
        <v>10</v>
      </c>
      <c r="E937" s="4">
        <v>9</v>
      </c>
      <c r="F937" s="12">
        <f t="shared" si="14"/>
        <v>4057.8538000000003</v>
      </c>
      <c r="G937" t="str">
        <f>VLOOKUP(B937,product_tbl[],2,FALSE)</f>
        <v>Cookbook 52</v>
      </c>
      <c r="H937" t="str">
        <f>VLOOKUP(B937,product_tbl[],3,FALSE)</f>
        <v>Books</v>
      </c>
      <c r="I937">
        <v>2675.5080000000003</v>
      </c>
      <c r="J937">
        <f>VLOOKUP(B937,product_tbl[],5,FALSE)</f>
        <v>4459.18</v>
      </c>
      <c r="K937">
        <f>VLOOKUP(B937,review_tbl[],3,FALSE)</f>
        <v>3</v>
      </c>
      <c r="L937" s="11">
        <v>5168.9242862438396</v>
      </c>
      <c r="M937" s="11">
        <f>AVERAGEIF(Table1[product_id],Master_tbl!B937:B1938,Table1[competitor_price])</f>
        <v>6258.09</v>
      </c>
      <c r="N937" s="11">
        <f>IFERROR(Table5[[#This Row],[final_sale_price]]*Table5[[#This Row],[quantity_sold ]],0)</f>
        <v>40578.538</v>
      </c>
      <c r="O937" s="11">
        <f>(Table5[[#This Row],[final_sale_price]]-Table5[[#This Row],[cost_price]])*Table5[[#This Row],[quantity_sold ]]</f>
        <v>13823.458000000001</v>
      </c>
      <c r="P937" s="11">
        <f>(Table5[final_sale_price]-Table5[[#This Row],[avg_comp_price]])</f>
        <v>-2200.2361999999998</v>
      </c>
      <c r="Q937" s="15">
        <f>(Table5[[#This Row],[final_sale_price]]-Table5[[#This Row],[avg_comp_price]])/Table5[[#This Row],[avg_comp_price]]</f>
        <v>-0.35158270334878527</v>
      </c>
      <c r="R937" s="11">
        <f>Table5[[#This Row],[Profit]]/Table5[[#This Row],[Revenue]]</f>
        <v>0.34065934065934067</v>
      </c>
    </row>
    <row r="938" spans="1:18" x14ac:dyDescent="0.2">
      <c r="A938" s="4">
        <v>937</v>
      </c>
      <c r="B938" s="4">
        <v>107</v>
      </c>
      <c r="C938" s="6">
        <v>45289</v>
      </c>
      <c r="D938" s="4">
        <v>1</v>
      </c>
      <c r="E938" s="4">
        <v>7</v>
      </c>
      <c r="F938" s="12">
        <f t="shared" si="14"/>
        <v>1458.1469999999999</v>
      </c>
      <c r="G938" t="str">
        <f>VLOOKUP(B938,product_tbl[],2,FALSE)</f>
        <v>Face Wash 107</v>
      </c>
      <c r="H938" t="str">
        <f>VLOOKUP(B938,product_tbl[],3,FALSE)</f>
        <v>Beauty</v>
      </c>
      <c r="I938">
        <v>940.74</v>
      </c>
      <c r="J938">
        <f>VLOOKUP(B938,product_tbl[],5,FALSE)</f>
        <v>1567.9</v>
      </c>
      <c r="K938">
        <f>VLOOKUP(B938,review_tbl[],3,FALSE)</f>
        <v>2</v>
      </c>
      <c r="L938" s="11">
        <v>1750.7861101886363</v>
      </c>
      <c r="M938" s="11">
        <f>AVERAGEIF(Table1[product_id],Master_tbl!B938:B1939,Table1[competitor_price])</f>
        <v>979.96</v>
      </c>
      <c r="N938" s="11">
        <f>IFERROR(Table5[[#This Row],[final_sale_price]]*Table5[[#This Row],[quantity_sold ]],0)</f>
        <v>1458.1469999999999</v>
      </c>
      <c r="O938" s="11">
        <f>(Table5[[#This Row],[final_sale_price]]-Table5[[#This Row],[cost_price]])*Table5[[#This Row],[quantity_sold ]]</f>
        <v>517.40699999999993</v>
      </c>
      <c r="P938" s="11">
        <f>(Table5[final_sale_price]-Table5[[#This Row],[avg_comp_price]])</f>
        <v>478.1869999999999</v>
      </c>
      <c r="Q938" s="15">
        <f>(Table5[[#This Row],[final_sale_price]]-Table5[[#This Row],[avg_comp_price]])/Table5[[#This Row],[avg_comp_price]]</f>
        <v>0.48796583534021787</v>
      </c>
      <c r="R938" s="11">
        <f>Table5[[#This Row],[Profit]]/Table5[[#This Row],[Revenue]]</f>
        <v>0.35483870967741932</v>
      </c>
    </row>
    <row r="939" spans="1:18" x14ac:dyDescent="0.2">
      <c r="A939" s="5">
        <v>938</v>
      </c>
      <c r="B939" s="5">
        <v>29</v>
      </c>
      <c r="C939" s="7">
        <v>44984</v>
      </c>
      <c r="D939" s="5">
        <v>1</v>
      </c>
      <c r="E939" s="4">
        <v>6</v>
      </c>
      <c r="F939" s="12">
        <f t="shared" si="14"/>
        <v>7024.62</v>
      </c>
      <c r="G939" t="str">
        <f>VLOOKUP(B939,product_tbl[],2,FALSE)</f>
        <v>Smartwatch 29</v>
      </c>
      <c r="H939" t="str">
        <f>VLOOKUP(B939,product_tbl[],3,FALSE)</f>
        <v>Electronics</v>
      </c>
      <c r="I939">
        <v>4483.8</v>
      </c>
      <c r="J939">
        <f>VLOOKUP(B939,product_tbl[],5,FALSE)</f>
        <v>7473</v>
      </c>
      <c r="K939">
        <f>VLOOKUP(B939,review_tbl[],3,FALSE)</f>
        <v>2</v>
      </c>
      <c r="L939" s="11">
        <v>8553.8486118861056</v>
      </c>
      <c r="M939" s="11">
        <f>AVERAGEIF(Table1[product_id],Master_tbl!B939:B1940,Table1[competitor_price])</f>
        <v>1925.7060000000001</v>
      </c>
      <c r="N939" s="11">
        <f>IFERROR(Table5[[#This Row],[final_sale_price]]*Table5[[#This Row],[quantity_sold ]],0)</f>
        <v>7024.62</v>
      </c>
      <c r="O939" s="11">
        <f>(Table5[[#This Row],[final_sale_price]]-Table5[[#This Row],[cost_price]])*Table5[[#This Row],[quantity_sold ]]</f>
        <v>2540.8199999999997</v>
      </c>
      <c r="P939" s="11">
        <f>(Table5[final_sale_price]-Table5[[#This Row],[avg_comp_price]])</f>
        <v>5098.9139999999998</v>
      </c>
      <c r="Q939" s="15">
        <f>(Table5[[#This Row],[final_sale_price]]-Table5[[#This Row],[avg_comp_price]])/Table5[[#This Row],[avg_comp_price]]</f>
        <v>2.647815398612249</v>
      </c>
      <c r="R939" s="11">
        <f>Table5[[#This Row],[Profit]]/Table5[[#This Row],[Revenue]]</f>
        <v>0.36170212765957444</v>
      </c>
    </row>
    <row r="940" spans="1:18" x14ac:dyDescent="0.2">
      <c r="A940" s="4">
        <v>939</v>
      </c>
      <c r="B940" s="4">
        <v>39</v>
      </c>
      <c r="C940" s="6">
        <v>44942</v>
      </c>
      <c r="D940" s="4">
        <v>22</v>
      </c>
      <c r="E940" s="4">
        <v>8</v>
      </c>
      <c r="F940" s="12">
        <f t="shared" si="14"/>
        <v>2950.9736000000003</v>
      </c>
      <c r="G940" t="str">
        <f>VLOOKUP(B940,product_tbl[],2,FALSE)</f>
        <v>Perfume 39</v>
      </c>
      <c r="H940" t="str">
        <f>VLOOKUP(B940,product_tbl[],3,FALSE)</f>
        <v>Beauty</v>
      </c>
      <c r="I940">
        <v>1924.5479999999998</v>
      </c>
      <c r="J940">
        <f>VLOOKUP(B940,product_tbl[],5,FALSE)</f>
        <v>3207.58</v>
      </c>
      <c r="K940">
        <f>VLOOKUP(B940,review_tbl[],3,FALSE)</f>
        <v>1</v>
      </c>
      <c r="L940" s="11">
        <v>3636.3627070037419</v>
      </c>
      <c r="M940" s="11">
        <f>AVERAGEIF(Table1[product_id],Master_tbl!B940:B1941,Table1[competitor_price])</f>
        <v>9555.6079999999984</v>
      </c>
      <c r="N940" s="11">
        <f>IFERROR(Table5[[#This Row],[final_sale_price]]*Table5[[#This Row],[quantity_sold ]],0)</f>
        <v>64921.419200000004</v>
      </c>
      <c r="O940" s="11">
        <f>(Table5[[#This Row],[final_sale_price]]-Table5[[#This Row],[cost_price]])*Table5[[#This Row],[quantity_sold ]]</f>
        <v>22581.363200000011</v>
      </c>
      <c r="P940" s="11">
        <f>(Table5[final_sale_price]-Table5[[#This Row],[avg_comp_price]])</f>
        <v>-6604.6343999999981</v>
      </c>
      <c r="Q940" s="15">
        <f>(Table5[[#This Row],[final_sale_price]]-Table5[[#This Row],[avg_comp_price]])/Table5[[#This Row],[avg_comp_price]]</f>
        <v>-0.69117887632058572</v>
      </c>
      <c r="R940" s="11">
        <f>Table5[[#This Row],[Profit]]/Table5[[#This Row],[Revenue]]</f>
        <v>0.3478260869565219</v>
      </c>
    </row>
    <row r="941" spans="1:18" x14ac:dyDescent="0.2">
      <c r="A941" s="5">
        <v>940</v>
      </c>
      <c r="B941" s="5">
        <v>28</v>
      </c>
      <c r="C941" s="7">
        <v>45151</v>
      </c>
      <c r="D941" s="5">
        <v>8</v>
      </c>
      <c r="E941" s="4">
        <v>2</v>
      </c>
      <c r="F941" s="12">
        <f t="shared" si="14"/>
        <v>5602.2875999999997</v>
      </c>
      <c r="G941" t="str">
        <f>VLOOKUP(B941,product_tbl[],2,FALSE)</f>
        <v>Water Purifier 28</v>
      </c>
      <c r="H941" t="str">
        <f>VLOOKUP(B941,product_tbl[],3,FALSE)</f>
        <v>Home Appliances</v>
      </c>
      <c r="I941">
        <v>3429.9719999999998</v>
      </c>
      <c r="J941">
        <f>VLOOKUP(B941,product_tbl[],5,FALSE)</f>
        <v>5716.62</v>
      </c>
      <c r="K941">
        <f>VLOOKUP(B941,review_tbl[],3,FALSE)</f>
        <v>5</v>
      </c>
      <c r="L941" s="11">
        <v>7385.6346134127789</v>
      </c>
      <c r="M941" s="11">
        <f>AVERAGEIF(Table1[product_id],Master_tbl!B941:B1942,Table1[competitor_price])</f>
        <v>3542.9559999999997</v>
      </c>
      <c r="N941" s="11">
        <f>IFERROR(Table5[[#This Row],[final_sale_price]]*Table5[[#This Row],[quantity_sold ]],0)</f>
        <v>44818.300799999997</v>
      </c>
      <c r="O941" s="11">
        <f>(Table5[[#This Row],[final_sale_price]]-Table5[[#This Row],[cost_price]])*Table5[[#This Row],[quantity_sold ]]</f>
        <v>17378.524799999999</v>
      </c>
      <c r="P941" s="11">
        <f>(Table5[final_sale_price]-Table5[[#This Row],[avg_comp_price]])</f>
        <v>2059.3316</v>
      </c>
      <c r="Q941" s="15">
        <f>(Table5[[#This Row],[final_sale_price]]-Table5[[#This Row],[avg_comp_price]])/Table5[[#This Row],[avg_comp_price]]</f>
        <v>0.58124673295406437</v>
      </c>
      <c r="R941" s="11">
        <f>Table5[[#This Row],[Profit]]/Table5[[#This Row],[Revenue]]</f>
        <v>0.38775510204081631</v>
      </c>
    </row>
    <row r="942" spans="1:18" x14ac:dyDescent="0.2">
      <c r="A942" s="4">
        <v>941</v>
      </c>
      <c r="B942" s="4">
        <v>72</v>
      </c>
      <c r="C942" s="6">
        <v>45347</v>
      </c>
      <c r="D942" s="4">
        <v>2</v>
      </c>
      <c r="E942" s="4">
        <v>3</v>
      </c>
      <c r="F942" s="12">
        <f t="shared" si="14"/>
        <v>5627.3579999999993</v>
      </c>
      <c r="G942" t="str">
        <f>VLOOKUP(B942,product_tbl[],2,FALSE)</f>
        <v>Smartwatch 72</v>
      </c>
      <c r="H942" t="str">
        <f>VLOOKUP(B942,product_tbl[],3,FALSE)</f>
        <v>Electronics</v>
      </c>
      <c r="I942">
        <v>3480.8399999999997</v>
      </c>
      <c r="J942">
        <f>VLOOKUP(B942,product_tbl[],5,FALSE)</f>
        <v>5801.4</v>
      </c>
      <c r="K942">
        <f>VLOOKUP(B942,review_tbl[],3,FALSE)</f>
        <v>3</v>
      </c>
      <c r="L942" s="11">
        <v>7252.7338253658054</v>
      </c>
      <c r="M942" s="11">
        <f>AVERAGEIF(Table1[product_id],Master_tbl!B942:B1943,Table1[competitor_price])</f>
        <v>5210.5919999999996</v>
      </c>
      <c r="N942" s="11">
        <f>IFERROR(Table5[[#This Row],[final_sale_price]]*Table5[[#This Row],[quantity_sold ]],0)</f>
        <v>11254.715999999999</v>
      </c>
      <c r="O942" s="11">
        <f>(Table5[[#This Row],[final_sale_price]]-Table5[[#This Row],[cost_price]])*Table5[[#This Row],[quantity_sold ]]</f>
        <v>4293.0359999999991</v>
      </c>
      <c r="P942" s="11">
        <f>(Table5[final_sale_price]-Table5[[#This Row],[avg_comp_price]])</f>
        <v>416.76599999999962</v>
      </c>
      <c r="Q942" s="15">
        <f>(Table5[[#This Row],[final_sale_price]]-Table5[[#This Row],[avg_comp_price]])/Table5[[#This Row],[avg_comp_price]]</f>
        <v>7.9984385651380815E-2</v>
      </c>
      <c r="R942" s="11">
        <f>Table5[[#This Row],[Profit]]/Table5[[#This Row],[Revenue]]</f>
        <v>0.38144329896907214</v>
      </c>
    </row>
    <row r="943" spans="1:18" x14ac:dyDescent="0.2">
      <c r="A943" s="5">
        <v>942</v>
      </c>
      <c r="B943" s="5">
        <v>34</v>
      </c>
      <c r="C943" s="7">
        <v>45517</v>
      </c>
      <c r="D943" s="5">
        <v>45</v>
      </c>
      <c r="E943" s="4">
        <v>2</v>
      </c>
      <c r="F943" s="12">
        <f t="shared" si="14"/>
        <v>1277.3222000000001</v>
      </c>
      <c r="G943" t="str">
        <f>VLOOKUP(B943,product_tbl[],2,FALSE)</f>
        <v>Doll 34</v>
      </c>
      <c r="H943" t="str">
        <f>VLOOKUP(B943,product_tbl[],3,FALSE)</f>
        <v>Toys</v>
      </c>
      <c r="I943">
        <v>782.03399999999999</v>
      </c>
      <c r="J943">
        <f>VLOOKUP(B943,product_tbl[],5,FALSE)</f>
        <v>1303.3900000000001</v>
      </c>
      <c r="K943">
        <f>VLOOKUP(B943,review_tbl[],3,FALSE)</f>
        <v>2</v>
      </c>
      <c r="L943" s="11">
        <v>1391.8281046227335</v>
      </c>
      <c r="M943" s="11">
        <f>AVERAGEIF(Table1[product_id],Master_tbl!B943:B1944,Table1[competitor_price])</f>
        <v>4145.4440000000004</v>
      </c>
      <c r="N943" s="11">
        <f>IFERROR(Table5[[#This Row],[final_sale_price]]*Table5[[#This Row],[quantity_sold ]],0)</f>
        <v>57479.499000000003</v>
      </c>
      <c r="O943" s="11">
        <f>(Table5[[#This Row],[final_sale_price]]-Table5[[#This Row],[cost_price]])*Table5[[#This Row],[quantity_sold ]]</f>
        <v>22287.969000000005</v>
      </c>
      <c r="P943" s="11">
        <f>(Table5[final_sale_price]-Table5[[#This Row],[avg_comp_price]])</f>
        <v>-2868.1218000000003</v>
      </c>
      <c r="Q943" s="15">
        <f>(Table5[[#This Row],[final_sale_price]]-Table5[[#This Row],[avg_comp_price]])/Table5[[#This Row],[avg_comp_price]]</f>
        <v>-0.6918732468705403</v>
      </c>
      <c r="R943" s="11">
        <f>Table5[[#This Row],[Profit]]/Table5[[#This Row],[Revenue]]</f>
        <v>0.38775510204081637</v>
      </c>
    </row>
    <row r="944" spans="1:18" x14ac:dyDescent="0.2">
      <c r="A944" s="4">
        <v>943</v>
      </c>
      <c r="B944" s="4">
        <v>93</v>
      </c>
      <c r="C944" s="6">
        <v>45174</v>
      </c>
      <c r="D944" s="4">
        <v>25</v>
      </c>
      <c r="E944" s="4">
        <v>4</v>
      </c>
      <c r="F944" s="12">
        <f t="shared" si="14"/>
        <v>7356.0671999999995</v>
      </c>
      <c r="G944" t="str">
        <f>VLOOKUP(B944,product_tbl[],2,FALSE)</f>
        <v>Cookbook 93</v>
      </c>
      <c r="H944" t="str">
        <f>VLOOKUP(B944,product_tbl[],3,FALSE)</f>
        <v>Books</v>
      </c>
      <c r="I944">
        <v>4597.5419999999995</v>
      </c>
      <c r="J944">
        <f>VLOOKUP(B944,product_tbl[],5,FALSE)</f>
        <v>7662.57</v>
      </c>
      <c r="K944">
        <f>VLOOKUP(B944,review_tbl[],3,FALSE)</f>
        <v>3</v>
      </c>
      <c r="L944" s="11">
        <v>9375.4185468081687</v>
      </c>
      <c r="M944" s="11">
        <f>AVERAGEIF(Table1[product_id],Master_tbl!B944:B1945,Table1[competitor_price])</f>
        <v>991.00333333333344</v>
      </c>
      <c r="N944" s="11">
        <f>IFERROR(Table5[[#This Row],[final_sale_price]]*Table5[[#This Row],[quantity_sold ]],0)</f>
        <v>183901.68</v>
      </c>
      <c r="O944" s="11">
        <f>(Table5[[#This Row],[final_sale_price]]-Table5[[#This Row],[cost_price]])*Table5[[#This Row],[quantity_sold ]]</f>
        <v>68963.13</v>
      </c>
      <c r="P944" s="11">
        <f>(Table5[final_sale_price]-Table5[[#This Row],[avg_comp_price]])</f>
        <v>6365.0638666666664</v>
      </c>
      <c r="Q944" s="15">
        <f>(Table5[[#This Row],[final_sale_price]]-Table5[[#This Row],[avg_comp_price]])/Table5[[#This Row],[avg_comp_price]]</f>
        <v>6.4228480899828782</v>
      </c>
      <c r="R944" s="11">
        <f>Table5[[#This Row],[Profit]]/Table5[[#This Row],[Revenue]]</f>
        <v>0.37500000000000006</v>
      </c>
    </row>
    <row r="945" spans="1:18" x14ac:dyDescent="0.2">
      <c r="A945" s="5">
        <v>944</v>
      </c>
      <c r="B945" s="5">
        <v>108</v>
      </c>
      <c r="C945" s="7">
        <v>44947</v>
      </c>
      <c r="D945" s="5">
        <v>41</v>
      </c>
      <c r="E945" s="4">
        <v>4</v>
      </c>
      <c r="F945" s="12">
        <f t="shared" si="14"/>
        <v>806.91839999999991</v>
      </c>
      <c r="G945" t="str">
        <f>VLOOKUP(B945,product_tbl[],2,FALSE)</f>
        <v>Lipstick 108</v>
      </c>
      <c r="H945" t="str">
        <f>VLOOKUP(B945,product_tbl[],3,FALSE)</f>
        <v>Beauty</v>
      </c>
      <c r="I945">
        <v>504.32399999999996</v>
      </c>
      <c r="J945">
        <f>VLOOKUP(B945,product_tbl[],5,FALSE)</f>
        <v>840.54</v>
      </c>
      <c r="K945">
        <f>VLOOKUP(B945,review_tbl[],3,FALSE)</f>
        <v>3</v>
      </c>
      <c r="L945" s="11">
        <v>989.30839679178825</v>
      </c>
      <c r="M945" s="11">
        <f>AVERAGEIF(Table1[product_id],Master_tbl!B945:B1946,Table1[competitor_price])</f>
        <v>5163.7120000000004</v>
      </c>
      <c r="N945" s="11">
        <f>IFERROR(Table5[[#This Row],[final_sale_price]]*Table5[[#This Row],[quantity_sold ]],0)</f>
        <v>33083.654399999999</v>
      </c>
      <c r="O945" s="11">
        <f>(Table5[[#This Row],[final_sale_price]]-Table5[[#This Row],[cost_price]])*Table5[[#This Row],[quantity_sold ]]</f>
        <v>12406.370399999998</v>
      </c>
      <c r="P945" s="11">
        <f>(Table5[final_sale_price]-Table5[[#This Row],[avg_comp_price]])</f>
        <v>-4356.7936000000009</v>
      </c>
      <c r="Q945" s="15">
        <f>(Table5[[#This Row],[final_sale_price]]-Table5[[#This Row],[avg_comp_price]])/Table5[[#This Row],[avg_comp_price]]</f>
        <v>-0.84373288053245432</v>
      </c>
      <c r="R945" s="11">
        <f>Table5[[#This Row],[Profit]]/Table5[[#This Row],[Revenue]]</f>
        <v>0.37499999999999994</v>
      </c>
    </row>
    <row r="946" spans="1:18" x14ac:dyDescent="0.2">
      <c r="A946" s="4">
        <v>945</v>
      </c>
      <c r="B946" s="4">
        <v>93</v>
      </c>
      <c r="C946" s="6">
        <v>45485</v>
      </c>
      <c r="D946" s="4">
        <v>3</v>
      </c>
      <c r="E946" s="4">
        <v>6</v>
      </c>
      <c r="F946" s="12">
        <f t="shared" si="14"/>
        <v>7202.8157999999994</v>
      </c>
      <c r="G946" t="str">
        <f>VLOOKUP(B946,product_tbl[],2,FALSE)</f>
        <v>Cookbook 93</v>
      </c>
      <c r="H946" t="str">
        <f>VLOOKUP(B946,product_tbl[],3,FALSE)</f>
        <v>Books</v>
      </c>
      <c r="I946">
        <v>4597.5419999999995</v>
      </c>
      <c r="J946">
        <f>VLOOKUP(B946,product_tbl[],5,FALSE)</f>
        <v>7662.57</v>
      </c>
      <c r="K946">
        <f>VLOOKUP(B946,review_tbl[],3,FALSE)</f>
        <v>3</v>
      </c>
      <c r="L946" s="11">
        <v>9119.5672054631523</v>
      </c>
      <c r="M946" s="11">
        <f>AVERAGEIF(Table1[product_id],Master_tbl!B946:B1947,Table1[competitor_price])</f>
        <v>991.00333333333344</v>
      </c>
      <c r="N946" s="11">
        <f>IFERROR(Table5[[#This Row],[final_sale_price]]*Table5[[#This Row],[quantity_sold ]],0)</f>
        <v>21608.447399999997</v>
      </c>
      <c r="O946" s="11">
        <f>(Table5[[#This Row],[final_sale_price]]-Table5[[#This Row],[cost_price]])*Table5[[#This Row],[quantity_sold ]]</f>
        <v>7815.8213999999998</v>
      </c>
      <c r="P946" s="11">
        <f>(Table5[final_sale_price]-Table5[[#This Row],[avg_comp_price]])</f>
        <v>6211.8124666666663</v>
      </c>
      <c r="Q946" s="15">
        <f>(Table5[[#This Row],[final_sale_price]]-Table5[[#This Row],[avg_comp_price]])/Table5[[#This Row],[avg_comp_price]]</f>
        <v>6.2682054214415679</v>
      </c>
      <c r="R946" s="11">
        <f>Table5[[#This Row],[Profit]]/Table5[[#This Row],[Revenue]]</f>
        <v>0.36170212765957449</v>
      </c>
    </row>
    <row r="947" spans="1:18" x14ac:dyDescent="0.2">
      <c r="A947" s="5">
        <v>946</v>
      </c>
      <c r="B947" s="5">
        <v>32</v>
      </c>
      <c r="C947" s="7">
        <v>45248</v>
      </c>
      <c r="D947" s="5">
        <v>43</v>
      </c>
      <c r="E947" s="4">
        <v>2</v>
      </c>
      <c r="F947" s="12">
        <f t="shared" si="14"/>
        <v>929.98080000000004</v>
      </c>
      <c r="G947" t="str">
        <f>VLOOKUP(B947,product_tbl[],2,FALSE)</f>
        <v>Fiction Novel 32</v>
      </c>
      <c r="H947" t="str">
        <f>VLOOKUP(B947,product_tbl[],3,FALSE)</f>
        <v>Books</v>
      </c>
      <c r="I947">
        <v>569.37599999999998</v>
      </c>
      <c r="J947">
        <f>VLOOKUP(B947,product_tbl[],5,FALSE)</f>
        <v>948.96</v>
      </c>
      <c r="K947">
        <f>VLOOKUP(B947,review_tbl[],3,FALSE)</f>
        <v>4</v>
      </c>
      <c r="L947" s="11">
        <v>1171.2219168279005</v>
      </c>
      <c r="M947" s="11">
        <f>AVERAGEIF(Table1[product_id],Master_tbl!B947:B1948,Table1[competitor_price])</f>
        <v>2168.4866666666671</v>
      </c>
      <c r="N947" s="11">
        <f>IFERROR(Table5[[#This Row],[final_sale_price]]*Table5[[#This Row],[quantity_sold ]],0)</f>
        <v>39989.174400000004</v>
      </c>
      <c r="O947" s="11">
        <f>(Table5[[#This Row],[final_sale_price]]-Table5[[#This Row],[cost_price]])*Table5[[#This Row],[quantity_sold ]]</f>
        <v>15506.006400000002</v>
      </c>
      <c r="P947" s="11">
        <f>(Table5[final_sale_price]-Table5[[#This Row],[avg_comp_price]])</f>
        <v>-1238.5058666666671</v>
      </c>
      <c r="Q947" s="15">
        <f>(Table5[[#This Row],[final_sale_price]]-Table5[[#This Row],[avg_comp_price]])/Table5[[#This Row],[avg_comp_price]]</f>
        <v>-0.57113833610536391</v>
      </c>
      <c r="R947" s="11">
        <f>Table5[[#This Row],[Profit]]/Table5[[#This Row],[Revenue]]</f>
        <v>0.38775510204081637</v>
      </c>
    </row>
    <row r="948" spans="1:18" x14ac:dyDescent="0.2">
      <c r="A948" s="4">
        <v>947</v>
      </c>
      <c r="B948" s="4">
        <v>99</v>
      </c>
      <c r="C948" s="6">
        <v>45599</v>
      </c>
      <c r="D948" s="4">
        <v>7</v>
      </c>
      <c r="E948" s="4">
        <v>9</v>
      </c>
      <c r="F948" s="12">
        <f t="shared" si="14"/>
        <v>1860.0218</v>
      </c>
      <c r="G948" t="str">
        <f>VLOOKUP(B948,product_tbl[],2,FALSE)</f>
        <v>Sneakers 99</v>
      </c>
      <c r="H948" t="str">
        <f>VLOOKUP(B948,product_tbl[],3,FALSE)</f>
        <v>Fashion</v>
      </c>
      <c r="I948">
        <v>1226.3879999999999</v>
      </c>
      <c r="J948">
        <f>VLOOKUP(B948,product_tbl[],5,FALSE)</f>
        <v>2043.98</v>
      </c>
      <c r="K948">
        <f>VLOOKUP(B948,review_tbl[],3,FALSE)</f>
        <v>2</v>
      </c>
      <c r="L948" s="11">
        <v>2360.8124353489889</v>
      </c>
      <c r="M948" s="11">
        <f>AVERAGEIF(Table1[product_id],Master_tbl!B948:B1949,Table1[competitor_price])</f>
        <v>958.76666666666654</v>
      </c>
      <c r="N948" s="11">
        <f>IFERROR(Table5[[#This Row],[final_sale_price]]*Table5[[#This Row],[quantity_sold ]],0)</f>
        <v>13020.152599999999</v>
      </c>
      <c r="O948" s="11">
        <f>(Table5[[#This Row],[final_sale_price]]-Table5[[#This Row],[cost_price]])*Table5[[#This Row],[quantity_sold ]]</f>
        <v>4435.4366000000009</v>
      </c>
      <c r="P948" s="11">
        <f>(Table5[final_sale_price]-Table5[[#This Row],[avg_comp_price]])</f>
        <v>901.25513333333345</v>
      </c>
      <c r="Q948" s="15">
        <f>(Table5[[#This Row],[final_sale_price]]-Table5[[#This Row],[avg_comp_price]])/Table5[[#This Row],[avg_comp_price]]</f>
        <v>0.9400150888293991</v>
      </c>
      <c r="R948" s="11">
        <f>Table5[[#This Row],[Profit]]/Table5[[#This Row],[Revenue]]</f>
        <v>0.34065934065934073</v>
      </c>
    </row>
    <row r="949" spans="1:18" x14ac:dyDescent="0.2">
      <c r="A949" s="5">
        <v>948</v>
      </c>
      <c r="B949" s="5">
        <v>22</v>
      </c>
      <c r="C949" s="7">
        <v>45234</v>
      </c>
      <c r="D949" s="5">
        <v>35</v>
      </c>
      <c r="E949" s="4">
        <v>6</v>
      </c>
      <c r="F949" s="12">
        <f t="shared" si="14"/>
        <v>1536.4299999999998</v>
      </c>
      <c r="G949" t="str">
        <f>VLOOKUP(B949,product_tbl[],2,FALSE)</f>
        <v>Dress 22</v>
      </c>
      <c r="H949" t="str">
        <f>VLOOKUP(B949,product_tbl[],3,FALSE)</f>
        <v>Fashion</v>
      </c>
      <c r="I949">
        <v>980.69999999999993</v>
      </c>
      <c r="J949">
        <f>VLOOKUP(B949,product_tbl[],5,FALSE)</f>
        <v>1634.5</v>
      </c>
      <c r="K949">
        <f>VLOOKUP(B949,review_tbl[],3,FALSE)</f>
        <v>1</v>
      </c>
      <c r="L949" s="11">
        <v>1686.1923160485233</v>
      </c>
      <c r="M949" s="11">
        <f>AVERAGEIF(Table1[product_id],Master_tbl!B949:B1950,Table1[competitor_price])</f>
        <v>3187.4450000000002</v>
      </c>
      <c r="N949" s="11">
        <f>IFERROR(Table5[[#This Row],[final_sale_price]]*Table5[[#This Row],[quantity_sold ]],0)</f>
        <v>53775.049999999996</v>
      </c>
      <c r="O949" s="11">
        <f>(Table5[[#This Row],[final_sale_price]]-Table5[[#This Row],[cost_price]])*Table5[[#This Row],[quantity_sold ]]</f>
        <v>19450.549999999996</v>
      </c>
      <c r="P949" s="11">
        <f>(Table5[final_sale_price]-Table5[[#This Row],[avg_comp_price]])</f>
        <v>-1651.0150000000003</v>
      </c>
      <c r="Q949" s="15">
        <f>(Table5[[#This Row],[final_sale_price]]-Table5[[#This Row],[avg_comp_price]])/Table5[[#This Row],[avg_comp_price]]</f>
        <v>-0.51797442779404834</v>
      </c>
      <c r="R949" s="11">
        <f>Table5[[#This Row],[Profit]]/Table5[[#This Row],[Revenue]]</f>
        <v>0.36170212765957444</v>
      </c>
    </row>
    <row r="950" spans="1:18" x14ac:dyDescent="0.2">
      <c r="A950" s="4">
        <v>949</v>
      </c>
      <c r="B950" s="4">
        <v>17</v>
      </c>
      <c r="C950" s="6">
        <v>45176</v>
      </c>
      <c r="D950" s="4">
        <v>5</v>
      </c>
      <c r="E950" s="4">
        <v>2</v>
      </c>
      <c r="F950" s="12">
        <f t="shared" si="14"/>
        <v>2919.5866000000001</v>
      </c>
      <c r="G950" t="str">
        <f>VLOOKUP(B950,product_tbl[],2,FALSE)</f>
        <v>Yoga Mat 17</v>
      </c>
      <c r="H950" t="str">
        <f>VLOOKUP(B950,product_tbl[],3,FALSE)</f>
        <v>Sports</v>
      </c>
      <c r="I950">
        <v>1787.502</v>
      </c>
      <c r="J950">
        <f>VLOOKUP(B950,product_tbl[],5,FALSE)</f>
        <v>2979.17</v>
      </c>
      <c r="K950">
        <f>VLOOKUP(B950,review_tbl[],3,FALSE)</f>
        <v>2</v>
      </c>
      <c r="L950" s="11">
        <v>3075.7702791799425</v>
      </c>
      <c r="M950" s="11">
        <f>AVERAGEIF(Table1[product_id],Master_tbl!B950:B1951,Table1[competitor_price])</f>
        <v>1105.6675</v>
      </c>
      <c r="N950" s="11">
        <f>IFERROR(Table5[[#This Row],[final_sale_price]]*Table5[[#This Row],[quantity_sold ]],0)</f>
        <v>14597.933000000001</v>
      </c>
      <c r="O950" s="11">
        <f>(Table5[[#This Row],[final_sale_price]]-Table5[[#This Row],[cost_price]])*Table5[[#This Row],[quantity_sold ]]</f>
        <v>5660.4230000000007</v>
      </c>
      <c r="P950" s="11">
        <f>(Table5[final_sale_price]-Table5[[#This Row],[avg_comp_price]])</f>
        <v>1813.9191000000001</v>
      </c>
      <c r="Q950" s="15">
        <f>(Table5[[#This Row],[final_sale_price]]-Table5[[#This Row],[avg_comp_price]])/Table5[[#This Row],[avg_comp_price]]</f>
        <v>1.6405647267374686</v>
      </c>
      <c r="R950" s="11">
        <f>Table5[[#This Row],[Profit]]/Table5[[#This Row],[Revenue]]</f>
        <v>0.38775510204081637</v>
      </c>
    </row>
    <row r="951" spans="1:18" x14ac:dyDescent="0.2">
      <c r="A951" s="5">
        <v>950</v>
      </c>
      <c r="B951" s="5">
        <v>25</v>
      </c>
      <c r="C951" s="7">
        <v>45200</v>
      </c>
      <c r="D951" s="5">
        <v>47</v>
      </c>
      <c r="E951" s="4">
        <v>6</v>
      </c>
      <c r="F951" s="12">
        <f t="shared" si="14"/>
        <v>534.07979999999998</v>
      </c>
      <c r="G951" t="str">
        <f>VLOOKUP(B951,product_tbl[],2,FALSE)</f>
        <v>Tennis Racket 25</v>
      </c>
      <c r="H951" t="str">
        <f>VLOOKUP(B951,product_tbl[],3,FALSE)</f>
        <v>Sports</v>
      </c>
      <c r="I951">
        <v>340.90199999999999</v>
      </c>
      <c r="J951">
        <f>VLOOKUP(B951,product_tbl[],5,FALSE)</f>
        <v>568.16999999999996</v>
      </c>
      <c r="K951">
        <f>VLOOKUP(B951,review_tbl[],3,FALSE)</f>
        <v>1</v>
      </c>
      <c r="L951" s="11">
        <v>588.12311549451522</v>
      </c>
      <c r="M951" s="11">
        <f>AVERAGEIF(Table1[product_id],Master_tbl!B951:B1952,Table1[competitor_price])</f>
        <v>2024.2300000000002</v>
      </c>
      <c r="N951" s="11">
        <f>IFERROR(Table5[[#This Row],[final_sale_price]]*Table5[[#This Row],[quantity_sold ]],0)</f>
        <v>25101.750599999999</v>
      </c>
      <c r="O951" s="11">
        <f>(Table5[[#This Row],[final_sale_price]]-Table5[[#This Row],[cost_price]])*Table5[[#This Row],[quantity_sold ]]</f>
        <v>9079.3565999999992</v>
      </c>
      <c r="P951" s="11">
        <f>(Table5[final_sale_price]-Table5[[#This Row],[avg_comp_price]])</f>
        <v>-1490.1502000000003</v>
      </c>
      <c r="Q951" s="15">
        <f>(Table5[[#This Row],[final_sale_price]]-Table5[[#This Row],[avg_comp_price]])/Table5[[#This Row],[avg_comp_price]]</f>
        <v>-0.73615656323639111</v>
      </c>
      <c r="R951" s="11">
        <f>Table5[[#This Row],[Profit]]/Table5[[#This Row],[Revenue]]</f>
        <v>0.36170212765957444</v>
      </c>
    </row>
    <row r="952" spans="1:18" x14ac:dyDescent="0.2">
      <c r="A952" s="4">
        <v>951</v>
      </c>
      <c r="B952" s="4">
        <v>21</v>
      </c>
      <c r="C952" s="6">
        <v>45707</v>
      </c>
      <c r="D952" s="4">
        <v>14</v>
      </c>
      <c r="E952" s="4">
        <v>2</v>
      </c>
      <c r="F952" s="12">
        <f t="shared" si="14"/>
        <v>2821.7139999999999</v>
      </c>
      <c r="G952" t="str">
        <f>VLOOKUP(B952,product_tbl[],2,FALSE)</f>
        <v>Water Purifier 21</v>
      </c>
      <c r="H952" t="str">
        <f>VLOOKUP(B952,product_tbl[],3,FALSE)</f>
        <v>Home Appliances</v>
      </c>
      <c r="I952">
        <v>1727.5800000000002</v>
      </c>
      <c r="J952">
        <f>VLOOKUP(B952,product_tbl[],5,FALSE)</f>
        <v>2879.3</v>
      </c>
      <c r="K952">
        <f>VLOOKUP(B952,review_tbl[],3,FALSE)</f>
        <v>3</v>
      </c>
      <c r="L952" s="11">
        <v>3693.3830708559326</v>
      </c>
      <c r="M952" s="11">
        <f>AVERAGEIF(Table1[product_id],Master_tbl!B952:B1953,Table1[competitor_price])</f>
        <v>4150.0079999999998</v>
      </c>
      <c r="N952" s="11">
        <f>IFERROR(Table5[[#This Row],[final_sale_price]]*Table5[[#This Row],[quantity_sold ]],0)</f>
        <v>39503.995999999999</v>
      </c>
      <c r="O952" s="11">
        <f>(Table5[[#This Row],[final_sale_price]]-Table5[[#This Row],[cost_price]])*Table5[[#This Row],[quantity_sold ]]</f>
        <v>15317.875999999997</v>
      </c>
      <c r="P952" s="11">
        <f>(Table5[final_sale_price]-Table5[[#This Row],[avg_comp_price]])</f>
        <v>-1328.2939999999999</v>
      </c>
      <c r="Q952" s="15">
        <f>(Table5[[#This Row],[final_sale_price]]-Table5[[#This Row],[avg_comp_price]])/Table5[[#This Row],[avg_comp_price]]</f>
        <v>-0.32007022637064797</v>
      </c>
      <c r="R952" s="11">
        <f>Table5[[#This Row],[Profit]]/Table5[[#This Row],[Revenue]]</f>
        <v>0.38775510204081626</v>
      </c>
    </row>
    <row r="953" spans="1:18" x14ac:dyDescent="0.2">
      <c r="A953" s="5">
        <v>952</v>
      </c>
      <c r="B953" s="5">
        <v>9</v>
      </c>
      <c r="C953" s="7">
        <v>45208</v>
      </c>
      <c r="D953" s="5">
        <v>7</v>
      </c>
      <c r="E953" s="4">
        <v>6</v>
      </c>
      <c r="F953" s="12">
        <f t="shared" si="14"/>
        <v>2692.0189999999998</v>
      </c>
      <c r="G953" t="str">
        <f>VLOOKUP(B953,product_tbl[],2,FALSE)</f>
        <v>Air Conditioner 9</v>
      </c>
      <c r="H953" t="str">
        <f>VLOOKUP(B953,product_tbl[],3,FALSE)</f>
        <v>Home Appliances</v>
      </c>
      <c r="I953">
        <v>1718.31</v>
      </c>
      <c r="J953">
        <f>VLOOKUP(B953,product_tbl[],5,FALSE)</f>
        <v>2863.85</v>
      </c>
      <c r="K953">
        <f>VLOOKUP(B953,review_tbl[],3,FALSE)</f>
        <v>5</v>
      </c>
      <c r="L953" s="11">
        <v>3677.4393815733479</v>
      </c>
      <c r="M953" s="11">
        <f>AVERAGEIF(Table1[product_id],Master_tbl!B953:B1954,Table1[competitor_price])</f>
        <v>6325.1699999999992</v>
      </c>
      <c r="N953" s="11">
        <f>IFERROR(Table5[[#This Row],[final_sale_price]]*Table5[[#This Row],[quantity_sold ]],0)</f>
        <v>18844.132999999998</v>
      </c>
      <c r="O953" s="11">
        <f>(Table5[[#This Row],[final_sale_price]]-Table5[[#This Row],[cost_price]])*Table5[[#This Row],[quantity_sold ]]</f>
        <v>6815.9629999999988</v>
      </c>
      <c r="P953" s="11">
        <f>(Table5[final_sale_price]-Table5[[#This Row],[avg_comp_price]])</f>
        <v>-3633.1509999999994</v>
      </c>
      <c r="Q953" s="15">
        <f>(Table5[[#This Row],[final_sale_price]]-Table5[[#This Row],[avg_comp_price]])/Table5[[#This Row],[avg_comp_price]]</f>
        <v>-0.57439578699070537</v>
      </c>
      <c r="R953" s="11">
        <f>Table5[[#This Row],[Profit]]/Table5[[#This Row],[Revenue]]</f>
        <v>0.36170212765957444</v>
      </c>
    </row>
    <row r="954" spans="1:18" x14ac:dyDescent="0.2">
      <c r="A954" s="4">
        <v>953</v>
      </c>
      <c r="B954" s="4">
        <v>76</v>
      </c>
      <c r="C954" s="6">
        <v>45574</v>
      </c>
      <c r="D954" s="4">
        <v>42</v>
      </c>
      <c r="E954" s="4">
        <v>8</v>
      </c>
      <c r="F954" s="12">
        <f t="shared" si="14"/>
        <v>2820.3244000000004</v>
      </c>
      <c r="G954" t="str">
        <f>VLOOKUP(B954,product_tbl[],2,FALSE)</f>
        <v>Laptop 76</v>
      </c>
      <c r="H954" t="str">
        <f>VLOOKUP(B954,product_tbl[],3,FALSE)</f>
        <v>Electronics</v>
      </c>
      <c r="I954">
        <v>1839.3420000000001</v>
      </c>
      <c r="J954">
        <f>VLOOKUP(B954,product_tbl[],5,FALSE)</f>
        <v>3065.57</v>
      </c>
      <c r="K954">
        <f>VLOOKUP(B954,review_tbl[],3,FALSE)</f>
        <v>1</v>
      </c>
      <c r="L954" s="11">
        <v>3125.7978168153663</v>
      </c>
      <c r="M954" s="11">
        <f>AVERAGEIF(Table1[product_id],Master_tbl!B954:B1955,Table1[competitor_price])</f>
        <v>831.92600000000004</v>
      </c>
      <c r="N954" s="11">
        <f>IFERROR(Table5[[#This Row],[final_sale_price]]*Table5[[#This Row],[quantity_sold ]],0)</f>
        <v>118453.62480000002</v>
      </c>
      <c r="O954" s="11">
        <f>(Table5[[#This Row],[final_sale_price]]-Table5[[#This Row],[cost_price]])*Table5[[#This Row],[quantity_sold ]]</f>
        <v>41201.260800000011</v>
      </c>
      <c r="P954" s="11">
        <f>(Table5[final_sale_price]-Table5[[#This Row],[avg_comp_price]])</f>
        <v>1988.3984000000005</v>
      </c>
      <c r="Q954" s="15">
        <f>(Table5[[#This Row],[final_sale_price]]-Table5[[#This Row],[avg_comp_price]])/Table5[[#This Row],[avg_comp_price]]</f>
        <v>2.3901145053766806</v>
      </c>
      <c r="R954" s="11">
        <f>Table5[[#This Row],[Profit]]/Table5[[#This Row],[Revenue]]</f>
        <v>0.34782608695652178</v>
      </c>
    </row>
    <row r="955" spans="1:18" x14ac:dyDescent="0.2">
      <c r="A955" s="5">
        <v>954</v>
      </c>
      <c r="B955" s="5">
        <v>113</v>
      </c>
      <c r="C955" s="7">
        <v>45737</v>
      </c>
      <c r="D955" s="5">
        <v>10</v>
      </c>
      <c r="E955" s="4">
        <v>5</v>
      </c>
      <c r="F955" s="12">
        <f t="shared" si="14"/>
        <v>4587.7019999999993</v>
      </c>
      <c r="G955" t="str">
        <f>VLOOKUP(B955,product_tbl[],2,FALSE)</f>
        <v>Green Tea 113</v>
      </c>
      <c r="H955" t="str">
        <f>VLOOKUP(B955,product_tbl[],3,FALSE)</f>
        <v>Grocery</v>
      </c>
      <c r="I955">
        <v>2897.4959999999996</v>
      </c>
      <c r="J955">
        <f>VLOOKUP(B955,product_tbl[],5,FALSE)</f>
        <v>4829.16</v>
      </c>
      <c r="K955">
        <f>VLOOKUP(B955,review_tbl[],3,FALSE)</f>
        <v>1</v>
      </c>
      <c r="L955" s="11">
        <v>5774.4479568792822</v>
      </c>
      <c r="M955" s="11">
        <f>AVERAGEIF(Table1[product_id],Master_tbl!B955:B1956,Table1[competitor_price])</f>
        <v>4302.05</v>
      </c>
      <c r="N955" s="11">
        <f>IFERROR(Table5[[#This Row],[final_sale_price]]*Table5[[#This Row],[quantity_sold ]],0)</f>
        <v>45877.01999999999</v>
      </c>
      <c r="O955" s="11">
        <f>(Table5[[#This Row],[final_sale_price]]-Table5[[#This Row],[cost_price]])*Table5[[#This Row],[quantity_sold ]]</f>
        <v>16902.059999999998</v>
      </c>
      <c r="P955" s="11">
        <f>(Table5[final_sale_price]-Table5[[#This Row],[avg_comp_price]])</f>
        <v>285.65199999999913</v>
      </c>
      <c r="Q955" s="15">
        <f>(Table5[[#This Row],[final_sale_price]]-Table5[[#This Row],[avg_comp_price]])/Table5[[#This Row],[avg_comp_price]]</f>
        <v>6.6399042317034696E-2</v>
      </c>
      <c r="R955" s="11">
        <f>Table5[[#This Row],[Profit]]/Table5[[#This Row],[Revenue]]</f>
        <v>0.36842105263157898</v>
      </c>
    </row>
    <row r="956" spans="1:18" x14ac:dyDescent="0.2">
      <c r="A956" s="4">
        <v>955</v>
      </c>
      <c r="B956" s="4">
        <v>9</v>
      </c>
      <c r="C956" s="6">
        <v>45960</v>
      </c>
      <c r="D956" s="4">
        <v>9</v>
      </c>
      <c r="E956" s="4">
        <v>6</v>
      </c>
      <c r="F956" s="12">
        <f t="shared" si="14"/>
        <v>2692.0189999999998</v>
      </c>
      <c r="G956" t="str">
        <f>VLOOKUP(B956,product_tbl[],2,FALSE)</f>
        <v>Air Conditioner 9</v>
      </c>
      <c r="H956" t="str">
        <f>VLOOKUP(B956,product_tbl[],3,FALSE)</f>
        <v>Home Appliances</v>
      </c>
      <c r="I956">
        <v>1718.31</v>
      </c>
      <c r="J956">
        <f>VLOOKUP(B956,product_tbl[],5,FALSE)</f>
        <v>2863.85</v>
      </c>
      <c r="K956">
        <f>VLOOKUP(B956,review_tbl[],3,FALSE)</f>
        <v>5</v>
      </c>
      <c r="L956" s="11">
        <v>3104.1192996419572</v>
      </c>
      <c r="M956" s="11">
        <f>AVERAGEIF(Table1[product_id],Master_tbl!B956:B1957,Table1[competitor_price])</f>
        <v>6325.1699999999992</v>
      </c>
      <c r="N956" s="11">
        <f>IFERROR(Table5[[#This Row],[final_sale_price]]*Table5[[#This Row],[quantity_sold ]],0)</f>
        <v>24228.170999999998</v>
      </c>
      <c r="O956" s="11">
        <f>(Table5[[#This Row],[final_sale_price]]-Table5[[#This Row],[cost_price]])*Table5[[#This Row],[quantity_sold ]]</f>
        <v>8763.3809999999976</v>
      </c>
      <c r="P956" s="11">
        <f>(Table5[final_sale_price]-Table5[[#This Row],[avg_comp_price]])</f>
        <v>-3633.1509999999994</v>
      </c>
      <c r="Q956" s="15">
        <f>(Table5[[#This Row],[final_sale_price]]-Table5[[#This Row],[avg_comp_price]])/Table5[[#This Row],[avg_comp_price]]</f>
        <v>-0.57439578699070537</v>
      </c>
      <c r="R956" s="11">
        <f>Table5[[#This Row],[Profit]]/Table5[[#This Row],[Revenue]]</f>
        <v>0.36170212765957438</v>
      </c>
    </row>
    <row r="957" spans="1:18" x14ac:dyDescent="0.2">
      <c r="A957" s="5">
        <v>956</v>
      </c>
      <c r="B957" s="5">
        <v>101</v>
      </c>
      <c r="C957" s="7">
        <v>45390</v>
      </c>
      <c r="D957" s="5">
        <v>50</v>
      </c>
      <c r="E957" s="4">
        <v>9</v>
      </c>
      <c r="F957" s="12">
        <f t="shared" si="14"/>
        <v>4295.4638999999997</v>
      </c>
      <c r="G957" t="str">
        <f>VLOOKUP(B957,product_tbl[],2,FALSE)</f>
        <v>Jacket 101</v>
      </c>
      <c r="H957" t="str">
        <f>VLOOKUP(B957,product_tbl[],3,FALSE)</f>
        <v>Fashion</v>
      </c>
      <c r="I957">
        <v>2832.174</v>
      </c>
      <c r="J957">
        <f>VLOOKUP(B957,product_tbl[],5,FALSE)</f>
        <v>4720.29</v>
      </c>
      <c r="K957">
        <f>VLOOKUP(B957,review_tbl[],3,FALSE)</f>
        <v>2</v>
      </c>
      <c r="L957" s="11">
        <v>5012.3067981796166</v>
      </c>
      <c r="M957" s="11">
        <f>AVERAGEIF(Table1[product_id],Master_tbl!B957:B1958,Table1[competitor_price])</f>
        <v>6068.0179999999991</v>
      </c>
      <c r="N957" s="11">
        <f>IFERROR(Table5[[#This Row],[final_sale_price]]*Table5[[#This Row],[quantity_sold ]],0)</f>
        <v>214773.19499999998</v>
      </c>
      <c r="O957" s="11">
        <f>(Table5[[#This Row],[final_sale_price]]-Table5[[#This Row],[cost_price]])*Table5[[#This Row],[quantity_sold ]]</f>
        <v>73164.494999999995</v>
      </c>
      <c r="P957" s="11">
        <f>(Table5[final_sale_price]-Table5[[#This Row],[avg_comp_price]])</f>
        <v>-1772.5540999999994</v>
      </c>
      <c r="Q957" s="15">
        <f>(Table5[[#This Row],[final_sale_price]]-Table5[[#This Row],[avg_comp_price]])/Table5[[#This Row],[avg_comp_price]]</f>
        <v>-0.2921141796217479</v>
      </c>
      <c r="R957" s="11">
        <f>Table5[[#This Row],[Profit]]/Table5[[#This Row],[Revenue]]</f>
        <v>0.34065934065934067</v>
      </c>
    </row>
    <row r="958" spans="1:18" x14ac:dyDescent="0.2">
      <c r="A958" s="4">
        <v>957</v>
      </c>
      <c r="B958" s="4">
        <v>108</v>
      </c>
      <c r="C958" s="6">
        <v>45305</v>
      </c>
      <c r="D958" s="4">
        <v>27</v>
      </c>
      <c r="E958" s="4">
        <v>4</v>
      </c>
      <c r="F958" s="12">
        <f t="shared" si="14"/>
        <v>806.91839999999991</v>
      </c>
      <c r="G958" t="str">
        <f>VLOOKUP(B958,product_tbl[],2,FALSE)</f>
        <v>Lipstick 108</v>
      </c>
      <c r="H958" t="str">
        <f>VLOOKUP(B958,product_tbl[],3,FALSE)</f>
        <v>Beauty</v>
      </c>
      <c r="I958">
        <v>504.32399999999996</v>
      </c>
      <c r="J958">
        <f>VLOOKUP(B958,product_tbl[],5,FALSE)</f>
        <v>840.54</v>
      </c>
      <c r="K958">
        <f>VLOOKUP(B958,review_tbl[],3,FALSE)</f>
        <v>3</v>
      </c>
      <c r="L958" s="11">
        <v>1037.9022530192103</v>
      </c>
      <c r="M958" s="11">
        <f>AVERAGEIF(Table1[product_id],Master_tbl!B958:B1959,Table1[competitor_price])</f>
        <v>5163.7120000000004</v>
      </c>
      <c r="N958" s="11">
        <f>IFERROR(Table5[[#This Row],[final_sale_price]]*Table5[[#This Row],[quantity_sold ]],0)</f>
        <v>21786.796799999996</v>
      </c>
      <c r="O958" s="11">
        <f>(Table5[[#This Row],[final_sale_price]]-Table5[[#This Row],[cost_price]])*Table5[[#This Row],[quantity_sold ]]</f>
        <v>8170.0487999999987</v>
      </c>
      <c r="P958" s="11">
        <f>(Table5[final_sale_price]-Table5[[#This Row],[avg_comp_price]])</f>
        <v>-4356.7936000000009</v>
      </c>
      <c r="Q958" s="15">
        <f>(Table5[[#This Row],[final_sale_price]]-Table5[[#This Row],[avg_comp_price]])/Table5[[#This Row],[avg_comp_price]]</f>
        <v>-0.84373288053245432</v>
      </c>
      <c r="R958" s="11">
        <f>Table5[[#This Row],[Profit]]/Table5[[#This Row],[Revenue]]</f>
        <v>0.375</v>
      </c>
    </row>
    <row r="959" spans="1:18" x14ac:dyDescent="0.2">
      <c r="A959" s="5">
        <v>958</v>
      </c>
      <c r="B959" s="5">
        <v>116</v>
      </c>
      <c r="C959" s="7">
        <v>46013</v>
      </c>
      <c r="D959" s="5">
        <v>11</v>
      </c>
      <c r="E959" s="4">
        <v>3</v>
      </c>
      <c r="F959" s="12">
        <f t="shared" si="14"/>
        <v>2292.2555000000002</v>
      </c>
      <c r="G959" t="str">
        <f>VLOOKUP(B959,product_tbl[],2,FALSE)</f>
        <v>Building Blocks 116</v>
      </c>
      <c r="H959" t="str">
        <f>VLOOKUP(B959,product_tbl[],3,FALSE)</f>
        <v>Toys</v>
      </c>
      <c r="I959">
        <v>1417.89</v>
      </c>
      <c r="J959">
        <f>VLOOKUP(B959,product_tbl[],5,FALSE)</f>
        <v>2363.15</v>
      </c>
      <c r="K959">
        <f>VLOOKUP(B959,review_tbl[],3,FALSE)</f>
        <v>5</v>
      </c>
      <c r="L959" s="11">
        <v>2435.5170717995311</v>
      </c>
      <c r="M959" s="11">
        <f>AVERAGEIF(Table1[product_id],Master_tbl!B959:B1960,Table1[competitor_price])</f>
        <v>4469.4999999999991</v>
      </c>
      <c r="N959" s="11">
        <f>IFERROR(Table5[[#This Row],[final_sale_price]]*Table5[[#This Row],[quantity_sold ]],0)</f>
        <v>25214.810500000003</v>
      </c>
      <c r="O959" s="11">
        <f>(Table5[[#This Row],[final_sale_price]]-Table5[[#This Row],[cost_price]])*Table5[[#This Row],[quantity_sold ]]</f>
        <v>9618.0205000000005</v>
      </c>
      <c r="P959" s="11">
        <f>(Table5[final_sale_price]-Table5[[#This Row],[avg_comp_price]])</f>
        <v>-2177.2444999999989</v>
      </c>
      <c r="Q959" s="15">
        <f>(Table5[[#This Row],[final_sale_price]]-Table5[[#This Row],[avg_comp_price]])/Table5[[#This Row],[avg_comp_price]]</f>
        <v>-0.48713379572659121</v>
      </c>
      <c r="R959" s="11">
        <f>Table5[[#This Row],[Profit]]/Table5[[#This Row],[Revenue]]</f>
        <v>0.38144329896907214</v>
      </c>
    </row>
    <row r="960" spans="1:18" x14ac:dyDescent="0.2">
      <c r="A960" s="4">
        <v>959</v>
      </c>
      <c r="B960" s="4">
        <v>123</v>
      </c>
      <c r="C960" s="6">
        <v>45253</v>
      </c>
      <c r="D960" s="4">
        <v>35</v>
      </c>
      <c r="E960" s="4">
        <v>2</v>
      </c>
      <c r="F960" s="12">
        <f t="shared" si="14"/>
        <v>4535.0675999999994</v>
      </c>
      <c r="G960" t="str">
        <f>VLOOKUP(B960,product_tbl[],2,FALSE)</f>
        <v>Sunglasses 123</v>
      </c>
      <c r="H960" t="str">
        <f>VLOOKUP(B960,product_tbl[],3,FALSE)</f>
        <v>Fashion</v>
      </c>
      <c r="I960">
        <v>2776.5719999999997</v>
      </c>
      <c r="J960">
        <f>VLOOKUP(B960,product_tbl[],5,FALSE)</f>
        <v>4627.62</v>
      </c>
      <c r="K960">
        <f>VLOOKUP(B960,review_tbl[],3,FALSE)</f>
        <v>2</v>
      </c>
      <c r="L960" s="11">
        <v>5449.6417679206888</v>
      </c>
      <c r="M960" s="11">
        <f>AVERAGEIF(Table1[product_id],Master_tbl!B960:B1961,Table1[competitor_price])</f>
        <v>809.94800000000009</v>
      </c>
      <c r="N960" s="11">
        <f>IFERROR(Table5[[#This Row],[final_sale_price]]*Table5[[#This Row],[quantity_sold ]],0)</f>
        <v>158727.36599999998</v>
      </c>
      <c r="O960" s="11">
        <f>(Table5[[#This Row],[final_sale_price]]-Table5[[#This Row],[cost_price]])*Table5[[#This Row],[quantity_sold ]]</f>
        <v>61547.34599999999</v>
      </c>
      <c r="P960" s="11">
        <f>(Table5[final_sale_price]-Table5[[#This Row],[avg_comp_price]])</f>
        <v>3725.1195999999991</v>
      </c>
      <c r="Q960" s="15">
        <f>(Table5[[#This Row],[final_sale_price]]-Table5[[#This Row],[avg_comp_price]])/Table5[[#This Row],[avg_comp_price]]</f>
        <v>4.5992083442393819</v>
      </c>
      <c r="R960" s="11">
        <f>Table5[[#This Row],[Profit]]/Table5[[#This Row],[Revenue]]</f>
        <v>0.38775510204081631</v>
      </c>
    </row>
    <row r="961" spans="1:18" x14ac:dyDescent="0.2">
      <c r="A961" s="5">
        <v>960</v>
      </c>
      <c r="B961" s="5">
        <v>105</v>
      </c>
      <c r="C961" s="7">
        <v>45655</v>
      </c>
      <c r="D961" s="5">
        <v>16</v>
      </c>
      <c r="E961" s="4">
        <v>3</v>
      </c>
      <c r="F961" s="12">
        <f t="shared" si="14"/>
        <v>4018.7875999999997</v>
      </c>
      <c r="G961" t="str">
        <f>VLOOKUP(B961,product_tbl[],2,FALSE)</f>
        <v>Action Figure 105</v>
      </c>
      <c r="H961" t="str">
        <f>VLOOKUP(B961,product_tbl[],3,FALSE)</f>
        <v>Toys</v>
      </c>
      <c r="I961">
        <v>2485.848</v>
      </c>
      <c r="J961">
        <f>VLOOKUP(B961,product_tbl[],5,FALSE)</f>
        <v>4143.08</v>
      </c>
      <c r="K961">
        <f>VLOOKUP(B961,review_tbl[],3,FALSE)</f>
        <v>3</v>
      </c>
      <c r="L961" s="11">
        <v>4549.7417403638701</v>
      </c>
      <c r="M961" s="11">
        <f>AVERAGEIF(Table1[product_id],Master_tbl!B961:B1962,Table1[competitor_price])</f>
        <v>4778.8849999999993</v>
      </c>
      <c r="N961" s="11">
        <f>IFERROR(Table5[[#This Row],[final_sale_price]]*Table5[[#This Row],[quantity_sold ]],0)</f>
        <v>64300.601599999995</v>
      </c>
      <c r="O961" s="11">
        <f>(Table5[[#This Row],[final_sale_price]]-Table5[[#This Row],[cost_price]])*Table5[[#This Row],[quantity_sold ]]</f>
        <v>24527.033599999995</v>
      </c>
      <c r="P961" s="11">
        <f>(Table5[final_sale_price]-Table5[[#This Row],[avg_comp_price]])</f>
        <v>-760.09739999999965</v>
      </c>
      <c r="Q961" s="15">
        <f>(Table5[[#This Row],[final_sale_price]]-Table5[[#This Row],[avg_comp_price]])/Table5[[#This Row],[avg_comp_price]]</f>
        <v>-0.15905329381225949</v>
      </c>
      <c r="R961" s="11">
        <f>Table5[[#This Row],[Profit]]/Table5[[#This Row],[Revenue]]</f>
        <v>0.38144329896907214</v>
      </c>
    </row>
    <row r="962" spans="1:18" x14ac:dyDescent="0.2">
      <c r="A962" s="4">
        <v>961</v>
      </c>
      <c r="B962" s="4">
        <v>43</v>
      </c>
      <c r="C962" s="6">
        <v>45663</v>
      </c>
      <c r="D962" s="4">
        <v>9</v>
      </c>
      <c r="E962" s="4">
        <v>9</v>
      </c>
      <c r="F962" s="12">
        <f t="shared" ref="F962:F1001" si="15">J962*(1-E962/100)</f>
        <v>2934.7318</v>
      </c>
      <c r="G962" t="str">
        <f>VLOOKUP(B962,product_tbl[],2,FALSE)</f>
        <v>Jeans 43</v>
      </c>
      <c r="H962" t="str">
        <f>VLOOKUP(B962,product_tbl[],3,FALSE)</f>
        <v>Fashion</v>
      </c>
      <c r="I962">
        <v>1934.9879999999998</v>
      </c>
      <c r="J962">
        <f>VLOOKUP(B962,product_tbl[],5,FALSE)</f>
        <v>3224.98</v>
      </c>
      <c r="K962">
        <f>VLOOKUP(B962,review_tbl[],3,FALSE)</f>
        <v>2</v>
      </c>
      <c r="L962" s="11">
        <v>3503.7802418105607</v>
      </c>
      <c r="M962" s="11">
        <f>AVERAGEIF(Table1[product_id],Master_tbl!B962:B1963,Table1[competitor_price])</f>
        <v>445.53000000000003</v>
      </c>
      <c r="N962" s="11">
        <f>IFERROR(Table5[[#This Row],[final_sale_price]]*Table5[[#This Row],[quantity_sold ]],0)</f>
        <v>26412.586200000002</v>
      </c>
      <c r="O962" s="11">
        <f>(Table5[[#This Row],[final_sale_price]]-Table5[[#This Row],[cost_price]])*Table5[[#This Row],[quantity_sold ]]</f>
        <v>8997.6942000000017</v>
      </c>
      <c r="P962" s="11">
        <f>(Table5[final_sale_price]-Table5[[#This Row],[avg_comp_price]])</f>
        <v>2489.2017999999998</v>
      </c>
      <c r="Q962" s="15">
        <f>(Table5[[#This Row],[final_sale_price]]-Table5[[#This Row],[avg_comp_price]])/Table5[[#This Row],[avg_comp_price]]</f>
        <v>5.5870576616613912</v>
      </c>
      <c r="R962" s="11">
        <f>Table5[[#This Row],[Profit]]/Table5[[#This Row],[Revenue]]</f>
        <v>0.34065934065934073</v>
      </c>
    </row>
    <row r="963" spans="1:18" x14ac:dyDescent="0.2">
      <c r="A963" s="5">
        <v>962</v>
      </c>
      <c r="B963" s="5">
        <v>36</v>
      </c>
      <c r="C963" s="7">
        <v>45734</v>
      </c>
      <c r="D963" s="5">
        <v>9</v>
      </c>
      <c r="E963" s="4">
        <v>6</v>
      </c>
      <c r="F963" s="12">
        <f t="shared" si="15"/>
        <v>138.55600000000001</v>
      </c>
      <c r="G963" t="str">
        <f>VLOOKUP(B963,product_tbl[],2,FALSE)</f>
        <v>Refrigerator 36</v>
      </c>
      <c r="H963" t="str">
        <f>VLOOKUP(B963,product_tbl[],3,FALSE)</f>
        <v>Home Appliances</v>
      </c>
      <c r="I963">
        <v>88.44</v>
      </c>
      <c r="J963">
        <f>VLOOKUP(B963,product_tbl[],5,FALSE)</f>
        <v>147.4</v>
      </c>
      <c r="K963">
        <f>VLOOKUP(B963,review_tbl[],3,FALSE)</f>
        <v>3</v>
      </c>
      <c r="L963" s="11">
        <v>168.34516343909445</v>
      </c>
      <c r="M963" s="11">
        <f>AVERAGEIF(Table1[product_id],Master_tbl!B963:B1964,Table1[competitor_price])</f>
        <v>2726.4116666666664</v>
      </c>
      <c r="N963" s="11">
        <f>IFERROR(Table5[[#This Row],[final_sale_price]]*Table5[[#This Row],[quantity_sold ]],0)</f>
        <v>1247.0040000000001</v>
      </c>
      <c r="O963" s="11">
        <f>(Table5[[#This Row],[final_sale_price]]-Table5[[#This Row],[cost_price]])*Table5[[#This Row],[quantity_sold ]]</f>
        <v>451.0440000000001</v>
      </c>
      <c r="P963" s="11">
        <f>(Table5[final_sale_price]-Table5[[#This Row],[avg_comp_price]])</f>
        <v>-2587.8556666666664</v>
      </c>
      <c r="Q963" s="15">
        <f>(Table5[[#This Row],[final_sale_price]]-Table5[[#This Row],[avg_comp_price]])/Table5[[#This Row],[avg_comp_price]]</f>
        <v>-0.94918008835789658</v>
      </c>
      <c r="R963" s="11">
        <f>Table5[[#This Row],[Profit]]/Table5[[#This Row],[Revenue]]</f>
        <v>0.36170212765957449</v>
      </c>
    </row>
    <row r="964" spans="1:18" x14ac:dyDescent="0.2">
      <c r="A964" s="4">
        <v>963</v>
      </c>
      <c r="B964" s="4">
        <v>106</v>
      </c>
      <c r="C964" s="6">
        <v>45197</v>
      </c>
      <c r="D964" s="4">
        <v>22</v>
      </c>
      <c r="E964" s="4">
        <v>10</v>
      </c>
      <c r="F964" s="12">
        <f t="shared" si="15"/>
        <v>1290.627</v>
      </c>
      <c r="G964" t="str">
        <f>VLOOKUP(B964,product_tbl[],2,FALSE)</f>
        <v>Doll 106</v>
      </c>
      <c r="H964" t="str">
        <f>VLOOKUP(B964,product_tbl[],3,FALSE)</f>
        <v>Toys</v>
      </c>
      <c r="I964">
        <v>860.41800000000001</v>
      </c>
      <c r="J964">
        <f>VLOOKUP(B964,product_tbl[],5,FALSE)</f>
        <v>1434.03</v>
      </c>
      <c r="K964">
        <f>VLOOKUP(B964,review_tbl[],3,FALSE)</f>
        <v>2</v>
      </c>
      <c r="L964" s="11">
        <v>1438.5138343833162</v>
      </c>
      <c r="M964" s="11">
        <f>AVERAGEIF(Table1[product_id],Master_tbl!B964:B1965,Table1[competitor_price])</f>
        <v>695.38400000000001</v>
      </c>
      <c r="N964" s="11">
        <f>IFERROR(Table5[[#This Row],[final_sale_price]]*Table5[[#This Row],[quantity_sold ]],0)</f>
        <v>28393.793999999998</v>
      </c>
      <c r="O964" s="11">
        <f>(Table5[[#This Row],[final_sale_price]]-Table5[[#This Row],[cost_price]])*Table5[[#This Row],[quantity_sold ]]</f>
        <v>9464.5979999999981</v>
      </c>
      <c r="P964" s="11">
        <f>(Table5[final_sale_price]-Table5[[#This Row],[avg_comp_price]])</f>
        <v>595.24299999999994</v>
      </c>
      <c r="Q964" s="15">
        <f>(Table5[[#This Row],[final_sale_price]]-Table5[[#This Row],[avg_comp_price]])/Table5[[#This Row],[avg_comp_price]]</f>
        <v>0.85599179733787367</v>
      </c>
      <c r="R964" s="11">
        <f>Table5[[#This Row],[Profit]]/Table5[[#This Row],[Revenue]]</f>
        <v>0.33333333333333331</v>
      </c>
    </row>
    <row r="965" spans="1:18" x14ac:dyDescent="0.2">
      <c r="A965" s="5">
        <v>964</v>
      </c>
      <c r="B965" s="5">
        <v>55</v>
      </c>
      <c r="C965" s="7">
        <v>45611</v>
      </c>
      <c r="D965" s="5">
        <v>27</v>
      </c>
      <c r="E965" s="4">
        <v>4</v>
      </c>
      <c r="F965" s="12">
        <f t="shared" si="15"/>
        <v>925.71839999999997</v>
      </c>
      <c r="G965" t="str">
        <f>VLOOKUP(B965,product_tbl[],2,FALSE)</f>
        <v>Face Wash 55</v>
      </c>
      <c r="H965" t="str">
        <f>VLOOKUP(B965,product_tbl[],3,FALSE)</f>
        <v>Beauty</v>
      </c>
      <c r="I965">
        <v>578.57399999999996</v>
      </c>
      <c r="J965">
        <f>VLOOKUP(B965,product_tbl[],5,FALSE)</f>
        <v>964.29</v>
      </c>
      <c r="K965">
        <f>VLOOKUP(B965,review_tbl[],3,FALSE)</f>
        <v>2</v>
      </c>
      <c r="L965" s="11">
        <v>1239.4156947529848</v>
      </c>
      <c r="M965" s="11">
        <f>AVERAGEIF(Table1[product_id],Master_tbl!B965:B1966,Table1[competitor_price])</f>
        <v>1508.7675000000002</v>
      </c>
      <c r="N965" s="11">
        <f>IFERROR(Table5[[#This Row],[final_sale_price]]*Table5[[#This Row],[quantity_sold ]],0)</f>
        <v>24994.396799999999</v>
      </c>
      <c r="O965" s="11">
        <f>(Table5[[#This Row],[final_sale_price]]-Table5[[#This Row],[cost_price]])*Table5[[#This Row],[quantity_sold ]]</f>
        <v>9372.8988000000008</v>
      </c>
      <c r="P965" s="11">
        <f>(Table5[final_sale_price]-Table5[[#This Row],[avg_comp_price]])</f>
        <v>-583.04910000000018</v>
      </c>
      <c r="Q965" s="15">
        <f>(Table5[[#This Row],[final_sale_price]]-Table5[[#This Row],[avg_comp_price]])/Table5[[#This Row],[avg_comp_price]]</f>
        <v>-0.38644065437517716</v>
      </c>
      <c r="R965" s="11">
        <f>Table5[[#This Row],[Profit]]/Table5[[#This Row],[Revenue]]</f>
        <v>0.37500000000000006</v>
      </c>
    </row>
    <row r="966" spans="1:18" x14ac:dyDescent="0.2">
      <c r="A966" s="4">
        <v>965</v>
      </c>
      <c r="B966" s="4">
        <v>97</v>
      </c>
      <c r="C966" s="6">
        <v>45038</v>
      </c>
      <c r="D966" s="4">
        <v>39</v>
      </c>
      <c r="E966" s="4">
        <v>5</v>
      </c>
      <c r="F966" s="12">
        <f t="shared" si="15"/>
        <v>875.55799999999999</v>
      </c>
      <c r="G966" t="str">
        <f>VLOOKUP(B966,product_tbl[],2,FALSE)</f>
        <v>Washing Machine 97</v>
      </c>
      <c r="H966" t="str">
        <f>VLOOKUP(B966,product_tbl[],3,FALSE)</f>
        <v>Home Appliances</v>
      </c>
      <c r="I966">
        <v>552.98399999999992</v>
      </c>
      <c r="J966">
        <f>VLOOKUP(B966,product_tbl[],5,FALSE)</f>
        <v>921.64</v>
      </c>
      <c r="K966">
        <f>VLOOKUP(B966,review_tbl[],3,FALSE)</f>
        <v>3</v>
      </c>
      <c r="L966" s="11">
        <v>1174.5789260172305</v>
      </c>
      <c r="M966" s="11">
        <f>AVERAGEIF(Table1[product_id],Master_tbl!B966:B1967,Table1[competitor_price])</f>
        <v>2464.87</v>
      </c>
      <c r="N966" s="11">
        <f>IFERROR(Table5[[#This Row],[final_sale_price]]*Table5[[#This Row],[quantity_sold ]],0)</f>
        <v>34146.762000000002</v>
      </c>
      <c r="O966" s="11">
        <f>(Table5[[#This Row],[final_sale_price]]-Table5[[#This Row],[cost_price]])*Table5[[#This Row],[quantity_sold ]]</f>
        <v>12580.386000000002</v>
      </c>
      <c r="P966" s="11">
        <f>(Table5[final_sale_price]-Table5[[#This Row],[avg_comp_price]])</f>
        <v>-1589.3119999999999</v>
      </c>
      <c r="Q966" s="15">
        <f>(Table5[[#This Row],[final_sale_price]]-Table5[[#This Row],[avg_comp_price]])/Table5[[#This Row],[avg_comp_price]]</f>
        <v>-0.64478532336390959</v>
      </c>
      <c r="R966" s="11">
        <f>Table5[[#This Row],[Profit]]/Table5[[#This Row],[Revenue]]</f>
        <v>0.36842105263157898</v>
      </c>
    </row>
    <row r="967" spans="1:18" x14ac:dyDescent="0.2">
      <c r="A967" s="5">
        <v>966</v>
      </c>
      <c r="B967" s="5">
        <v>21</v>
      </c>
      <c r="C967" s="7">
        <v>45344</v>
      </c>
      <c r="D967" s="5">
        <v>10</v>
      </c>
      <c r="E967" s="4">
        <v>5</v>
      </c>
      <c r="F967" s="12">
        <f t="shared" si="15"/>
        <v>2735.335</v>
      </c>
      <c r="G967" t="str">
        <f>VLOOKUP(B967,product_tbl[],2,FALSE)</f>
        <v>Water Purifier 21</v>
      </c>
      <c r="H967" t="str">
        <f>VLOOKUP(B967,product_tbl[],3,FALSE)</f>
        <v>Home Appliances</v>
      </c>
      <c r="I967">
        <v>1727.5800000000002</v>
      </c>
      <c r="J967">
        <f>VLOOKUP(B967,product_tbl[],5,FALSE)</f>
        <v>2879.3</v>
      </c>
      <c r="K967">
        <f>VLOOKUP(B967,review_tbl[],3,FALSE)</f>
        <v>3</v>
      </c>
      <c r="L967" s="11">
        <v>3719.3450907831839</v>
      </c>
      <c r="M967" s="11">
        <f>AVERAGEIF(Table1[product_id],Master_tbl!B967:B1968,Table1[competitor_price])</f>
        <v>4150.0079999999998</v>
      </c>
      <c r="N967" s="11">
        <f>IFERROR(Table5[[#This Row],[final_sale_price]]*Table5[[#This Row],[quantity_sold ]],0)</f>
        <v>27353.35</v>
      </c>
      <c r="O967" s="11">
        <f>(Table5[[#This Row],[final_sale_price]]-Table5[[#This Row],[cost_price]])*Table5[[#This Row],[quantity_sold ]]</f>
        <v>10077.549999999999</v>
      </c>
      <c r="P967" s="11">
        <f>(Table5[final_sale_price]-Table5[[#This Row],[avg_comp_price]])</f>
        <v>-1414.6729999999998</v>
      </c>
      <c r="Q967" s="15">
        <f>(Table5[[#This Row],[final_sale_price]]-Table5[[#This Row],[avg_comp_price]])/Table5[[#This Row],[avg_comp_price]]</f>
        <v>-0.3408844031144036</v>
      </c>
      <c r="R967" s="11">
        <f>Table5[[#This Row],[Profit]]/Table5[[#This Row],[Revenue]]</f>
        <v>0.36842105263157893</v>
      </c>
    </row>
    <row r="968" spans="1:18" x14ac:dyDescent="0.2">
      <c r="A968" s="4">
        <v>967</v>
      </c>
      <c r="B968" s="4">
        <v>85</v>
      </c>
      <c r="C968" s="6">
        <v>45686</v>
      </c>
      <c r="D968" s="4">
        <v>8</v>
      </c>
      <c r="E968" s="4">
        <v>6</v>
      </c>
      <c r="F968" s="12">
        <f t="shared" si="15"/>
        <v>3527.8481999999999</v>
      </c>
      <c r="G968" t="str">
        <f>VLOOKUP(B968,product_tbl[],2,FALSE)</f>
        <v>Handbag 85</v>
      </c>
      <c r="H968" t="str">
        <f>VLOOKUP(B968,product_tbl[],3,FALSE)</f>
        <v>Fashion</v>
      </c>
      <c r="I968">
        <v>2251.8180000000002</v>
      </c>
      <c r="J968">
        <f>VLOOKUP(B968,product_tbl[],5,FALSE)</f>
        <v>3753.03</v>
      </c>
      <c r="K968">
        <f>VLOOKUP(B968,review_tbl[],3,FALSE)</f>
        <v>1</v>
      </c>
      <c r="L968" s="11">
        <v>3861.9486918468347</v>
      </c>
      <c r="M968" s="11">
        <f>AVERAGEIF(Table1[product_id],Master_tbl!B968:B1969,Table1[competitor_price])</f>
        <v>3340.25</v>
      </c>
      <c r="N968" s="11">
        <f>IFERROR(Table5[[#This Row],[final_sale_price]]*Table5[[#This Row],[quantity_sold ]],0)</f>
        <v>28222.785599999999</v>
      </c>
      <c r="O968" s="11">
        <f>(Table5[[#This Row],[final_sale_price]]-Table5[[#This Row],[cost_price]])*Table5[[#This Row],[quantity_sold ]]</f>
        <v>10208.241599999998</v>
      </c>
      <c r="P968" s="11">
        <f>(Table5[final_sale_price]-Table5[[#This Row],[avg_comp_price]])</f>
        <v>187.59819999999991</v>
      </c>
      <c r="Q968" s="15">
        <f>(Table5[[#This Row],[final_sale_price]]-Table5[[#This Row],[avg_comp_price]])/Table5[[#This Row],[avg_comp_price]]</f>
        <v>5.6162921936980734E-2</v>
      </c>
      <c r="R968" s="11">
        <f>Table5[[#This Row],[Profit]]/Table5[[#This Row],[Revenue]]</f>
        <v>0.36170212765957438</v>
      </c>
    </row>
    <row r="969" spans="1:18" x14ac:dyDescent="0.2">
      <c r="A969" s="5">
        <v>968</v>
      </c>
      <c r="B969" s="5">
        <v>89</v>
      </c>
      <c r="C969" s="7">
        <v>45907</v>
      </c>
      <c r="D969" s="5">
        <v>39</v>
      </c>
      <c r="E969" s="4">
        <v>10</v>
      </c>
      <c r="F969" s="12">
        <f t="shared" si="15"/>
        <v>907.53300000000002</v>
      </c>
      <c r="G969" t="str">
        <f>VLOOKUP(B969,product_tbl[],2,FALSE)</f>
        <v>Remote Car 89</v>
      </c>
      <c r="H969" t="str">
        <f>VLOOKUP(B969,product_tbl[],3,FALSE)</f>
        <v>Toys</v>
      </c>
      <c r="I969">
        <v>605.02199999999993</v>
      </c>
      <c r="J969">
        <f>VLOOKUP(B969,product_tbl[],5,FALSE)</f>
        <v>1008.37</v>
      </c>
      <c r="K969">
        <f>VLOOKUP(B969,review_tbl[],3,FALSE)</f>
        <v>4</v>
      </c>
      <c r="L969" s="11">
        <v>1197.365432588816</v>
      </c>
      <c r="M969" s="11">
        <f>AVERAGEIF(Table1[product_id],Master_tbl!B969:B1970,Table1[competitor_price])</f>
        <v>913.02</v>
      </c>
      <c r="N969" s="11">
        <f>IFERROR(Table5[[#This Row],[final_sale_price]]*Table5[[#This Row],[quantity_sold ]],0)</f>
        <v>35393.787000000004</v>
      </c>
      <c r="O969" s="11">
        <f>(Table5[[#This Row],[final_sale_price]]-Table5[[#This Row],[cost_price]])*Table5[[#This Row],[quantity_sold ]]</f>
        <v>11797.929000000004</v>
      </c>
      <c r="P969" s="11">
        <f>(Table5[final_sale_price]-Table5[[#This Row],[avg_comp_price]])</f>
        <v>-5.4869999999999663</v>
      </c>
      <c r="Q969" s="15">
        <f>(Table5[[#This Row],[final_sale_price]]-Table5[[#This Row],[avg_comp_price]])/Table5[[#This Row],[avg_comp_price]]</f>
        <v>-6.0097259643819047E-3</v>
      </c>
      <c r="R969" s="11">
        <f>Table5[[#This Row],[Profit]]/Table5[[#This Row],[Revenue]]</f>
        <v>0.33333333333333343</v>
      </c>
    </row>
    <row r="970" spans="1:18" x14ac:dyDescent="0.2">
      <c r="A970" s="4">
        <v>969</v>
      </c>
      <c r="B970" s="4">
        <v>149</v>
      </c>
      <c r="C970" s="6">
        <v>45768</v>
      </c>
      <c r="D970" s="4">
        <v>33</v>
      </c>
      <c r="E970" s="4">
        <v>4</v>
      </c>
      <c r="F970" s="12">
        <f t="shared" si="15"/>
        <v>5882.6687999999995</v>
      </c>
      <c r="G970" t="str">
        <f>VLOOKUP(B970,product_tbl[],2,FALSE)</f>
        <v>Smartphone 149</v>
      </c>
      <c r="H970" t="str">
        <f>VLOOKUP(B970,product_tbl[],3,FALSE)</f>
        <v>Electronics</v>
      </c>
      <c r="I970">
        <v>3676.6679999999997</v>
      </c>
      <c r="J970">
        <f>VLOOKUP(B970,product_tbl[],5,FALSE)</f>
        <v>6127.78</v>
      </c>
      <c r="K970">
        <f>VLOOKUP(B970,review_tbl[],3,FALSE)</f>
        <v>4</v>
      </c>
      <c r="L970" s="11">
        <v>7904.303828320205</v>
      </c>
      <c r="M970" s="11">
        <f>AVERAGEIF(Table1[product_id],Master_tbl!B970:B1971,Table1[competitor_price])</f>
        <v>3159.4639999999999</v>
      </c>
      <c r="N970" s="11">
        <f>IFERROR(Table5[[#This Row],[final_sale_price]]*Table5[[#This Row],[quantity_sold ]],0)</f>
        <v>194128.07039999997</v>
      </c>
      <c r="O970" s="11">
        <f>(Table5[[#This Row],[final_sale_price]]-Table5[[#This Row],[cost_price]])*Table5[[#This Row],[quantity_sold ]]</f>
        <v>72798.026399999988</v>
      </c>
      <c r="P970" s="11">
        <f>(Table5[final_sale_price]-Table5[[#This Row],[avg_comp_price]])</f>
        <v>2723.2047999999995</v>
      </c>
      <c r="Q970" s="15">
        <f>(Table5[[#This Row],[final_sale_price]]-Table5[[#This Row],[avg_comp_price]])/Table5[[#This Row],[avg_comp_price]]</f>
        <v>0.86191986995262471</v>
      </c>
      <c r="R970" s="11">
        <f>Table5[[#This Row],[Profit]]/Table5[[#This Row],[Revenue]]</f>
        <v>0.375</v>
      </c>
    </row>
    <row r="971" spans="1:18" x14ac:dyDescent="0.2">
      <c r="A971" s="5">
        <v>970</v>
      </c>
      <c r="B971" s="5">
        <v>120</v>
      </c>
      <c r="C971" s="7">
        <v>45565</v>
      </c>
      <c r="D971" s="5">
        <v>22</v>
      </c>
      <c r="E971" s="4">
        <v>6</v>
      </c>
      <c r="F971" s="12">
        <f t="shared" si="15"/>
        <v>1858.0039999999999</v>
      </c>
      <c r="G971" t="str">
        <f>VLOOKUP(B971,product_tbl[],2,FALSE)</f>
        <v>Vacuum Cleaner 120</v>
      </c>
      <c r="H971" t="str">
        <f>VLOOKUP(B971,product_tbl[],3,FALSE)</f>
        <v>Home Appliances</v>
      </c>
      <c r="I971">
        <v>1185.9599999999998</v>
      </c>
      <c r="J971">
        <f>VLOOKUP(B971,product_tbl[],5,FALSE)</f>
        <v>1976.6</v>
      </c>
      <c r="K971">
        <f>VLOOKUP(B971,review_tbl[],3,FALSE)</f>
        <v>2</v>
      </c>
      <c r="L971" s="11">
        <v>2485.5666987809377</v>
      </c>
      <c r="M971" s="11">
        <f>AVERAGEIF(Table1[product_id],Master_tbl!B971:B1972,Table1[competitor_price])</f>
        <v>1688.8574999999998</v>
      </c>
      <c r="N971" s="11">
        <f>IFERROR(Table5[[#This Row],[final_sale_price]]*Table5[[#This Row],[quantity_sold ]],0)</f>
        <v>40876.087999999996</v>
      </c>
      <c r="O971" s="11">
        <f>(Table5[[#This Row],[final_sale_price]]-Table5[[#This Row],[cost_price]])*Table5[[#This Row],[quantity_sold ]]</f>
        <v>14784.968000000003</v>
      </c>
      <c r="P971" s="11">
        <f>(Table5[final_sale_price]-Table5[[#This Row],[avg_comp_price]])</f>
        <v>169.14650000000006</v>
      </c>
      <c r="Q971" s="15">
        <f>(Table5[[#This Row],[final_sale_price]]-Table5[[#This Row],[avg_comp_price]])/Table5[[#This Row],[avg_comp_price]]</f>
        <v>0.10015439431686811</v>
      </c>
      <c r="R971" s="11">
        <f>Table5[[#This Row],[Profit]]/Table5[[#This Row],[Revenue]]</f>
        <v>0.36170212765957455</v>
      </c>
    </row>
    <row r="972" spans="1:18" x14ac:dyDescent="0.2">
      <c r="A972" s="4">
        <v>971</v>
      </c>
      <c r="B972" s="4">
        <v>21</v>
      </c>
      <c r="C972" s="6">
        <v>45670</v>
      </c>
      <c r="D972" s="4">
        <v>1</v>
      </c>
      <c r="E972" s="4">
        <v>7</v>
      </c>
      <c r="F972" s="12">
        <f t="shared" si="15"/>
        <v>2677.7489999999998</v>
      </c>
      <c r="G972" t="str">
        <f>VLOOKUP(B972,product_tbl[],2,FALSE)</f>
        <v>Water Purifier 21</v>
      </c>
      <c r="H972" t="str">
        <f>VLOOKUP(B972,product_tbl[],3,FALSE)</f>
        <v>Home Appliances</v>
      </c>
      <c r="I972">
        <v>1727.5800000000002</v>
      </c>
      <c r="J972">
        <f>VLOOKUP(B972,product_tbl[],5,FALSE)</f>
        <v>2879.3</v>
      </c>
      <c r="K972">
        <f>VLOOKUP(B972,review_tbl[],3,FALSE)</f>
        <v>3</v>
      </c>
      <c r="L972" s="11">
        <v>3008.2912727903604</v>
      </c>
      <c r="M972" s="11">
        <f>AVERAGEIF(Table1[product_id],Master_tbl!B972:B1973,Table1[competitor_price])</f>
        <v>4150.0079999999998</v>
      </c>
      <c r="N972" s="11">
        <f>IFERROR(Table5[[#This Row],[final_sale_price]]*Table5[[#This Row],[quantity_sold ]],0)</f>
        <v>2677.7489999999998</v>
      </c>
      <c r="O972" s="11">
        <f>(Table5[[#This Row],[final_sale_price]]-Table5[[#This Row],[cost_price]])*Table5[[#This Row],[quantity_sold ]]</f>
        <v>950.16899999999964</v>
      </c>
      <c r="P972" s="11">
        <f>(Table5[final_sale_price]-Table5[[#This Row],[avg_comp_price]])</f>
        <v>-1472.259</v>
      </c>
      <c r="Q972" s="15">
        <f>(Table5[[#This Row],[final_sale_price]]-Table5[[#This Row],[avg_comp_price]])/Table5[[#This Row],[avg_comp_price]]</f>
        <v>-0.35476052094357413</v>
      </c>
      <c r="R972" s="11">
        <f>Table5[[#This Row],[Profit]]/Table5[[#This Row],[Revenue]]</f>
        <v>0.35483870967741926</v>
      </c>
    </row>
    <row r="973" spans="1:18" x14ac:dyDescent="0.2">
      <c r="A973" s="5">
        <v>972</v>
      </c>
      <c r="B973" s="5">
        <v>102</v>
      </c>
      <c r="C973" s="7">
        <v>45271</v>
      </c>
      <c r="D973" s="5">
        <v>25</v>
      </c>
      <c r="E973" s="4">
        <v>7</v>
      </c>
      <c r="F973" s="12">
        <f t="shared" si="15"/>
        <v>3853.8641999999995</v>
      </c>
      <c r="G973" t="str">
        <f>VLOOKUP(B973,product_tbl[],2,FALSE)</f>
        <v>Action Figure 102</v>
      </c>
      <c r="H973" t="str">
        <f>VLOOKUP(B973,product_tbl[],3,FALSE)</f>
        <v>Toys</v>
      </c>
      <c r="I973">
        <v>2486.3639999999996</v>
      </c>
      <c r="J973">
        <f>VLOOKUP(B973,product_tbl[],5,FALSE)</f>
        <v>4143.9399999999996</v>
      </c>
      <c r="K973">
        <f>VLOOKUP(B973,review_tbl[],3,FALSE)</f>
        <v>4</v>
      </c>
      <c r="L973" s="11">
        <v>4842.5329973674407</v>
      </c>
      <c r="M973" s="11">
        <f>AVERAGEIF(Table1[product_id],Master_tbl!B973:B1974,Table1[competitor_price])</f>
        <v>2740.84</v>
      </c>
      <c r="N973" s="11">
        <f>IFERROR(Table5[[#This Row],[final_sale_price]]*Table5[[#This Row],[quantity_sold ]],0)</f>
        <v>96346.604999999981</v>
      </c>
      <c r="O973" s="11">
        <f>(Table5[[#This Row],[final_sale_price]]-Table5[[#This Row],[cost_price]])*Table5[[#This Row],[quantity_sold ]]</f>
        <v>34187.504999999997</v>
      </c>
      <c r="P973" s="11">
        <f>(Table5[final_sale_price]-Table5[[#This Row],[avg_comp_price]])</f>
        <v>1113.0241999999994</v>
      </c>
      <c r="Q973" s="15">
        <f>(Table5[[#This Row],[final_sale_price]]-Table5[[#This Row],[avg_comp_price]])/Table5[[#This Row],[avg_comp_price]]</f>
        <v>0.40608871732753438</v>
      </c>
      <c r="R973" s="11">
        <f>Table5[[#This Row],[Profit]]/Table5[[#This Row],[Revenue]]</f>
        <v>0.35483870967741937</v>
      </c>
    </row>
    <row r="974" spans="1:18" x14ac:dyDescent="0.2">
      <c r="A974" s="4">
        <v>973</v>
      </c>
      <c r="B974" s="4">
        <v>11</v>
      </c>
      <c r="C974" s="6">
        <v>45586</v>
      </c>
      <c r="D974" s="4">
        <v>21</v>
      </c>
      <c r="E974" s="4">
        <v>2</v>
      </c>
      <c r="F974" s="12">
        <f t="shared" si="15"/>
        <v>3136.1959999999999</v>
      </c>
      <c r="G974" t="str">
        <f>VLOOKUP(B974,product_tbl[],2,FALSE)</f>
        <v>Remote Car 11</v>
      </c>
      <c r="H974" t="str">
        <f>VLOOKUP(B974,product_tbl[],3,FALSE)</f>
        <v>Toys</v>
      </c>
      <c r="I974">
        <v>1920.12</v>
      </c>
      <c r="J974">
        <f>VLOOKUP(B974,product_tbl[],5,FALSE)</f>
        <v>3200.2</v>
      </c>
      <c r="K974">
        <f>VLOOKUP(B974,review_tbl[],3,FALSE)</f>
        <v>1</v>
      </c>
      <c r="L974" s="11">
        <v>3575.5790222071237</v>
      </c>
      <c r="M974" s="11">
        <f>AVERAGEIF(Table1[product_id],Master_tbl!B974:B1975,Table1[competitor_price])</f>
        <v>7089.33</v>
      </c>
      <c r="N974" s="11">
        <f>IFERROR(Table5[[#This Row],[final_sale_price]]*Table5[[#This Row],[quantity_sold ]],0)</f>
        <v>65860.115999999995</v>
      </c>
      <c r="O974" s="11">
        <f>(Table5[[#This Row],[final_sale_price]]-Table5[[#This Row],[cost_price]])*Table5[[#This Row],[quantity_sold ]]</f>
        <v>25537.596000000001</v>
      </c>
      <c r="P974" s="11">
        <f>(Table5[final_sale_price]-Table5[[#This Row],[avg_comp_price]])</f>
        <v>-3953.134</v>
      </c>
      <c r="Q974" s="15">
        <f>(Table5[[#This Row],[final_sale_price]]-Table5[[#This Row],[avg_comp_price]])/Table5[[#This Row],[avg_comp_price]]</f>
        <v>-0.55761743352333715</v>
      </c>
      <c r="R974" s="11">
        <f>Table5[[#This Row],[Profit]]/Table5[[#This Row],[Revenue]]</f>
        <v>0.38775510204081637</v>
      </c>
    </row>
    <row r="975" spans="1:18" x14ac:dyDescent="0.2">
      <c r="A975" s="5">
        <v>974</v>
      </c>
      <c r="B975" s="5">
        <v>150</v>
      </c>
      <c r="C975" s="7">
        <v>45875</v>
      </c>
      <c r="D975" s="5">
        <v>28</v>
      </c>
      <c r="E975" s="4">
        <v>7</v>
      </c>
      <c r="F975" s="12">
        <f t="shared" si="15"/>
        <v>2129.4395999999997</v>
      </c>
      <c r="G975" t="str">
        <f>VLOOKUP(B975,product_tbl[],2,FALSE)</f>
        <v>Puzzle Set 150</v>
      </c>
      <c r="H975" t="str">
        <f>VLOOKUP(B975,product_tbl[],3,FALSE)</f>
        <v>Toys</v>
      </c>
      <c r="I975">
        <v>1373.8319999999999</v>
      </c>
      <c r="J975">
        <f>VLOOKUP(B975,product_tbl[],5,FALSE)</f>
        <v>2289.7199999999998</v>
      </c>
      <c r="K975">
        <f>VLOOKUP(B975,review_tbl[],3,FALSE)</f>
        <v>3</v>
      </c>
      <c r="L975" s="11">
        <v>2572.7553300689465</v>
      </c>
      <c r="M975" s="11">
        <f>AVERAGEIF(Table1[product_id],Master_tbl!B975:B1976,Table1[competitor_price])</f>
        <v>1810.3166666666666</v>
      </c>
      <c r="N975" s="11">
        <f>IFERROR(Table5[[#This Row],[final_sale_price]]*Table5[[#This Row],[quantity_sold ]],0)</f>
        <v>59624.308799999992</v>
      </c>
      <c r="O975" s="11">
        <f>(Table5[[#This Row],[final_sale_price]]-Table5[[#This Row],[cost_price]])*Table5[[#This Row],[quantity_sold ]]</f>
        <v>21157.012799999997</v>
      </c>
      <c r="P975" s="11">
        <f>(Table5[final_sale_price]-Table5[[#This Row],[avg_comp_price]])</f>
        <v>319.12293333333309</v>
      </c>
      <c r="Q975" s="15">
        <f>(Table5[[#This Row],[final_sale_price]]-Table5[[#This Row],[avg_comp_price]])/Table5[[#This Row],[avg_comp_price]]</f>
        <v>0.17628017197727824</v>
      </c>
      <c r="R975" s="11">
        <f>Table5[[#This Row],[Profit]]/Table5[[#This Row],[Revenue]]</f>
        <v>0.35483870967741937</v>
      </c>
    </row>
    <row r="976" spans="1:18" x14ac:dyDescent="0.2">
      <c r="A976" s="4">
        <v>975</v>
      </c>
      <c r="B976" s="4">
        <v>1</v>
      </c>
      <c r="C976" s="6">
        <v>45460</v>
      </c>
      <c r="D976" s="4">
        <v>20</v>
      </c>
      <c r="E976" s="4">
        <v>4</v>
      </c>
      <c r="F976" s="12">
        <f t="shared" si="15"/>
        <v>1834.5119999999999</v>
      </c>
      <c r="G976" t="str">
        <f>VLOOKUP(B976,product_tbl[],2,FALSE)</f>
        <v>Wheat Flour 1</v>
      </c>
      <c r="H976" t="str">
        <f>VLOOKUP(B976,product_tbl[],3,FALSE)</f>
        <v>Grocery</v>
      </c>
      <c r="I976">
        <v>1146.57</v>
      </c>
      <c r="J976">
        <f>VLOOKUP(B976,product_tbl[],5,FALSE)</f>
        <v>1910.95</v>
      </c>
      <c r="K976">
        <f>VLOOKUP(B976,review_tbl[],3,FALSE)</f>
        <v>1</v>
      </c>
      <c r="L976" s="11">
        <v>2061.9135878663574</v>
      </c>
      <c r="M976" s="11">
        <f>AVERAGEIF(Table1[product_id],Master_tbl!B976:B1977,Table1[competitor_price])</f>
        <v>4785.0083333333332</v>
      </c>
      <c r="N976" s="11">
        <f>IFERROR(Table5[[#This Row],[final_sale_price]]*Table5[[#This Row],[quantity_sold ]],0)</f>
        <v>36690.239999999998</v>
      </c>
      <c r="O976" s="11">
        <f>(Table5[[#This Row],[final_sale_price]]-Table5[[#This Row],[cost_price]])*Table5[[#This Row],[quantity_sold ]]</f>
        <v>13758.84</v>
      </c>
      <c r="P976" s="11">
        <f>(Table5[final_sale_price]-Table5[[#This Row],[avg_comp_price]])</f>
        <v>-2950.4963333333335</v>
      </c>
      <c r="Q976" s="15">
        <f>(Table5[[#This Row],[final_sale_price]]-Table5[[#This Row],[avg_comp_price]])/Table5[[#This Row],[avg_comp_price]]</f>
        <v>-0.61661257991539553</v>
      </c>
      <c r="R976" s="11">
        <f>Table5[[#This Row],[Profit]]/Table5[[#This Row],[Revenue]]</f>
        <v>0.375</v>
      </c>
    </row>
    <row r="977" spans="1:18" x14ac:dyDescent="0.2">
      <c r="A977" s="5">
        <v>976</v>
      </c>
      <c r="B977" s="5">
        <v>34</v>
      </c>
      <c r="C977" s="7">
        <v>45708</v>
      </c>
      <c r="D977" s="5">
        <v>41</v>
      </c>
      <c r="E977" s="4">
        <v>7</v>
      </c>
      <c r="F977" s="12">
        <f t="shared" si="15"/>
        <v>1212.1527000000001</v>
      </c>
      <c r="G977" t="str">
        <f>VLOOKUP(B977,product_tbl[],2,FALSE)</f>
        <v>Doll 34</v>
      </c>
      <c r="H977" t="str">
        <f>VLOOKUP(B977,product_tbl[],3,FALSE)</f>
        <v>Toys</v>
      </c>
      <c r="I977">
        <v>782.03399999999999</v>
      </c>
      <c r="J977">
        <f>VLOOKUP(B977,product_tbl[],5,FALSE)</f>
        <v>1303.3900000000001</v>
      </c>
      <c r="K977">
        <f>VLOOKUP(B977,review_tbl[],3,FALSE)</f>
        <v>2</v>
      </c>
      <c r="L977" s="11">
        <v>1465.5121247654565</v>
      </c>
      <c r="M977" s="11">
        <f>AVERAGEIF(Table1[product_id],Master_tbl!B977:B1978,Table1[competitor_price])</f>
        <v>4145.4440000000004</v>
      </c>
      <c r="N977" s="11">
        <f>IFERROR(Table5[[#This Row],[final_sale_price]]*Table5[[#This Row],[quantity_sold ]],0)</f>
        <v>49698.260700000006</v>
      </c>
      <c r="O977" s="11">
        <f>(Table5[[#This Row],[final_sale_price]]-Table5[[#This Row],[cost_price]])*Table5[[#This Row],[quantity_sold ]]</f>
        <v>17634.866700000006</v>
      </c>
      <c r="P977" s="11">
        <f>(Table5[final_sale_price]-Table5[[#This Row],[avg_comp_price]])</f>
        <v>-2933.2913000000003</v>
      </c>
      <c r="Q977" s="15">
        <f>(Table5[[#This Row],[final_sale_price]]-Table5[[#This Row],[avg_comp_price]])/Table5[[#This Row],[avg_comp_price]]</f>
        <v>-0.70759399958122704</v>
      </c>
      <c r="R977" s="11">
        <f>Table5[[#This Row],[Profit]]/Table5[[#This Row],[Revenue]]</f>
        <v>0.35483870967741943</v>
      </c>
    </row>
    <row r="978" spans="1:18" x14ac:dyDescent="0.2">
      <c r="A978" s="4">
        <v>977</v>
      </c>
      <c r="B978" s="4">
        <v>136</v>
      </c>
      <c r="C978" s="6">
        <v>45646</v>
      </c>
      <c r="D978" s="4">
        <v>30</v>
      </c>
      <c r="E978" s="4">
        <v>7</v>
      </c>
      <c r="F978" s="12">
        <f t="shared" si="15"/>
        <v>4795.4240999999993</v>
      </c>
      <c r="G978" t="str">
        <f>VLOOKUP(B978,product_tbl[],2,FALSE)</f>
        <v>Handbag 136</v>
      </c>
      <c r="H978" t="str">
        <f>VLOOKUP(B978,product_tbl[],3,FALSE)</f>
        <v>Fashion</v>
      </c>
      <c r="I978">
        <v>3093.8219999999997</v>
      </c>
      <c r="J978">
        <f>VLOOKUP(B978,product_tbl[],5,FALSE)</f>
        <v>5156.37</v>
      </c>
      <c r="K978">
        <f>VLOOKUP(B978,review_tbl[],3,FALSE)</f>
        <v>3</v>
      </c>
      <c r="L978" s="11">
        <v>6694.1854678784784</v>
      </c>
      <c r="M978" s="11">
        <f>AVERAGEIF(Table1[product_id],Master_tbl!B978:B1979,Table1[competitor_price])</f>
        <v>5805.195999999999</v>
      </c>
      <c r="N978" s="11">
        <f>IFERROR(Table5[[#This Row],[final_sale_price]]*Table5[[#This Row],[quantity_sold ]],0)</f>
        <v>143862.72299999997</v>
      </c>
      <c r="O978" s="11">
        <f>(Table5[[#This Row],[final_sale_price]]-Table5[[#This Row],[cost_price]])*Table5[[#This Row],[quantity_sold ]]</f>
        <v>51048.062999999987</v>
      </c>
      <c r="P978" s="11">
        <f>(Table5[final_sale_price]-Table5[[#This Row],[avg_comp_price]])</f>
        <v>-1009.7718999999997</v>
      </c>
      <c r="Q978" s="15">
        <f>(Table5[[#This Row],[final_sale_price]]-Table5[[#This Row],[avg_comp_price]])/Table5[[#This Row],[avg_comp_price]]</f>
        <v>-0.17394277471423875</v>
      </c>
      <c r="R978" s="11">
        <f>Table5[[#This Row],[Profit]]/Table5[[#This Row],[Revenue]]</f>
        <v>0.35483870967741932</v>
      </c>
    </row>
    <row r="979" spans="1:18" x14ac:dyDescent="0.2">
      <c r="A979" s="5">
        <v>978</v>
      </c>
      <c r="B979" s="5">
        <v>80</v>
      </c>
      <c r="C979" s="7">
        <v>45187</v>
      </c>
      <c r="D979" s="5">
        <v>17</v>
      </c>
      <c r="E979" s="4">
        <v>5</v>
      </c>
      <c r="F979" s="12">
        <f t="shared" si="15"/>
        <v>949.11649999999997</v>
      </c>
      <c r="G979" t="str">
        <f>VLOOKUP(B979,product_tbl[],2,FALSE)</f>
        <v>Washing Machine 80</v>
      </c>
      <c r="H979" t="str">
        <f>VLOOKUP(B979,product_tbl[],3,FALSE)</f>
        <v>Home Appliances</v>
      </c>
      <c r="I979">
        <v>599.44200000000001</v>
      </c>
      <c r="J979">
        <f>VLOOKUP(B979,product_tbl[],5,FALSE)</f>
        <v>999.07</v>
      </c>
      <c r="K979">
        <f>VLOOKUP(B979,review_tbl[],3,FALSE)</f>
        <v>5</v>
      </c>
      <c r="L979" s="11">
        <v>1039.2049794374991</v>
      </c>
      <c r="M979" s="11">
        <f>AVERAGEIF(Table1[product_id],Master_tbl!B979:B1980,Table1[competitor_price])</f>
        <v>4319.1966666666667</v>
      </c>
      <c r="N979" s="11">
        <f>IFERROR(Table5[[#This Row],[final_sale_price]]*Table5[[#This Row],[quantity_sold ]],0)</f>
        <v>16134.9805</v>
      </c>
      <c r="O979" s="11">
        <f>(Table5[[#This Row],[final_sale_price]]-Table5[[#This Row],[cost_price]])*Table5[[#This Row],[quantity_sold ]]</f>
        <v>5944.4664999999995</v>
      </c>
      <c r="P979" s="11">
        <f>(Table5[final_sale_price]-Table5[[#This Row],[avg_comp_price]])</f>
        <v>-3370.0801666666666</v>
      </c>
      <c r="Q979" s="15">
        <f>(Table5[[#This Row],[final_sale_price]]-Table5[[#This Row],[avg_comp_price]])/Table5[[#This Row],[avg_comp_price]]</f>
        <v>-0.78025624363789869</v>
      </c>
      <c r="R979" s="11">
        <f>Table5[[#This Row],[Profit]]/Table5[[#This Row],[Revenue]]</f>
        <v>0.36842105263157893</v>
      </c>
    </row>
    <row r="980" spans="1:18" x14ac:dyDescent="0.2">
      <c r="A980" s="4">
        <v>979</v>
      </c>
      <c r="B980" s="4">
        <v>35</v>
      </c>
      <c r="C980" s="6">
        <v>45000</v>
      </c>
      <c r="D980" s="4">
        <v>25</v>
      </c>
      <c r="E980" s="4">
        <v>6</v>
      </c>
      <c r="F980" s="12">
        <f t="shared" si="15"/>
        <v>127.07859999999999</v>
      </c>
      <c r="G980" t="str">
        <f>VLOOKUP(B980,product_tbl[],2,FALSE)</f>
        <v>Sneakers 35</v>
      </c>
      <c r="H980" t="str">
        <f>VLOOKUP(B980,product_tbl[],3,FALSE)</f>
        <v>Fashion</v>
      </c>
      <c r="I980">
        <v>81.11399999999999</v>
      </c>
      <c r="J980">
        <f>VLOOKUP(B980,product_tbl[],5,FALSE)</f>
        <v>135.19</v>
      </c>
      <c r="K980">
        <f>VLOOKUP(B980,review_tbl[],3,FALSE)</f>
        <v>3</v>
      </c>
      <c r="L980" s="11">
        <v>138.79864777773412</v>
      </c>
      <c r="M980" s="11">
        <f>AVERAGEIF(Table1[product_id],Master_tbl!B980:B1981,Table1[competitor_price])</f>
        <v>2089.5899999999997</v>
      </c>
      <c r="N980" s="11">
        <f>IFERROR(Table5[[#This Row],[final_sale_price]]*Table5[[#This Row],[quantity_sold ]],0)</f>
        <v>3176.9649999999997</v>
      </c>
      <c r="O980" s="11">
        <f>(Table5[[#This Row],[final_sale_price]]-Table5[[#This Row],[cost_price]])*Table5[[#This Row],[quantity_sold ]]</f>
        <v>1149.115</v>
      </c>
      <c r="P980" s="11">
        <f>(Table5[final_sale_price]-Table5[[#This Row],[avg_comp_price]])</f>
        <v>-1962.5113999999996</v>
      </c>
      <c r="Q980" s="15">
        <f>(Table5[[#This Row],[final_sale_price]]-Table5[[#This Row],[avg_comp_price]])/Table5[[#This Row],[avg_comp_price]]</f>
        <v>-0.93918491187266395</v>
      </c>
      <c r="R980" s="11">
        <f>Table5[[#This Row],[Profit]]/Table5[[#This Row],[Revenue]]</f>
        <v>0.36170212765957449</v>
      </c>
    </row>
    <row r="981" spans="1:18" x14ac:dyDescent="0.2">
      <c r="A981" s="5">
        <v>980</v>
      </c>
      <c r="B981" s="5">
        <v>1</v>
      </c>
      <c r="C981" s="7">
        <v>45258</v>
      </c>
      <c r="D981" s="5">
        <v>16</v>
      </c>
      <c r="E981" s="4">
        <v>3</v>
      </c>
      <c r="F981" s="12">
        <f t="shared" si="15"/>
        <v>1853.6215</v>
      </c>
      <c r="G981" t="str">
        <f>VLOOKUP(B981,product_tbl[],2,FALSE)</f>
        <v>Wheat Flour 1</v>
      </c>
      <c r="H981" t="str">
        <f>VLOOKUP(B981,product_tbl[],3,FALSE)</f>
        <v>Grocery</v>
      </c>
      <c r="I981">
        <v>1146.57</v>
      </c>
      <c r="J981">
        <f>VLOOKUP(B981,product_tbl[],5,FALSE)</f>
        <v>1910.95</v>
      </c>
      <c r="K981">
        <f>VLOOKUP(B981,review_tbl[],3,FALSE)</f>
        <v>1</v>
      </c>
      <c r="L981" s="11">
        <v>2243.4941730060668</v>
      </c>
      <c r="M981" s="11">
        <f>AVERAGEIF(Table1[product_id],Master_tbl!B981:B1982,Table1[competitor_price])</f>
        <v>4785.0083333333332</v>
      </c>
      <c r="N981" s="11">
        <f>IFERROR(Table5[[#This Row],[final_sale_price]]*Table5[[#This Row],[quantity_sold ]],0)</f>
        <v>29657.944</v>
      </c>
      <c r="O981" s="11">
        <f>(Table5[[#This Row],[final_sale_price]]-Table5[[#This Row],[cost_price]])*Table5[[#This Row],[quantity_sold ]]</f>
        <v>11312.824000000001</v>
      </c>
      <c r="P981" s="11">
        <f>(Table5[final_sale_price]-Table5[[#This Row],[avg_comp_price]])</f>
        <v>-2931.386833333333</v>
      </c>
      <c r="Q981" s="15">
        <f>(Table5[[#This Row],[final_sale_price]]-Table5[[#This Row],[avg_comp_price]])/Table5[[#This Row],[avg_comp_price]]</f>
        <v>-0.61261896095618085</v>
      </c>
      <c r="R981" s="11">
        <f>Table5[[#This Row],[Profit]]/Table5[[#This Row],[Revenue]]</f>
        <v>0.3814432989690722</v>
      </c>
    </row>
    <row r="982" spans="1:18" x14ac:dyDescent="0.2">
      <c r="A982" s="4">
        <v>981</v>
      </c>
      <c r="B982" s="4">
        <v>142</v>
      </c>
      <c r="C982" s="6">
        <v>45439</v>
      </c>
      <c r="D982" s="4">
        <v>24</v>
      </c>
      <c r="E982" s="4">
        <v>8</v>
      </c>
      <c r="F982" s="12">
        <f t="shared" si="15"/>
        <v>2743.7528000000002</v>
      </c>
      <c r="G982" t="str">
        <f>VLOOKUP(B982,product_tbl[],2,FALSE)</f>
        <v>Jeans 142</v>
      </c>
      <c r="H982" t="str">
        <f>VLOOKUP(B982,product_tbl[],3,FALSE)</f>
        <v>Fashion</v>
      </c>
      <c r="I982">
        <v>1789.404</v>
      </c>
      <c r="J982">
        <f>VLOOKUP(B982,product_tbl[],5,FALSE)</f>
        <v>2982.34</v>
      </c>
      <c r="K982">
        <f>VLOOKUP(B982,review_tbl[],3,FALSE)</f>
        <v>4</v>
      </c>
      <c r="L982" s="11">
        <v>3567.8218550580204</v>
      </c>
      <c r="M982" s="11">
        <f>AVERAGEIF(Table1[product_id],Master_tbl!B982:B1983,Table1[competitor_price])</f>
        <v>2210.1966666666667</v>
      </c>
      <c r="N982" s="11">
        <f>IFERROR(Table5[[#This Row],[final_sale_price]]*Table5[[#This Row],[quantity_sold ]],0)</f>
        <v>65850.067200000005</v>
      </c>
      <c r="O982" s="11">
        <f>(Table5[[#This Row],[final_sale_price]]-Table5[[#This Row],[cost_price]])*Table5[[#This Row],[quantity_sold ]]</f>
        <v>22904.371200000005</v>
      </c>
      <c r="P982" s="11">
        <f>(Table5[final_sale_price]-Table5[[#This Row],[avg_comp_price]])</f>
        <v>533.55613333333349</v>
      </c>
      <c r="Q982" s="15">
        <f>(Table5[[#This Row],[final_sale_price]]-Table5[[#This Row],[avg_comp_price]])/Table5[[#This Row],[avg_comp_price]]</f>
        <v>0.24140663198900858</v>
      </c>
      <c r="R982" s="11">
        <f>Table5[[#This Row],[Profit]]/Table5[[#This Row],[Revenue]]</f>
        <v>0.34782608695652178</v>
      </c>
    </row>
    <row r="983" spans="1:18" x14ac:dyDescent="0.2">
      <c r="A983" s="5">
        <v>982</v>
      </c>
      <c r="B983" s="5">
        <v>61</v>
      </c>
      <c r="C983" s="7">
        <v>45078</v>
      </c>
      <c r="D983" s="5">
        <v>41</v>
      </c>
      <c r="E983" s="4">
        <v>9</v>
      </c>
      <c r="F983" s="12">
        <f t="shared" si="15"/>
        <v>2222.4384</v>
      </c>
      <c r="G983" t="str">
        <f>VLOOKUP(B983,product_tbl[],2,FALSE)</f>
        <v>Green Tea 61</v>
      </c>
      <c r="H983" t="str">
        <f>VLOOKUP(B983,product_tbl[],3,FALSE)</f>
        <v>Grocery</v>
      </c>
      <c r="I983">
        <v>1465.3439999999998</v>
      </c>
      <c r="J983">
        <f>VLOOKUP(B983,product_tbl[],5,FALSE)</f>
        <v>2442.2399999999998</v>
      </c>
      <c r="K983">
        <f>VLOOKUP(B983,review_tbl[],3,FALSE)</f>
        <v>5</v>
      </c>
      <c r="L983" s="11">
        <v>2491.9872419620101</v>
      </c>
      <c r="M983" s="11">
        <f>AVERAGEIF(Table1[product_id],Master_tbl!B983:B1984,Table1[competitor_price])</f>
        <v>411.75600000000003</v>
      </c>
      <c r="N983" s="11">
        <f>IFERROR(Table5[[#This Row],[final_sale_price]]*Table5[[#This Row],[quantity_sold ]],0)</f>
        <v>91119.974400000006</v>
      </c>
      <c r="O983" s="11">
        <f>(Table5[[#This Row],[final_sale_price]]-Table5[[#This Row],[cost_price]])*Table5[[#This Row],[quantity_sold ]]</f>
        <v>31040.870400000007</v>
      </c>
      <c r="P983" s="11">
        <f>(Table5[final_sale_price]-Table5[[#This Row],[avg_comp_price]])</f>
        <v>1810.6823999999999</v>
      </c>
      <c r="Q983" s="15">
        <f>(Table5[[#This Row],[final_sale_price]]-Table5[[#This Row],[avg_comp_price]])/Table5[[#This Row],[avg_comp_price]]</f>
        <v>4.3974645178212333</v>
      </c>
      <c r="R983" s="11">
        <f>Table5[[#This Row],[Profit]]/Table5[[#This Row],[Revenue]]</f>
        <v>0.34065934065934073</v>
      </c>
    </row>
    <row r="984" spans="1:18" x14ac:dyDescent="0.2">
      <c r="A984" s="4">
        <v>983</v>
      </c>
      <c r="B984" s="4">
        <v>98</v>
      </c>
      <c r="C984" s="6">
        <v>45624</v>
      </c>
      <c r="D984" s="4">
        <v>48</v>
      </c>
      <c r="E984" s="4">
        <v>3</v>
      </c>
      <c r="F984" s="12">
        <f t="shared" si="15"/>
        <v>7573.4495999999999</v>
      </c>
      <c r="G984" t="str">
        <f>VLOOKUP(B984,product_tbl[],2,FALSE)</f>
        <v>Puzzle Set 98</v>
      </c>
      <c r="H984" t="str">
        <f>VLOOKUP(B984,product_tbl[],3,FALSE)</f>
        <v>Toys</v>
      </c>
      <c r="I984">
        <v>4684.6080000000002</v>
      </c>
      <c r="J984">
        <f>VLOOKUP(B984,product_tbl[],5,FALSE)</f>
        <v>7807.68</v>
      </c>
      <c r="K984">
        <f>VLOOKUP(B984,review_tbl[],3,FALSE)</f>
        <v>3</v>
      </c>
      <c r="L984" s="11">
        <v>8468.6419308427121</v>
      </c>
      <c r="M984" s="11">
        <f>AVERAGEIF(Table1[product_id],Master_tbl!B984:B1985,Table1[competitor_price])</f>
        <v>6533.69</v>
      </c>
      <c r="N984" s="11">
        <f>IFERROR(Table5[[#This Row],[final_sale_price]]*Table5[[#This Row],[quantity_sold ]],0)</f>
        <v>363525.5808</v>
      </c>
      <c r="O984" s="11">
        <f>(Table5[[#This Row],[final_sale_price]]-Table5[[#This Row],[cost_price]])*Table5[[#This Row],[quantity_sold ]]</f>
        <v>138664.39679999999</v>
      </c>
      <c r="P984" s="11">
        <f>(Table5[final_sale_price]-Table5[[#This Row],[avg_comp_price]])</f>
        <v>1039.7596000000003</v>
      </c>
      <c r="Q984" s="15">
        <f>(Table5[[#This Row],[final_sale_price]]-Table5[[#This Row],[avg_comp_price]])/Table5[[#This Row],[avg_comp_price]]</f>
        <v>0.15913818990493891</v>
      </c>
      <c r="R984" s="11">
        <f>Table5[[#This Row],[Profit]]/Table5[[#This Row],[Revenue]]</f>
        <v>0.38144329896907214</v>
      </c>
    </row>
    <row r="985" spans="1:18" x14ac:dyDescent="0.2">
      <c r="A985" s="5">
        <v>984</v>
      </c>
      <c r="B985" s="5">
        <v>89</v>
      </c>
      <c r="C985" s="7">
        <v>45298</v>
      </c>
      <c r="D985" s="5">
        <v>49</v>
      </c>
      <c r="E985" s="4">
        <v>8</v>
      </c>
      <c r="F985" s="12">
        <f t="shared" si="15"/>
        <v>927.70040000000006</v>
      </c>
      <c r="G985" t="str">
        <f>VLOOKUP(B985,product_tbl[],2,FALSE)</f>
        <v>Remote Car 89</v>
      </c>
      <c r="H985" t="str">
        <f>VLOOKUP(B985,product_tbl[],3,FALSE)</f>
        <v>Toys</v>
      </c>
      <c r="I985">
        <v>605.02199999999993</v>
      </c>
      <c r="J985">
        <f>VLOOKUP(B985,product_tbl[],5,FALSE)</f>
        <v>1008.37</v>
      </c>
      <c r="K985">
        <f>VLOOKUP(B985,review_tbl[],3,FALSE)</f>
        <v>4</v>
      </c>
      <c r="L985" s="11">
        <v>1103.1127825381739</v>
      </c>
      <c r="M985" s="11">
        <f>AVERAGEIF(Table1[product_id],Master_tbl!B985:B1986,Table1[competitor_price])</f>
        <v>913.02</v>
      </c>
      <c r="N985" s="11">
        <f>IFERROR(Table5[[#This Row],[final_sale_price]]*Table5[[#This Row],[quantity_sold ]],0)</f>
        <v>45457.319600000003</v>
      </c>
      <c r="O985" s="11">
        <f>(Table5[[#This Row],[final_sale_price]]-Table5[[#This Row],[cost_price]])*Table5[[#This Row],[quantity_sold ]]</f>
        <v>15811.241600000007</v>
      </c>
      <c r="P985" s="11">
        <f>(Table5[final_sale_price]-Table5[[#This Row],[avg_comp_price]])</f>
        <v>14.680400000000077</v>
      </c>
      <c r="Q985" s="15">
        <f>(Table5[[#This Row],[final_sale_price]]-Table5[[#This Row],[avg_comp_price]])/Table5[[#This Row],[avg_comp_price]]</f>
        <v>1.6078946791965212E-2</v>
      </c>
      <c r="R985" s="11">
        <f>Table5[[#This Row],[Profit]]/Table5[[#This Row],[Revenue]]</f>
        <v>0.34782608695652184</v>
      </c>
    </row>
    <row r="986" spans="1:18" x14ac:dyDescent="0.2">
      <c r="A986" s="4">
        <v>985</v>
      </c>
      <c r="B986" s="4">
        <v>80</v>
      </c>
      <c r="C986" s="6">
        <v>45758</v>
      </c>
      <c r="D986" s="4">
        <v>36</v>
      </c>
      <c r="E986" s="4">
        <v>6</v>
      </c>
      <c r="F986" s="12">
        <f t="shared" si="15"/>
        <v>939.12580000000003</v>
      </c>
      <c r="G986" t="str">
        <f>VLOOKUP(B986,product_tbl[],2,FALSE)</f>
        <v>Washing Machine 80</v>
      </c>
      <c r="H986" t="str">
        <f>VLOOKUP(B986,product_tbl[],3,FALSE)</f>
        <v>Home Appliances</v>
      </c>
      <c r="I986">
        <v>599.44200000000001</v>
      </c>
      <c r="J986">
        <f>VLOOKUP(B986,product_tbl[],5,FALSE)</f>
        <v>999.07</v>
      </c>
      <c r="K986">
        <f>VLOOKUP(B986,review_tbl[],3,FALSE)</f>
        <v>5</v>
      </c>
      <c r="L986" s="11">
        <v>1235.966169744032</v>
      </c>
      <c r="M986" s="11">
        <f>AVERAGEIF(Table1[product_id],Master_tbl!B986:B1987,Table1[competitor_price])</f>
        <v>4319.1966666666667</v>
      </c>
      <c r="N986" s="11">
        <f>IFERROR(Table5[[#This Row],[final_sale_price]]*Table5[[#This Row],[quantity_sold ]],0)</f>
        <v>33808.5288</v>
      </c>
      <c r="O986" s="11">
        <f>(Table5[[#This Row],[final_sale_price]]-Table5[[#This Row],[cost_price]])*Table5[[#This Row],[quantity_sold ]]</f>
        <v>12228.6168</v>
      </c>
      <c r="P986" s="11">
        <f>(Table5[final_sale_price]-Table5[[#This Row],[avg_comp_price]])</f>
        <v>-3380.0708666666669</v>
      </c>
      <c r="Q986" s="15">
        <f>(Table5[[#This Row],[final_sale_price]]-Table5[[#This Row],[avg_comp_price]])/Table5[[#This Row],[avg_comp_price]]</f>
        <v>-0.78256933581013144</v>
      </c>
      <c r="R986" s="11">
        <f>Table5[[#This Row],[Profit]]/Table5[[#This Row],[Revenue]]</f>
        <v>0.36170212765957444</v>
      </c>
    </row>
    <row r="987" spans="1:18" x14ac:dyDescent="0.2">
      <c r="A987" s="5">
        <v>986</v>
      </c>
      <c r="B987" s="5">
        <v>147</v>
      </c>
      <c r="C987" s="7">
        <v>45102</v>
      </c>
      <c r="D987" s="5">
        <v>5</v>
      </c>
      <c r="E987" s="4">
        <v>4</v>
      </c>
      <c r="F987" s="12">
        <f t="shared" si="15"/>
        <v>4400.9471999999996</v>
      </c>
      <c r="G987" t="str">
        <f>VLOOKUP(B987,product_tbl[],2,FALSE)</f>
        <v>Cricket Bat 147</v>
      </c>
      <c r="H987" t="str">
        <f>VLOOKUP(B987,product_tbl[],3,FALSE)</f>
        <v>Sports</v>
      </c>
      <c r="I987">
        <v>2750.5919999999996</v>
      </c>
      <c r="J987">
        <f>VLOOKUP(B987,product_tbl[],5,FALSE)</f>
        <v>4584.32</v>
      </c>
      <c r="K987">
        <f>VLOOKUP(B987,review_tbl[],3,FALSE)</f>
        <v>1</v>
      </c>
      <c r="L987" s="11">
        <v>5480.1961043259889</v>
      </c>
      <c r="M987" s="11">
        <f>AVERAGEIF(Table1[product_id],Master_tbl!B987:B1988,Table1[competitor_price])</f>
        <v>769.14</v>
      </c>
      <c r="N987" s="11">
        <f>IFERROR(Table5[[#This Row],[final_sale_price]]*Table5[[#This Row],[quantity_sold ]],0)</f>
        <v>22004.735999999997</v>
      </c>
      <c r="O987" s="11">
        <f>(Table5[[#This Row],[final_sale_price]]-Table5[[#This Row],[cost_price]])*Table5[[#This Row],[quantity_sold ]]</f>
        <v>8251.7759999999998</v>
      </c>
      <c r="P987" s="11">
        <f>(Table5[final_sale_price]-Table5[[#This Row],[avg_comp_price]])</f>
        <v>3631.8071999999997</v>
      </c>
      <c r="Q987" s="15">
        <f>(Table5[[#This Row],[final_sale_price]]-Table5[[#This Row],[avg_comp_price]])/Table5[[#This Row],[avg_comp_price]]</f>
        <v>4.7219065449723061</v>
      </c>
      <c r="R987" s="11">
        <f>Table5[[#This Row],[Profit]]/Table5[[#This Row],[Revenue]]</f>
        <v>0.37500000000000006</v>
      </c>
    </row>
    <row r="988" spans="1:18" x14ac:dyDescent="0.2">
      <c r="A988" s="4">
        <v>987</v>
      </c>
      <c r="B988" s="4">
        <v>127</v>
      </c>
      <c r="C988" s="6">
        <v>45403</v>
      </c>
      <c r="D988" s="4">
        <v>38</v>
      </c>
      <c r="E988" s="4">
        <v>6</v>
      </c>
      <c r="F988" s="12">
        <f t="shared" si="15"/>
        <v>5161.1264000000001</v>
      </c>
      <c r="G988" t="str">
        <f>VLOOKUP(B988,product_tbl[],2,FALSE)</f>
        <v>Gym Gloves 127</v>
      </c>
      <c r="H988" t="str">
        <f>VLOOKUP(B988,product_tbl[],3,FALSE)</f>
        <v>Sports</v>
      </c>
      <c r="I988">
        <v>3294.3360000000002</v>
      </c>
      <c r="J988">
        <f>VLOOKUP(B988,product_tbl[],5,FALSE)</f>
        <v>5490.56</v>
      </c>
      <c r="K988">
        <f>VLOOKUP(B988,review_tbl[],3,FALSE)</f>
        <v>1</v>
      </c>
      <c r="L988" s="11">
        <v>6384.6724893026021</v>
      </c>
      <c r="M988" s="11">
        <f>AVERAGEIF(Table1[product_id],Master_tbl!B988:B1989,Table1[competitor_price])</f>
        <v>5984.333333333333</v>
      </c>
      <c r="N988" s="11">
        <f>IFERROR(Table5[[#This Row],[final_sale_price]]*Table5[[#This Row],[quantity_sold ]],0)</f>
        <v>196122.80319999999</v>
      </c>
      <c r="O988" s="11">
        <f>(Table5[[#This Row],[final_sale_price]]-Table5[[#This Row],[cost_price]])*Table5[[#This Row],[quantity_sold ]]</f>
        <v>70938.035199999998</v>
      </c>
      <c r="P988" s="11">
        <f>(Table5[final_sale_price]-Table5[[#This Row],[avg_comp_price]])</f>
        <v>-823.20693333333293</v>
      </c>
      <c r="Q988" s="15">
        <f>(Table5[[#This Row],[final_sale_price]]-Table5[[#This Row],[avg_comp_price]])/Table5[[#This Row],[avg_comp_price]]</f>
        <v>-0.13756034089010188</v>
      </c>
      <c r="R988" s="11">
        <f>Table5[[#This Row],[Profit]]/Table5[[#This Row],[Revenue]]</f>
        <v>0.36170212765957449</v>
      </c>
    </row>
    <row r="989" spans="1:18" x14ac:dyDescent="0.2">
      <c r="A989" s="5">
        <v>988</v>
      </c>
      <c r="B989" s="5">
        <v>114</v>
      </c>
      <c r="C989" s="7">
        <v>45296</v>
      </c>
      <c r="D989" s="5">
        <v>19</v>
      </c>
      <c r="E989" s="4">
        <v>4</v>
      </c>
      <c r="F989" s="12">
        <f t="shared" si="15"/>
        <v>7338.6335999999992</v>
      </c>
      <c r="G989" t="str">
        <f>VLOOKUP(B989,product_tbl[],2,FALSE)</f>
        <v>Smartwatch 114</v>
      </c>
      <c r="H989" t="str">
        <f>VLOOKUP(B989,product_tbl[],3,FALSE)</f>
        <v>Electronics</v>
      </c>
      <c r="I989">
        <v>4586.6459999999997</v>
      </c>
      <c r="J989">
        <f>VLOOKUP(B989,product_tbl[],5,FALSE)</f>
        <v>7644.41</v>
      </c>
      <c r="K989">
        <f>VLOOKUP(B989,review_tbl[],3,FALSE)</f>
        <v>2</v>
      </c>
      <c r="L989" s="11">
        <v>8377.3819462360971</v>
      </c>
      <c r="M989" s="11">
        <f>AVERAGEIF(Table1[product_id],Master_tbl!B989:B1990,Table1[competitor_price])</f>
        <v>6494.3074999999999</v>
      </c>
      <c r="N989" s="11">
        <f>IFERROR(Table5[[#This Row],[final_sale_price]]*Table5[[#This Row],[quantity_sold ]],0)</f>
        <v>139434.03839999999</v>
      </c>
      <c r="O989" s="11">
        <f>(Table5[[#This Row],[final_sale_price]]-Table5[[#This Row],[cost_price]])*Table5[[#This Row],[quantity_sold ]]</f>
        <v>52287.764399999993</v>
      </c>
      <c r="P989" s="11">
        <f>(Table5[final_sale_price]-Table5[[#This Row],[avg_comp_price]])</f>
        <v>844.32609999999931</v>
      </c>
      <c r="Q989" s="15">
        <f>(Table5[[#This Row],[final_sale_price]]-Table5[[#This Row],[avg_comp_price]])/Table5[[#This Row],[avg_comp_price]]</f>
        <v>0.13001018199400002</v>
      </c>
      <c r="R989" s="11">
        <f>Table5[[#This Row],[Profit]]/Table5[[#This Row],[Revenue]]</f>
        <v>0.375</v>
      </c>
    </row>
    <row r="990" spans="1:18" x14ac:dyDescent="0.2">
      <c r="A990" s="4">
        <v>989</v>
      </c>
      <c r="B990" s="4">
        <v>91</v>
      </c>
      <c r="C990" s="6">
        <v>45915</v>
      </c>
      <c r="D990" s="4">
        <v>33</v>
      </c>
      <c r="E990" s="4">
        <v>7</v>
      </c>
      <c r="F990" s="12">
        <f t="shared" si="15"/>
        <v>2941.5899999999997</v>
      </c>
      <c r="G990" t="str">
        <f>VLOOKUP(B990,product_tbl[],2,FALSE)</f>
        <v>Sunglasses 91</v>
      </c>
      <c r="H990" t="str">
        <f>VLOOKUP(B990,product_tbl[],3,FALSE)</f>
        <v>Fashion</v>
      </c>
      <c r="I990">
        <v>1897.8</v>
      </c>
      <c r="J990">
        <f>VLOOKUP(B990,product_tbl[],5,FALSE)</f>
        <v>3163</v>
      </c>
      <c r="K990">
        <f>VLOOKUP(B990,review_tbl[],3,FALSE)</f>
        <v>2</v>
      </c>
      <c r="L990" s="11">
        <v>3462.4464524255236</v>
      </c>
      <c r="M990" s="11">
        <f>AVERAGEIF(Table1[product_id],Master_tbl!B990:B1991,Table1[competitor_price])</f>
        <v>4782.2433333333329</v>
      </c>
      <c r="N990" s="11">
        <f>IFERROR(Table5[[#This Row],[final_sale_price]]*Table5[[#This Row],[quantity_sold ]],0)</f>
        <v>97072.469999999987</v>
      </c>
      <c r="O990" s="11">
        <f>(Table5[[#This Row],[final_sale_price]]-Table5[[#This Row],[cost_price]])*Table5[[#This Row],[quantity_sold ]]</f>
        <v>34445.069999999992</v>
      </c>
      <c r="P990" s="11">
        <f>(Table5[final_sale_price]-Table5[[#This Row],[avg_comp_price]])</f>
        <v>-1840.6533333333332</v>
      </c>
      <c r="Q990" s="15">
        <f>(Table5[[#This Row],[final_sale_price]]-Table5[[#This Row],[avg_comp_price]])/Table5[[#This Row],[avg_comp_price]]</f>
        <v>-0.38489328230196013</v>
      </c>
      <c r="R990" s="11">
        <f>Table5[[#This Row],[Profit]]/Table5[[#This Row],[Revenue]]</f>
        <v>0.35483870967741932</v>
      </c>
    </row>
    <row r="991" spans="1:18" x14ac:dyDescent="0.2">
      <c r="A991" s="5">
        <v>990</v>
      </c>
      <c r="B991" s="5">
        <v>57</v>
      </c>
      <c r="C991" s="7">
        <v>45971</v>
      </c>
      <c r="D991" s="5">
        <v>9</v>
      </c>
      <c r="E991" s="4">
        <v>2</v>
      </c>
      <c r="F991" s="12">
        <f t="shared" si="15"/>
        <v>6675.5150000000003</v>
      </c>
      <c r="G991" t="str">
        <f>VLOOKUP(B991,product_tbl[],2,FALSE)</f>
        <v>Face Wash 57</v>
      </c>
      <c r="H991" t="str">
        <f>VLOOKUP(B991,product_tbl[],3,FALSE)</f>
        <v>Beauty</v>
      </c>
      <c r="I991">
        <v>4087.0499999999997</v>
      </c>
      <c r="J991">
        <f>VLOOKUP(B991,product_tbl[],5,FALSE)</f>
        <v>6811.75</v>
      </c>
      <c r="K991">
        <f>VLOOKUP(B991,review_tbl[],3,FALSE)</f>
        <v>2</v>
      </c>
      <c r="L991" s="11">
        <v>7107.6146777835456</v>
      </c>
      <c r="M991" s="11">
        <f>AVERAGEIF(Table1[product_id],Master_tbl!B991:B1992,Table1[competitor_price])</f>
        <v>1836.9825000000001</v>
      </c>
      <c r="N991" s="11">
        <f>IFERROR(Table5[[#This Row],[final_sale_price]]*Table5[[#This Row],[quantity_sold ]],0)</f>
        <v>60079.635000000002</v>
      </c>
      <c r="O991" s="11">
        <f>(Table5[[#This Row],[final_sale_price]]-Table5[[#This Row],[cost_price]])*Table5[[#This Row],[quantity_sold ]]</f>
        <v>23296.185000000005</v>
      </c>
      <c r="P991" s="11">
        <f>(Table5[final_sale_price]-Table5[[#This Row],[avg_comp_price]])</f>
        <v>4838.5325000000003</v>
      </c>
      <c r="Q991" s="15">
        <f>(Table5[[#This Row],[final_sale_price]]-Table5[[#This Row],[avg_comp_price]])/Table5[[#This Row],[avg_comp_price]]</f>
        <v>2.633956774220767</v>
      </c>
      <c r="R991" s="11">
        <f>Table5[[#This Row],[Profit]]/Table5[[#This Row],[Revenue]]</f>
        <v>0.38775510204081637</v>
      </c>
    </row>
    <row r="992" spans="1:18" x14ac:dyDescent="0.2">
      <c r="A992" s="4">
        <v>991</v>
      </c>
      <c r="B992" s="4">
        <v>135</v>
      </c>
      <c r="C992" s="6">
        <v>45723</v>
      </c>
      <c r="D992" s="4">
        <v>6</v>
      </c>
      <c r="E992" s="4">
        <v>4</v>
      </c>
      <c r="F992" s="12">
        <f t="shared" si="15"/>
        <v>7468.5216</v>
      </c>
      <c r="G992" t="str">
        <f>VLOOKUP(B992,product_tbl[],2,FALSE)</f>
        <v>Water Purifier 135</v>
      </c>
      <c r="H992" t="str">
        <f>VLOOKUP(B992,product_tbl[],3,FALSE)</f>
        <v>Home Appliances</v>
      </c>
      <c r="I992">
        <v>4667.826</v>
      </c>
      <c r="J992">
        <f>VLOOKUP(B992,product_tbl[],5,FALSE)</f>
        <v>7779.71</v>
      </c>
      <c r="K992">
        <f>VLOOKUP(B992,review_tbl[],3,FALSE)</f>
        <v>5</v>
      </c>
      <c r="L992" s="11">
        <v>9810.9014717954506</v>
      </c>
      <c r="M992" s="11">
        <f>AVERAGEIF(Table1[product_id],Master_tbl!B992:B1993,Table1[competitor_price])</f>
        <v>4172.7833333333338</v>
      </c>
      <c r="N992" s="11">
        <f>IFERROR(Table5[[#This Row],[final_sale_price]]*Table5[[#This Row],[quantity_sold ]],0)</f>
        <v>44811.1296</v>
      </c>
      <c r="O992" s="11">
        <f>(Table5[[#This Row],[final_sale_price]]-Table5[[#This Row],[cost_price]])*Table5[[#This Row],[quantity_sold ]]</f>
        <v>16804.173600000002</v>
      </c>
      <c r="P992" s="11">
        <f>(Table5[final_sale_price]-Table5[[#This Row],[avg_comp_price]])</f>
        <v>3295.7382666666663</v>
      </c>
      <c r="Q992" s="15">
        <f>(Table5[[#This Row],[final_sale_price]]-Table5[[#This Row],[avg_comp_price]])/Table5[[#This Row],[avg_comp_price]]</f>
        <v>0.78981773157005497</v>
      </c>
      <c r="R992" s="11">
        <f>Table5[[#This Row],[Profit]]/Table5[[#This Row],[Revenue]]</f>
        <v>0.37500000000000006</v>
      </c>
    </row>
    <row r="993" spans="1:18" x14ac:dyDescent="0.2">
      <c r="A993" s="5">
        <v>992</v>
      </c>
      <c r="B993" s="5">
        <v>28</v>
      </c>
      <c r="C993" s="7">
        <v>45856</v>
      </c>
      <c r="D993" s="5">
        <v>35</v>
      </c>
      <c r="E993" s="4">
        <v>6</v>
      </c>
      <c r="F993" s="12">
        <f t="shared" si="15"/>
        <v>5373.6227999999992</v>
      </c>
      <c r="G993" t="str">
        <f>VLOOKUP(B993,product_tbl[],2,FALSE)</f>
        <v>Water Purifier 28</v>
      </c>
      <c r="H993" t="str">
        <f>VLOOKUP(B993,product_tbl[],3,FALSE)</f>
        <v>Home Appliances</v>
      </c>
      <c r="I993">
        <v>3429.9719999999998</v>
      </c>
      <c r="J993">
        <f>VLOOKUP(B993,product_tbl[],5,FALSE)</f>
        <v>5716.62</v>
      </c>
      <c r="K993">
        <f>VLOOKUP(B993,review_tbl[],3,FALSE)</f>
        <v>5</v>
      </c>
      <c r="L993" s="11">
        <v>6945.0727805270608</v>
      </c>
      <c r="M993" s="11">
        <f>AVERAGEIF(Table1[product_id],Master_tbl!B993:B1994,Table1[competitor_price])</f>
        <v>3542.9559999999997</v>
      </c>
      <c r="N993" s="11">
        <f>IFERROR(Table5[[#This Row],[final_sale_price]]*Table5[[#This Row],[quantity_sold ]],0)</f>
        <v>188076.79799999998</v>
      </c>
      <c r="O993" s="11">
        <f>(Table5[[#This Row],[final_sale_price]]-Table5[[#This Row],[cost_price]])*Table5[[#This Row],[quantity_sold ]]</f>
        <v>68027.777999999977</v>
      </c>
      <c r="P993" s="11">
        <f>(Table5[final_sale_price]-Table5[[#This Row],[avg_comp_price]])</f>
        <v>1830.6667999999995</v>
      </c>
      <c r="Q993" s="15">
        <f>(Table5[[#This Row],[final_sale_price]]-Table5[[#This Row],[avg_comp_price]])/Table5[[#This Row],[avg_comp_price]]</f>
        <v>0.51670604997634739</v>
      </c>
      <c r="R993" s="11">
        <f>Table5[[#This Row],[Profit]]/Table5[[#This Row],[Revenue]]</f>
        <v>0.36170212765957438</v>
      </c>
    </row>
    <row r="994" spans="1:18" x14ac:dyDescent="0.2">
      <c r="A994" s="4">
        <v>993</v>
      </c>
      <c r="B994" s="4">
        <v>134</v>
      </c>
      <c r="C994" s="6">
        <v>45669</v>
      </c>
      <c r="D994" s="4">
        <v>10</v>
      </c>
      <c r="E994" s="4">
        <v>9</v>
      </c>
      <c r="F994" s="12">
        <f t="shared" si="15"/>
        <v>611.7111000000001</v>
      </c>
      <c r="G994" t="str">
        <f>VLOOKUP(B994,product_tbl[],2,FALSE)</f>
        <v>Headphones 134</v>
      </c>
      <c r="H994" t="str">
        <f>VLOOKUP(B994,product_tbl[],3,FALSE)</f>
        <v>Electronics</v>
      </c>
      <c r="I994">
        <v>403.32600000000002</v>
      </c>
      <c r="J994">
        <f>VLOOKUP(B994,product_tbl[],5,FALSE)</f>
        <v>672.21</v>
      </c>
      <c r="K994">
        <f>VLOOKUP(B994,review_tbl[],3,FALSE)</f>
        <v>1</v>
      </c>
      <c r="L994" s="11">
        <v>720.84834165723385</v>
      </c>
      <c r="M994" s="11">
        <f>AVERAGEIF(Table1[product_id],Master_tbl!B994:B1995,Table1[competitor_price])</f>
        <v>4666.126666666667</v>
      </c>
      <c r="N994" s="11">
        <f>IFERROR(Table5[[#This Row],[final_sale_price]]*Table5[[#This Row],[quantity_sold ]],0)</f>
        <v>6117.1110000000008</v>
      </c>
      <c r="O994" s="11">
        <f>(Table5[[#This Row],[final_sale_price]]-Table5[[#This Row],[cost_price]])*Table5[[#This Row],[quantity_sold ]]</f>
        <v>2083.8510000000006</v>
      </c>
      <c r="P994" s="11">
        <f>(Table5[final_sale_price]-Table5[[#This Row],[avg_comp_price]])</f>
        <v>-4054.415566666667</v>
      </c>
      <c r="Q994" s="15">
        <f>(Table5[[#This Row],[final_sale_price]]-Table5[[#This Row],[avg_comp_price]])/Table5[[#This Row],[avg_comp_price]]</f>
        <v>-0.86890388030614973</v>
      </c>
      <c r="R994" s="11">
        <f>Table5[[#This Row],[Profit]]/Table5[[#This Row],[Revenue]]</f>
        <v>0.34065934065934073</v>
      </c>
    </row>
    <row r="995" spans="1:18" x14ac:dyDescent="0.2">
      <c r="A995" s="5">
        <v>994</v>
      </c>
      <c r="B995" s="5">
        <v>94</v>
      </c>
      <c r="C995" s="7">
        <v>45039</v>
      </c>
      <c r="D995" s="5">
        <v>8</v>
      </c>
      <c r="E995" s="4">
        <v>4</v>
      </c>
      <c r="F995" s="12">
        <f t="shared" si="15"/>
        <v>4466.6687999999995</v>
      </c>
      <c r="G995" t="str">
        <f>VLOOKUP(B995,product_tbl[],2,FALSE)</f>
        <v>Cricket Bat 94</v>
      </c>
      <c r="H995" t="str">
        <f>VLOOKUP(B995,product_tbl[],3,FALSE)</f>
        <v>Sports</v>
      </c>
      <c r="I995">
        <v>2791.6679999999997</v>
      </c>
      <c r="J995">
        <f>VLOOKUP(B995,product_tbl[],5,FALSE)</f>
        <v>4652.78</v>
      </c>
      <c r="K995">
        <f>VLOOKUP(B995,review_tbl[],3,FALSE)</f>
        <v>1</v>
      </c>
      <c r="L995" s="11">
        <v>4724.3749027650156</v>
      </c>
      <c r="M995" s="11">
        <f>AVERAGEIF(Table1[product_id],Master_tbl!B995:B1996,Table1[competitor_price])</f>
        <v>6485.5883333333331</v>
      </c>
      <c r="N995" s="11">
        <f>IFERROR(Table5[[#This Row],[final_sale_price]]*Table5[[#This Row],[quantity_sold ]],0)</f>
        <v>35733.350399999996</v>
      </c>
      <c r="O995" s="11">
        <f>(Table5[[#This Row],[final_sale_price]]-Table5[[#This Row],[cost_price]])*Table5[[#This Row],[quantity_sold ]]</f>
        <v>13400.006399999998</v>
      </c>
      <c r="P995" s="11">
        <f>(Table5[final_sale_price]-Table5[[#This Row],[avg_comp_price]])</f>
        <v>-2018.9195333333337</v>
      </c>
      <c r="Q995" s="15">
        <f>(Table5[[#This Row],[final_sale_price]]-Table5[[#This Row],[avg_comp_price]])/Table5[[#This Row],[avg_comp_price]]</f>
        <v>-0.31129319802135663</v>
      </c>
      <c r="R995" s="11">
        <f>Table5[[#This Row],[Profit]]/Table5[[#This Row],[Revenue]]</f>
        <v>0.375</v>
      </c>
    </row>
    <row r="996" spans="1:18" x14ac:dyDescent="0.2">
      <c r="A996" s="4">
        <v>995</v>
      </c>
      <c r="B996" s="4">
        <v>91</v>
      </c>
      <c r="C996" s="6">
        <v>45975</v>
      </c>
      <c r="D996" s="4">
        <v>1</v>
      </c>
      <c r="E996" s="4">
        <v>3</v>
      </c>
      <c r="F996" s="12">
        <f t="shared" si="15"/>
        <v>3068.11</v>
      </c>
      <c r="G996" t="str">
        <f>VLOOKUP(B996,product_tbl[],2,FALSE)</f>
        <v>Sunglasses 91</v>
      </c>
      <c r="H996" t="str">
        <f>VLOOKUP(B996,product_tbl[],3,FALSE)</f>
        <v>Fashion</v>
      </c>
      <c r="I996">
        <v>1897.8</v>
      </c>
      <c r="J996">
        <f>VLOOKUP(B996,product_tbl[],5,FALSE)</f>
        <v>3163</v>
      </c>
      <c r="K996">
        <f>VLOOKUP(B996,review_tbl[],3,FALSE)</f>
        <v>2</v>
      </c>
      <c r="L996" s="11">
        <v>3609.1711394618846</v>
      </c>
      <c r="M996" s="11">
        <f>AVERAGEIF(Table1[product_id],Master_tbl!B996:B1997,Table1[competitor_price])</f>
        <v>4782.2433333333329</v>
      </c>
      <c r="N996" s="11">
        <f>IFERROR(Table5[[#This Row],[final_sale_price]]*Table5[[#This Row],[quantity_sold ]],0)</f>
        <v>3068.11</v>
      </c>
      <c r="O996" s="11">
        <f>(Table5[[#This Row],[final_sale_price]]-Table5[[#This Row],[cost_price]])*Table5[[#This Row],[quantity_sold ]]</f>
        <v>1170.3100000000002</v>
      </c>
      <c r="P996" s="11">
        <f>(Table5[final_sale_price]-Table5[[#This Row],[avg_comp_price]])</f>
        <v>-1714.1333333333328</v>
      </c>
      <c r="Q996" s="15">
        <f>(Table5[[#This Row],[final_sale_price]]-Table5[[#This Row],[avg_comp_price]])/Table5[[#This Row],[avg_comp_price]]</f>
        <v>-0.35843707939021635</v>
      </c>
      <c r="R996" s="11">
        <f>Table5[[#This Row],[Profit]]/Table5[[#This Row],[Revenue]]</f>
        <v>0.3814432989690722</v>
      </c>
    </row>
    <row r="997" spans="1:18" x14ac:dyDescent="0.2">
      <c r="A997" s="5">
        <v>996</v>
      </c>
      <c r="B997" s="5">
        <v>88</v>
      </c>
      <c r="C997" s="7">
        <v>45680</v>
      </c>
      <c r="D997" s="5">
        <v>4</v>
      </c>
      <c r="E997" s="4">
        <v>5</v>
      </c>
      <c r="F997" s="12">
        <f t="shared" si="15"/>
        <v>5924.5135</v>
      </c>
      <c r="G997" t="str">
        <f>VLOOKUP(B997,product_tbl[],2,FALSE)</f>
        <v>Tablet 88</v>
      </c>
      <c r="H997" t="str">
        <f>VLOOKUP(B997,product_tbl[],3,FALSE)</f>
        <v>Electronics</v>
      </c>
      <c r="I997">
        <v>3741.7979999999998</v>
      </c>
      <c r="J997">
        <f>VLOOKUP(B997,product_tbl[],5,FALSE)</f>
        <v>6236.33</v>
      </c>
      <c r="K997">
        <f>VLOOKUP(B997,review_tbl[],3,FALSE)</f>
        <v>5</v>
      </c>
      <c r="L997" s="11">
        <v>7706.007599839525</v>
      </c>
      <c r="M997" s="11">
        <f>AVERAGEIF(Table1[product_id],Master_tbl!B997:B1998,Table1[competitor_price])</f>
        <v>4981.5050000000001</v>
      </c>
      <c r="N997" s="11">
        <f>IFERROR(Table5[[#This Row],[final_sale_price]]*Table5[[#This Row],[quantity_sold ]],0)</f>
        <v>23698.054</v>
      </c>
      <c r="O997" s="11">
        <f>(Table5[[#This Row],[final_sale_price]]-Table5[[#This Row],[cost_price]])*Table5[[#This Row],[quantity_sold ]]</f>
        <v>8730.862000000001</v>
      </c>
      <c r="P997" s="11">
        <f>(Table5[final_sale_price]-Table5[[#This Row],[avg_comp_price]])</f>
        <v>943.00849999999991</v>
      </c>
      <c r="Q997" s="15">
        <f>(Table5[[#This Row],[final_sale_price]]-Table5[[#This Row],[avg_comp_price]])/Table5[[#This Row],[avg_comp_price]]</f>
        <v>0.18930192783104702</v>
      </c>
      <c r="R997" s="11">
        <f>Table5[[#This Row],[Profit]]/Table5[[#This Row],[Revenue]]</f>
        <v>0.36842105263157898</v>
      </c>
    </row>
    <row r="998" spans="1:18" x14ac:dyDescent="0.2">
      <c r="A998" s="4">
        <v>997</v>
      </c>
      <c r="B998" s="4">
        <v>40</v>
      </c>
      <c r="C998" s="6">
        <v>45230</v>
      </c>
      <c r="D998" s="4">
        <v>36</v>
      </c>
      <c r="E998" s="4">
        <v>7</v>
      </c>
      <c r="F998" s="12">
        <f t="shared" si="15"/>
        <v>457.81109999999995</v>
      </c>
      <c r="G998" t="str">
        <f>VLOOKUP(B998,product_tbl[],2,FALSE)</f>
        <v>Dress 40</v>
      </c>
      <c r="H998" t="str">
        <f>VLOOKUP(B998,product_tbl[],3,FALSE)</f>
        <v>Fashion</v>
      </c>
      <c r="I998">
        <v>295.36199999999997</v>
      </c>
      <c r="J998">
        <f>VLOOKUP(B998,product_tbl[],5,FALSE)</f>
        <v>492.27</v>
      </c>
      <c r="K998">
        <f>VLOOKUP(B998,review_tbl[],3,FALSE)</f>
        <v>1</v>
      </c>
      <c r="L998" s="11">
        <v>562.94097536342758</v>
      </c>
      <c r="M998" s="11">
        <f>AVERAGEIF(Table1[product_id],Master_tbl!B998:B1999,Table1[competitor_price])</f>
        <v>603.70600000000002</v>
      </c>
      <c r="N998" s="11">
        <f>IFERROR(Table5[[#This Row],[final_sale_price]]*Table5[[#This Row],[quantity_sold ]],0)</f>
        <v>16481.1996</v>
      </c>
      <c r="O998" s="11">
        <f>(Table5[[#This Row],[final_sale_price]]-Table5[[#This Row],[cost_price]])*Table5[[#This Row],[quantity_sold ]]</f>
        <v>5848.1675999999998</v>
      </c>
      <c r="P998" s="11">
        <f>(Table5[final_sale_price]-Table5[[#This Row],[avg_comp_price]])</f>
        <v>-145.89490000000006</v>
      </c>
      <c r="Q998" s="15">
        <f>(Table5[[#This Row],[final_sale_price]]-Table5[[#This Row],[avg_comp_price]])/Table5[[#This Row],[avg_comp_price]]</f>
        <v>-0.24166547955461776</v>
      </c>
      <c r="R998" s="11">
        <f>Table5[[#This Row],[Profit]]/Table5[[#This Row],[Revenue]]</f>
        <v>0.35483870967741932</v>
      </c>
    </row>
    <row r="999" spans="1:18" x14ac:dyDescent="0.2">
      <c r="A999" s="5">
        <v>998</v>
      </c>
      <c r="B999" s="5">
        <v>34</v>
      </c>
      <c r="C999" s="7">
        <v>45615</v>
      </c>
      <c r="D999" s="5">
        <v>35</v>
      </c>
      <c r="E999" s="4">
        <v>7</v>
      </c>
      <c r="F999" s="12">
        <f t="shared" si="15"/>
        <v>1212.1527000000001</v>
      </c>
      <c r="G999" t="str">
        <f>VLOOKUP(B999,product_tbl[],2,FALSE)</f>
        <v>Doll 34</v>
      </c>
      <c r="H999" t="str">
        <f>VLOOKUP(B999,product_tbl[],3,FALSE)</f>
        <v>Toys</v>
      </c>
      <c r="I999">
        <v>782.03399999999999</v>
      </c>
      <c r="J999">
        <f>VLOOKUP(B999,product_tbl[],5,FALSE)</f>
        <v>1303.3900000000001</v>
      </c>
      <c r="K999">
        <f>VLOOKUP(B999,review_tbl[],3,FALSE)</f>
        <v>2</v>
      </c>
      <c r="L999" s="11">
        <v>1355.9980655175636</v>
      </c>
      <c r="M999" s="11">
        <f>AVERAGEIF(Table1[product_id],Master_tbl!B999:B2000,Table1[competitor_price])</f>
        <v>4145.4440000000004</v>
      </c>
      <c r="N999" s="11">
        <f>IFERROR(Table5[[#This Row],[final_sale_price]]*Table5[[#This Row],[quantity_sold ]],0)</f>
        <v>42425.344500000007</v>
      </c>
      <c r="O999" s="11">
        <f>(Table5[[#This Row],[final_sale_price]]-Table5[[#This Row],[cost_price]])*Table5[[#This Row],[quantity_sold ]]</f>
        <v>15054.154500000004</v>
      </c>
      <c r="P999" s="11">
        <f>(Table5[final_sale_price]-Table5[[#This Row],[avg_comp_price]])</f>
        <v>-2933.2913000000003</v>
      </c>
      <c r="Q999" s="15">
        <f>(Table5[[#This Row],[final_sale_price]]-Table5[[#This Row],[avg_comp_price]])/Table5[[#This Row],[avg_comp_price]]</f>
        <v>-0.70759399958122704</v>
      </c>
      <c r="R999" s="11">
        <f>Table5[[#This Row],[Profit]]/Table5[[#This Row],[Revenue]]</f>
        <v>0.35483870967741937</v>
      </c>
    </row>
    <row r="1000" spans="1:18" x14ac:dyDescent="0.2">
      <c r="A1000" s="4">
        <v>999</v>
      </c>
      <c r="B1000" s="4">
        <v>65</v>
      </c>
      <c r="C1000" s="6">
        <v>44983</v>
      </c>
      <c r="D1000" s="4">
        <v>43</v>
      </c>
      <c r="E1000" s="4">
        <v>6</v>
      </c>
      <c r="F1000" s="12">
        <f t="shared" si="15"/>
        <v>4240.6783999999998</v>
      </c>
      <c r="G1000" t="str">
        <f>VLOOKUP(B1000,product_tbl[],2,FALSE)</f>
        <v>Biography 65</v>
      </c>
      <c r="H1000" t="str">
        <f>VLOOKUP(B1000,product_tbl[],3,FALSE)</f>
        <v>Books</v>
      </c>
      <c r="I1000">
        <v>2706.8159999999998</v>
      </c>
      <c r="J1000">
        <f>VLOOKUP(B1000,product_tbl[],5,FALSE)</f>
        <v>4511.3599999999997</v>
      </c>
      <c r="K1000">
        <f>VLOOKUP(B1000,review_tbl[],3,FALSE)</f>
        <v>1</v>
      </c>
      <c r="L1000" s="11">
        <v>4696.6957823121211</v>
      </c>
      <c r="M1000" s="11">
        <f>AVERAGEIF(Table1[product_id],Master_tbl!B1000:B2001,Table1[competitor_price])</f>
        <v>1786.8475000000001</v>
      </c>
      <c r="N1000" s="11">
        <f>IFERROR(Table5[[#This Row],[final_sale_price]]*Table5[[#This Row],[quantity_sold ]],0)</f>
        <v>182349.17119999998</v>
      </c>
      <c r="O1000" s="11">
        <f>(Table5[[#This Row],[final_sale_price]]-Table5[[#This Row],[cost_price]])*Table5[[#This Row],[quantity_sold ]]</f>
        <v>65956.083199999994</v>
      </c>
      <c r="P1000" s="11">
        <f>(Table5[final_sale_price]-Table5[[#This Row],[avg_comp_price]])</f>
        <v>2453.8308999999999</v>
      </c>
      <c r="Q1000" s="15">
        <f>(Table5[[#This Row],[final_sale_price]]-Table5[[#This Row],[avg_comp_price]])/Table5[[#This Row],[avg_comp_price]]</f>
        <v>1.3732738244310159</v>
      </c>
      <c r="R1000" s="11">
        <f>Table5[[#This Row],[Profit]]/Table5[[#This Row],[Revenue]]</f>
        <v>0.36170212765957449</v>
      </c>
    </row>
    <row r="1001" spans="1:18" x14ac:dyDescent="0.2">
      <c r="A1001" s="5">
        <v>1000</v>
      </c>
      <c r="B1001" s="5">
        <v>134</v>
      </c>
      <c r="C1001" s="7">
        <v>45675</v>
      </c>
      <c r="D1001" s="5">
        <v>17</v>
      </c>
      <c r="E1001" s="4">
        <v>5</v>
      </c>
      <c r="F1001" s="12">
        <f t="shared" si="15"/>
        <v>638.59950000000003</v>
      </c>
      <c r="G1001" t="str">
        <f>VLOOKUP(B1001,product_tbl[],2,FALSE)</f>
        <v>Headphones 134</v>
      </c>
      <c r="H1001" t="str">
        <f>VLOOKUP(B1001,product_tbl[],3,FALSE)</f>
        <v>Electronics</v>
      </c>
      <c r="I1001">
        <v>403.32600000000002</v>
      </c>
      <c r="J1001">
        <f>VLOOKUP(B1001,product_tbl[],5,FALSE)</f>
        <v>672.21</v>
      </c>
      <c r="K1001">
        <f>VLOOKUP(B1001,review_tbl[],3,FALSE)</f>
        <v>1</v>
      </c>
      <c r="L1001" s="11">
        <v>703.02474615164147</v>
      </c>
      <c r="M1001" s="11">
        <f>AVERAGEIF(Table1[product_id],Master_tbl!B1001:B2002,Table1[competitor_price])</f>
        <v>4666.126666666667</v>
      </c>
      <c r="N1001" s="11">
        <f>IFERROR(Table5[[#This Row],[final_sale_price]]*Table5[[#This Row],[quantity_sold ]],0)</f>
        <v>10856.191500000001</v>
      </c>
      <c r="O1001" s="11">
        <f>(Table5[[#This Row],[final_sale_price]]-Table5[[#This Row],[cost_price]])*Table5[[#This Row],[quantity_sold ]]</f>
        <v>3999.6495000000004</v>
      </c>
      <c r="P1001" s="11">
        <f>(Table5[final_sale_price]-Table5[[#This Row],[avg_comp_price]])</f>
        <v>-4027.5271666666667</v>
      </c>
      <c r="Q1001" s="15">
        <f>(Table5[[#This Row],[final_sale_price]]-Table5[[#This Row],[avg_comp_price]])/Table5[[#This Row],[avg_comp_price]]</f>
        <v>-0.86314141350641993</v>
      </c>
      <c r="R1001" s="11">
        <f>Table5[[#This Row],[Profit]]/Table5[[#This Row],[Revenue]]</f>
        <v>0.36842105263157898</v>
      </c>
    </row>
    <row r="1002" spans="1:18" s="22" customFormat="1" hidden="1" x14ac:dyDescent="0.2">
      <c r="A1002" s="18"/>
      <c r="B1002" s="18"/>
      <c r="C1002" s="19"/>
      <c r="D1002" s="18"/>
      <c r="E1002" s="20"/>
      <c r="F1002" s="21"/>
      <c r="L1002" s="23"/>
      <c r="M1002" s="23"/>
      <c r="N1002" s="23"/>
      <c r="O1002" s="23"/>
      <c r="P1002" s="23"/>
      <c r="Q1002" s="24"/>
      <c r="R1002" s="23" t="e">
        <f>Table5[[#This Row],[Profit]]/Table5[[#This Row],[Revenue]]</f>
        <v>#DIV/0!</v>
      </c>
    </row>
    <row r="1003" spans="1:18" s="22" customFormat="1" hidden="1" x14ac:dyDescent="0.2">
      <c r="A1003" s="18"/>
      <c r="B1003" s="18"/>
      <c r="C1003" s="19"/>
      <c r="D1003" s="18"/>
      <c r="E1003" s="20"/>
      <c r="F1003" s="21"/>
      <c r="L1003" s="23"/>
      <c r="M1003" s="23"/>
      <c r="N1003" s="23"/>
      <c r="O1003" s="23"/>
      <c r="P1003" s="23"/>
      <c r="Q1003" s="24"/>
      <c r="R1003" s="23" t="e">
        <f>Table5[[#This Row],[Profit]]/Table5[[#This Row],[Revenue]]</f>
        <v>#DIV/0!</v>
      </c>
    </row>
  </sheetData>
  <sheetProtection algorithmName="SHA-512" hashValue="Wff2wV7lmvNwwTKcooHCQYQCJv5xjN736OmePxn9/7ul0ONTeSCo1LXR/4fhD2er/n6U+qRlHlEjWZgHxb2Gig==" saltValue="qwhlqqWHM2z9jHvt/HPgDA==" spinCount="100000" sheet="1" objects="1" scenarios="1"/>
  <pageMargins left="0.7" right="0.7" top="0.75" bottom="0.75" header="0.3" footer="0.3"/>
  <pageSetup paperSize="9" orientation="portrait" r:id="rId1"/>
  <ignoredErrors>
    <ignoredError sqref="M3:M269 M271:M1001" formulaRange="1"/>
  </ignoredError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1"/>
  <sheetViews>
    <sheetView workbookViewId="0">
      <selection activeCell="F18" sqref="F18"/>
    </sheetView>
  </sheetViews>
  <sheetFormatPr defaultRowHeight="12.75" x14ac:dyDescent="0.2"/>
  <cols>
    <col min="1" max="1" width="12.7109375" customWidth="1"/>
    <col min="2" max="2" width="21.5703125" bestFit="1" customWidth="1"/>
    <col min="3" max="3" width="17.85546875" customWidth="1"/>
    <col min="4" max="4" width="12.28515625" customWidth="1"/>
    <col min="5" max="5" width="13" customWidth="1"/>
  </cols>
  <sheetData>
    <row r="1" spans="1:5" x14ac:dyDescent="0.2">
      <c r="A1" t="s">
        <v>0</v>
      </c>
      <c r="B1" t="s">
        <v>1</v>
      </c>
      <c r="C1" t="s">
        <v>2</v>
      </c>
      <c r="D1" t="s">
        <v>3</v>
      </c>
      <c r="E1" t="s">
        <v>4</v>
      </c>
    </row>
    <row r="2" spans="1:5" x14ac:dyDescent="0.2">
      <c r="A2">
        <v>1</v>
      </c>
      <c r="B2" t="s">
        <v>5</v>
      </c>
      <c r="C2" t="s">
        <v>6</v>
      </c>
      <c r="D2">
        <v>1146.57</v>
      </c>
      <c r="E2">
        <v>1910.95</v>
      </c>
    </row>
    <row r="3" spans="1:5" x14ac:dyDescent="0.2">
      <c r="A3">
        <v>2</v>
      </c>
      <c r="B3" t="s">
        <v>7</v>
      </c>
      <c r="C3" t="s">
        <v>8</v>
      </c>
      <c r="D3">
        <v>2654.8679999999999</v>
      </c>
      <c r="E3">
        <v>4424.78</v>
      </c>
    </row>
    <row r="4" spans="1:5" x14ac:dyDescent="0.2">
      <c r="A4">
        <v>3</v>
      </c>
      <c r="B4" t="s">
        <v>9</v>
      </c>
      <c r="C4" t="s">
        <v>10</v>
      </c>
      <c r="D4">
        <v>3100.0679999999998</v>
      </c>
      <c r="E4">
        <v>5166.78</v>
      </c>
    </row>
    <row r="5" spans="1:5" x14ac:dyDescent="0.2">
      <c r="A5">
        <v>4</v>
      </c>
      <c r="B5" t="s">
        <v>11</v>
      </c>
      <c r="C5" t="s">
        <v>12</v>
      </c>
      <c r="D5">
        <v>4251.2280000000001</v>
      </c>
      <c r="E5">
        <v>7085.38</v>
      </c>
    </row>
    <row r="6" spans="1:5" x14ac:dyDescent="0.2">
      <c r="A6">
        <v>5</v>
      </c>
      <c r="B6" t="s">
        <v>13</v>
      </c>
      <c r="C6" t="s">
        <v>14</v>
      </c>
      <c r="D6">
        <v>498.15</v>
      </c>
      <c r="E6">
        <v>830.25</v>
      </c>
    </row>
    <row r="7" spans="1:5" x14ac:dyDescent="0.2">
      <c r="A7">
        <v>6</v>
      </c>
      <c r="B7" t="s">
        <v>15</v>
      </c>
      <c r="C7" t="s">
        <v>8</v>
      </c>
      <c r="D7">
        <v>2475.1080000000002</v>
      </c>
      <c r="E7">
        <v>4125.18</v>
      </c>
    </row>
    <row r="8" spans="1:5" x14ac:dyDescent="0.2">
      <c r="A8">
        <v>7</v>
      </c>
      <c r="B8" t="s">
        <v>16</v>
      </c>
      <c r="C8" t="s">
        <v>17</v>
      </c>
      <c r="D8">
        <v>5018.8799999999992</v>
      </c>
      <c r="E8">
        <v>8364.7999999999993</v>
      </c>
    </row>
    <row r="9" spans="1:5" x14ac:dyDescent="0.2">
      <c r="A9">
        <v>8</v>
      </c>
      <c r="B9" t="s">
        <v>18</v>
      </c>
      <c r="C9" t="s">
        <v>19</v>
      </c>
      <c r="D9">
        <v>3386.3639999999996</v>
      </c>
      <c r="E9">
        <v>5643.94</v>
      </c>
    </row>
    <row r="10" spans="1:5" x14ac:dyDescent="0.2">
      <c r="A10">
        <v>9</v>
      </c>
      <c r="B10" t="s">
        <v>20</v>
      </c>
      <c r="C10" t="s">
        <v>8</v>
      </c>
      <c r="D10">
        <v>1718.31</v>
      </c>
      <c r="E10">
        <v>2863.85</v>
      </c>
    </row>
    <row r="11" spans="1:5" x14ac:dyDescent="0.2">
      <c r="A11">
        <v>10</v>
      </c>
      <c r="B11" t="s">
        <v>21</v>
      </c>
      <c r="C11" t="s">
        <v>17</v>
      </c>
      <c r="D11">
        <v>1678.374</v>
      </c>
      <c r="E11">
        <v>2797.29</v>
      </c>
    </row>
    <row r="12" spans="1:5" x14ac:dyDescent="0.2">
      <c r="A12">
        <v>11</v>
      </c>
      <c r="B12" t="s">
        <v>22</v>
      </c>
      <c r="C12" t="s">
        <v>19</v>
      </c>
      <c r="D12">
        <v>1920.12</v>
      </c>
      <c r="E12">
        <v>3200.2</v>
      </c>
    </row>
    <row r="13" spans="1:5" x14ac:dyDescent="0.2">
      <c r="A13">
        <v>12</v>
      </c>
      <c r="B13" t="s">
        <v>23</v>
      </c>
      <c r="C13" t="s">
        <v>12</v>
      </c>
      <c r="D13">
        <v>969.15</v>
      </c>
      <c r="E13">
        <v>1615.25</v>
      </c>
    </row>
    <row r="14" spans="1:5" x14ac:dyDescent="0.2">
      <c r="A14">
        <v>13</v>
      </c>
      <c r="B14" t="s">
        <v>24</v>
      </c>
      <c r="C14" t="s">
        <v>12</v>
      </c>
      <c r="D14">
        <v>1078.2359999999999</v>
      </c>
      <c r="E14">
        <v>1797.06</v>
      </c>
    </row>
    <row r="15" spans="1:5" x14ac:dyDescent="0.2">
      <c r="A15">
        <v>14</v>
      </c>
      <c r="B15" t="s">
        <v>25</v>
      </c>
      <c r="C15" t="s">
        <v>6</v>
      </c>
      <c r="D15">
        <v>3612.3719999999998</v>
      </c>
      <c r="E15">
        <v>6020.62</v>
      </c>
    </row>
    <row r="16" spans="1:5" x14ac:dyDescent="0.2">
      <c r="A16">
        <v>15</v>
      </c>
      <c r="B16" t="s">
        <v>26</v>
      </c>
      <c r="C16" t="s">
        <v>12</v>
      </c>
      <c r="D16">
        <v>2904.8879999999995</v>
      </c>
      <c r="E16">
        <v>4841.4799999999996</v>
      </c>
    </row>
    <row r="17" spans="1:5" x14ac:dyDescent="0.2">
      <c r="A17">
        <v>16</v>
      </c>
      <c r="B17" t="s">
        <v>27</v>
      </c>
      <c r="C17" t="s">
        <v>10</v>
      </c>
      <c r="D17">
        <v>4051.08</v>
      </c>
      <c r="E17">
        <v>6751.8</v>
      </c>
    </row>
    <row r="18" spans="1:5" x14ac:dyDescent="0.2">
      <c r="A18">
        <v>17</v>
      </c>
      <c r="B18" t="s">
        <v>28</v>
      </c>
      <c r="C18" t="s">
        <v>12</v>
      </c>
      <c r="D18">
        <v>1787.502</v>
      </c>
      <c r="E18">
        <v>2979.17</v>
      </c>
    </row>
    <row r="19" spans="1:5" x14ac:dyDescent="0.2">
      <c r="A19">
        <v>18</v>
      </c>
      <c r="B19" t="s">
        <v>29</v>
      </c>
      <c r="C19" t="s">
        <v>6</v>
      </c>
      <c r="D19">
        <v>5061.5700000000006</v>
      </c>
      <c r="E19">
        <v>8435.9500000000007</v>
      </c>
    </row>
    <row r="20" spans="1:5" x14ac:dyDescent="0.2">
      <c r="A20">
        <v>19</v>
      </c>
      <c r="B20" t="s">
        <v>30</v>
      </c>
      <c r="C20" t="s">
        <v>8</v>
      </c>
      <c r="D20">
        <v>2046.4979999999998</v>
      </c>
      <c r="E20">
        <v>3410.83</v>
      </c>
    </row>
    <row r="21" spans="1:5" x14ac:dyDescent="0.2">
      <c r="A21">
        <v>20</v>
      </c>
      <c r="B21" t="s">
        <v>31</v>
      </c>
      <c r="C21" t="s">
        <v>6</v>
      </c>
      <c r="D21">
        <v>1818.7079999999999</v>
      </c>
      <c r="E21">
        <v>3031.18</v>
      </c>
    </row>
    <row r="22" spans="1:5" x14ac:dyDescent="0.2">
      <c r="A22">
        <v>21</v>
      </c>
      <c r="B22" t="s">
        <v>32</v>
      </c>
      <c r="C22" t="s">
        <v>8</v>
      </c>
      <c r="D22">
        <v>1727.5800000000002</v>
      </c>
      <c r="E22">
        <v>2879.3</v>
      </c>
    </row>
    <row r="23" spans="1:5" x14ac:dyDescent="0.2">
      <c r="A23">
        <v>22</v>
      </c>
      <c r="B23" t="s">
        <v>33</v>
      </c>
      <c r="C23" t="s">
        <v>17</v>
      </c>
      <c r="D23">
        <v>980.69999999999993</v>
      </c>
      <c r="E23">
        <v>1634.5</v>
      </c>
    </row>
    <row r="24" spans="1:5" x14ac:dyDescent="0.2">
      <c r="A24">
        <v>23</v>
      </c>
      <c r="B24" t="s">
        <v>34</v>
      </c>
      <c r="C24" t="s">
        <v>35</v>
      </c>
      <c r="D24">
        <v>2378.04</v>
      </c>
      <c r="E24">
        <v>3963.4</v>
      </c>
    </row>
    <row r="25" spans="1:5" x14ac:dyDescent="0.2">
      <c r="A25">
        <v>24</v>
      </c>
      <c r="B25" t="s">
        <v>36</v>
      </c>
      <c r="C25" t="s">
        <v>6</v>
      </c>
      <c r="D25">
        <v>2397.9119999999998</v>
      </c>
      <c r="E25">
        <v>3996.52</v>
      </c>
    </row>
    <row r="26" spans="1:5" x14ac:dyDescent="0.2">
      <c r="A26">
        <v>25</v>
      </c>
      <c r="B26" t="s">
        <v>37</v>
      </c>
      <c r="C26" t="s">
        <v>12</v>
      </c>
      <c r="D26">
        <v>340.90199999999999</v>
      </c>
      <c r="E26">
        <v>568.16999999999996</v>
      </c>
    </row>
    <row r="27" spans="1:5" x14ac:dyDescent="0.2">
      <c r="A27">
        <v>26</v>
      </c>
      <c r="B27" t="s">
        <v>38</v>
      </c>
      <c r="C27" t="s">
        <v>6</v>
      </c>
      <c r="D27">
        <v>3382.152</v>
      </c>
      <c r="E27">
        <v>5636.92</v>
      </c>
    </row>
    <row r="28" spans="1:5" x14ac:dyDescent="0.2">
      <c r="A28">
        <v>27</v>
      </c>
      <c r="B28" t="s">
        <v>39</v>
      </c>
      <c r="C28" t="s">
        <v>19</v>
      </c>
      <c r="D28">
        <v>973.74</v>
      </c>
      <c r="E28">
        <v>1622.9</v>
      </c>
    </row>
    <row r="29" spans="1:5" x14ac:dyDescent="0.2">
      <c r="A29">
        <v>28</v>
      </c>
      <c r="B29" t="s">
        <v>40</v>
      </c>
      <c r="C29" t="s">
        <v>8</v>
      </c>
      <c r="D29">
        <v>3429.9719999999998</v>
      </c>
      <c r="E29">
        <v>5716.62</v>
      </c>
    </row>
    <row r="30" spans="1:5" x14ac:dyDescent="0.2">
      <c r="A30">
        <v>29</v>
      </c>
      <c r="B30" t="s">
        <v>41</v>
      </c>
      <c r="C30" t="s">
        <v>35</v>
      </c>
      <c r="D30">
        <v>4483.8</v>
      </c>
      <c r="E30">
        <v>7473</v>
      </c>
    </row>
    <row r="31" spans="1:5" x14ac:dyDescent="0.2">
      <c r="A31">
        <v>30</v>
      </c>
      <c r="B31" t="s">
        <v>42</v>
      </c>
      <c r="C31" t="s">
        <v>19</v>
      </c>
      <c r="D31">
        <v>1229.0040000000001</v>
      </c>
      <c r="E31">
        <v>2048.34</v>
      </c>
    </row>
    <row r="32" spans="1:5" x14ac:dyDescent="0.2">
      <c r="A32">
        <v>31</v>
      </c>
      <c r="B32" t="s">
        <v>43</v>
      </c>
      <c r="C32" t="s">
        <v>35</v>
      </c>
      <c r="D32">
        <v>613.94399999999996</v>
      </c>
      <c r="E32">
        <v>1023.24</v>
      </c>
    </row>
    <row r="33" spans="1:5" x14ac:dyDescent="0.2">
      <c r="A33">
        <v>32</v>
      </c>
      <c r="B33" t="s">
        <v>44</v>
      </c>
      <c r="C33" t="s">
        <v>10</v>
      </c>
      <c r="D33">
        <v>569.37599999999998</v>
      </c>
      <c r="E33">
        <v>948.96</v>
      </c>
    </row>
    <row r="34" spans="1:5" x14ac:dyDescent="0.2">
      <c r="A34">
        <v>33</v>
      </c>
      <c r="B34" t="s">
        <v>45</v>
      </c>
      <c r="C34" t="s">
        <v>8</v>
      </c>
      <c r="D34">
        <v>3031.7939999999999</v>
      </c>
      <c r="E34">
        <v>5052.99</v>
      </c>
    </row>
    <row r="35" spans="1:5" x14ac:dyDescent="0.2">
      <c r="A35">
        <v>34</v>
      </c>
      <c r="B35" t="s">
        <v>46</v>
      </c>
      <c r="C35" t="s">
        <v>19</v>
      </c>
      <c r="D35">
        <v>782.03399999999999</v>
      </c>
      <c r="E35">
        <v>1303.3900000000001</v>
      </c>
    </row>
    <row r="36" spans="1:5" x14ac:dyDescent="0.2">
      <c r="A36">
        <v>35</v>
      </c>
      <c r="B36" t="s">
        <v>47</v>
      </c>
      <c r="C36" t="s">
        <v>17</v>
      </c>
      <c r="D36">
        <v>81.11399999999999</v>
      </c>
      <c r="E36">
        <v>135.19</v>
      </c>
    </row>
    <row r="37" spans="1:5" x14ac:dyDescent="0.2">
      <c r="A37">
        <v>36</v>
      </c>
      <c r="B37" t="s">
        <v>48</v>
      </c>
      <c r="C37" t="s">
        <v>8</v>
      </c>
      <c r="D37">
        <v>88.44</v>
      </c>
      <c r="E37">
        <v>147.4</v>
      </c>
    </row>
    <row r="38" spans="1:5" x14ac:dyDescent="0.2">
      <c r="A38">
        <v>37</v>
      </c>
      <c r="B38" t="s">
        <v>49</v>
      </c>
      <c r="C38" t="s">
        <v>6</v>
      </c>
      <c r="D38">
        <v>2316.8819999999996</v>
      </c>
      <c r="E38">
        <v>3861.47</v>
      </c>
    </row>
    <row r="39" spans="1:5" x14ac:dyDescent="0.2">
      <c r="A39">
        <v>38</v>
      </c>
      <c r="B39" t="s">
        <v>50</v>
      </c>
      <c r="C39" t="s">
        <v>17</v>
      </c>
      <c r="D39">
        <v>3957.2939999999999</v>
      </c>
      <c r="E39">
        <v>6595.49</v>
      </c>
    </row>
    <row r="40" spans="1:5" x14ac:dyDescent="0.2">
      <c r="A40">
        <v>39</v>
      </c>
      <c r="B40" t="s">
        <v>51</v>
      </c>
      <c r="C40" t="s">
        <v>14</v>
      </c>
      <c r="D40">
        <v>1924.5479999999998</v>
      </c>
      <c r="E40">
        <v>3207.58</v>
      </c>
    </row>
    <row r="41" spans="1:5" x14ac:dyDescent="0.2">
      <c r="A41">
        <v>40</v>
      </c>
      <c r="B41" t="s">
        <v>52</v>
      </c>
      <c r="C41" t="s">
        <v>17</v>
      </c>
      <c r="D41">
        <v>295.36199999999997</v>
      </c>
      <c r="E41">
        <v>492.27</v>
      </c>
    </row>
    <row r="42" spans="1:5" x14ac:dyDescent="0.2">
      <c r="A42">
        <v>41</v>
      </c>
      <c r="B42" t="s">
        <v>53</v>
      </c>
      <c r="C42" t="s">
        <v>6</v>
      </c>
      <c r="D42">
        <v>1848.8819999999998</v>
      </c>
      <c r="E42">
        <v>3081.47</v>
      </c>
    </row>
    <row r="43" spans="1:5" x14ac:dyDescent="0.2">
      <c r="A43">
        <v>42</v>
      </c>
      <c r="B43" t="s">
        <v>54</v>
      </c>
      <c r="C43" t="s">
        <v>19</v>
      </c>
      <c r="D43">
        <v>256.56</v>
      </c>
      <c r="E43">
        <v>427.6</v>
      </c>
    </row>
    <row r="44" spans="1:5" x14ac:dyDescent="0.2">
      <c r="A44">
        <v>43</v>
      </c>
      <c r="B44" t="s">
        <v>55</v>
      </c>
      <c r="C44" t="s">
        <v>17</v>
      </c>
      <c r="D44">
        <v>1934.9879999999998</v>
      </c>
      <c r="E44">
        <v>3224.98</v>
      </c>
    </row>
    <row r="45" spans="1:5" x14ac:dyDescent="0.2">
      <c r="A45">
        <v>44</v>
      </c>
      <c r="B45" t="s">
        <v>56</v>
      </c>
      <c r="C45" t="s">
        <v>6</v>
      </c>
      <c r="D45">
        <v>212.16</v>
      </c>
      <c r="E45">
        <v>353.6</v>
      </c>
    </row>
    <row r="46" spans="1:5" x14ac:dyDescent="0.2">
      <c r="A46">
        <v>45</v>
      </c>
      <c r="B46" t="s">
        <v>57</v>
      </c>
      <c r="C46" t="s">
        <v>19</v>
      </c>
      <c r="D46">
        <v>3195.8340000000003</v>
      </c>
      <c r="E46">
        <v>5326.39</v>
      </c>
    </row>
    <row r="47" spans="1:5" x14ac:dyDescent="0.2">
      <c r="A47">
        <v>46</v>
      </c>
      <c r="B47" t="s">
        <v>58</v>
      </c>
      <c r="C47" t="s">
        <v>19</v>
      </c>
      <c r="D47">
        <v>971.19600000000003</v>
      </c>
      <c r="E47">
        <v>1618.66</v>
      </c>
    </row>
    <row r="48" spans="1:5" x14ac:dyDescent="0.2">
      <c r="A48">
        <v>47</v>
      </c>
      <c r="B48" t="s">
        <v>59</v>
      </c>
      <c r="C48" t="s">
        <v>10</v>
      </c>
      <c r="D48">
        <v>2048.1479999999997</v>
      </c>
      <c r="E48">
        <v>3413.58</v>
      </c>
    </row>
    <row r="49" spans="1:5" x14ac:dyDescent="0.2">
      <c r="A49">
        <v>48</v>
      </c>
      <c r="B49" t="s">
        <v>60</v>
      </c>
      <c r="C49" t="s">
        <v>8</v>
      </c>
      <c r="D49">
        <v>2212.962</v>
      </c>
      <c r="E49">
        <v>3688.27</v>
      </c>
    </row>
    <row r="50" spans="1:5" x14ac:dyDescent="0.2">
      <c r="A50">
        <v>49</v>
      </c>
      <c r="B50" t="s">
        <v>61</v>
      </c>
      <c r="C50" t="s">
        <v>14</v>
      </c>
      <c r="D50">
        <v>2019.8040000000001</v>
      </c>
      <c r="E50">
        <v>3366.34</v>
      </c>
    </row>
    <row r="51" spans="1:5" x14ac:dyDescent="0.2">
      <c r="A51">
        <v>50</v>
      </c>
      <c r="B51" t="s">
        <v>62</v>
      </c>
      <c r="C51" t="s">
        <v>19</v>
      </c>
      <c r="D51">
        <v>814.02</v>
      </c>
      <c r="E51">
        <v>1356.7</v>
      </c>
    </row>
    <row r="52" spans="1:5" x14ac:dyDescent="0.2">
      <c r="A52">
        <v>51</v>
      </c>
      <c r="B52" t="s">
        <v>63</v>
      </c>
      <c r="C52" t="s">
        <v>35</v>
      </c>
      <c r="D52">
        <v>631.72199999999987</v>
      </c>
      <c r="E52">
        <v>1052.8699999999999</v>
      </c>
    </row>
    <row r="53" spans="1:5" x14ac:dyDescent="0.2">
      <c r="A53">
        <v>52</v>
      </c>
      <c r="B53" t="s">
        <v>64</v>
      </c>
      <c r="C53" t="s">
        <v>10</v>
      </c>
      <c r="D53">
        <v>2675.5080000000003</v>
      </c>
      <c r="E53">
        <v>4459.18</v>
      </c>
    </row>
    <row r="54" spans="1:5" x14ac:dyDescent="0.2">
      <c r="A54">
        <v>53</v>
      </c>
      <c r="B54" t="s">
        <v>65</v>
      </c>
      <c r="C54" t="s">
        <v>10</v>
      </c>
      <c r="D54">
        <v>2078.6459999999997</v>
      </c>
      <c r="E54">
        <v>3464.41</v>
      </c>
    </row>
    <row r="55" spans="1:5" x14ac:dyDescent="0.2">
      <c r="A55">
        <v>54</v>
      </c>
      <c r="B55" t="s">
        <v>66</v>
      </c>
      <c r="C55" t="s">
        <v>10</v>
      </c>
      <c r="D55">
        <v>557.7299999999999</v>
      </c>
      <c r="E55">
        <v>929.55</v>
      </c>
    </row>
    <row r="56" spans="1:5" x14ac:dyDescent="0.2">
      <c r="A56">
        <v>55</v>
      </c>
      <c r="B56" t="s">
        <v>67</v>
      </c>
      <c r="C56" t="s">
        <v>14</v>
      </c>
      <c r="D56">
        <v>578.57399999999996</v>
      </c>
      <c r="E56">
        <v>964.29</v>
      </c>
    </row>
    <row r="57" spans="1:5" x14ac:dyDescent="0.2">
      <c r="A57">
        <v>56</v>
      </c>
      <c r="B57" t="s">
        <v>68</v>
      </c>
      <c r="C57" t="s">
        <v>35</v>
      </c>
      <c r="D57">
        <v>4789.08</v>
      </c>
      <c r="E57">
        <v>7981.8</v>
      </c>
    </row>
    <row r="58" spans="1:5" x14ac:dyDescent="0.2">
      <c r="A58">
        <v>57</v>
      </c>
      <c r="B58" t="s">
        <v>69</v>
      </c>
      <c r="C58" t="s">
        <v>14</v>
      </c>
      <c r="D58">
        <v>4087.0499999999997</v>
      </c>
      <c r="E58">
        <v>6811.75</v>
      </c>
    </row>
    <row r="59" spans="1:5" x14ac:dyDescent="0.2">
      <c r="A59">
        <v>58</v>
      </c>
      <c r="B59" t="s">
        <v>70</v>
      </c>
      <c r="C59" t="s">
        <v>6</v>
      </c>
      <c r="D59">
        <v>683.14799999999991</v>
      </c>
      <c r="E59">
        <v>1138.58</v>
      </c>
    </row>
    <row r="60" spans="1:5" x14ac:dyDescent="0.2">
      <c r="A60">
        <v>59</v>
      </c>
      <c r="B60" t="s">
        <v>71</v>
      </c>
      <c r="C60" t="s">
        <v>35</v>
      </c>
      <c r="D60">
        <v>2490.306</v>
      </c>
      <c r="E60">
        <v>4150.51</v>
      </c>
    </row>
    <row r="61" spans="1:5" x14ac:dyDescent="0.2">
      <c r="A61">
        <v>60</v>
      </c>
      <c r="B61" t="s">
        <v>72</v>
      </c>
      <c r="C61" t="s">
        <v>10</v>
      </c>
      <c r="D61">
        <v>1663.566</v>
      </c>
      <c r="E61">
        <v>2772.61</v>
      </c>
    </row>
    <row r="62" spans="1:5" x14ac:dyDescent="0.2">
      <c r="A62">
        <v>61</v>
      </c>
      <c r="B62" t="s">
        <v>73</v>
      </c>
      <c r="C62" t="s">
        <v>6</v>
      </c>
      <c r="D62">
        <v>1465.3439999999998</v>
      </c>
      <c r="E62">
        <v>2442.2399999999998</v>
      </c>
    </row>
    <row r="63" spans="1:5" x14ac:dyDescent="0.2">
      <c r="A63">
        <v>62</v>
      </c>
      <c r="B63" t="s">
        <v>74</v>
      </c>
      <c r="C63" t="s">
        <v>6</v>
      </c>
      <c r="D63">
        <v>2074.7640000000001</v>
      </c>
      <c r="E63">
        <v>3457.94</v>
      </c>
    </row>
    <row r="64" spans="1:5" x14ac:dyDescent="0.2">
      <c r="A64">
        <v>63</v>
      </c>
      <c r="B64" t="s">
        <v>75</v>
      </c>
      <c r="C64" t="s">
        <v>6</v>
      </c>
      <c r="D64">
        <v>4201.0619999999999</v>
      </c>
      <c r="E64">
        <v>7001.77</v>
      </c>
    </row>
    <row r="65" spans="1:5" x14ac:dyDescent="0.2">
      <c r="A65">
        <v>64</v>
      </c>
      <c r="B65" t="s">
        <v>76</v>
      </c>
      <c r="C65" t="s">
        <v>10</v>
      </c>
      <c r="D65">
        <v>1920</v>
      </c>
      <c r="E65">
        <v>3200</v>
      </c>
    </row>
    <row r="66" spans="1:5" x14ac:dyDescent="0.2">
      <c r="A66">
        <v>65</v>
      </c>
      <c r="B66" t="s">
        <v>77</v>
      </c>
      <c r="C66" t="s">
        <v>10</v>
      </c>
      <c r="D66">
        <v>2706.8159999999998</v>
      </c>
      <c r="E66">
        <v>4511.3599999999997</v>
      </c>
    </row>
    <row r="67" spans="1:5" x14ac:dyDescent="0.2">
      <c r="A67">
        <v>66</v>
      </c>
      <c r="B67" t="s">
        <v>78</v>
      </c>
      <c r="C67" t="s">
        <v>6</v>
      </c>
      <c r="D67">
        <v>3495.0059999999999</v>
      </c>
      <c r="E67">
        <v>5825.01</v>
      </c>
    </row>
    <row r="68" spans="1:5" x14ac:dyDescent="0.2">
      <c r="A68">
        <v>67</v>
      </c>
      <c r="B68" t="s">
        <v>79</v>
      </c>
      <c r="C68" t="s">
        <v>14</v>
      </c>
      <c r="D68">
        <v>690.42600000000004</v>
      </c>
      <c r="E68">
        <v>1150.71</v>
      </c>
    </row>
    <row r="69" spans="1:5" x14ac:dyDescent="0.2">
      <c r="A69">
        <v>68</v>
      </c>
      <c r="B69" t="s">
        <v>80</v>
      </c>
      <c r="C69" t="s">
        <v>14</v>
      </c>
      <c r="D69">
        <v>3626.0939999999996</v>
      </c>
      <c r="E69">
        <v>6043.49</v>
      </c>
    </row>
    <row r="70" spans="1:5" x14ac:dyDescent="0.2">
      <c r="A70">
        <v>69</v>
      </c>
      <c r="B70" t="s">
        <v>81</v>
      </c>
      <c r="C70" t="s">
        <v>19</v>
      </c>
      <c r="D70">
        <v>4475.2199999999993</v>
      </c>
      <c r="E70">
        <v>7458.7</v>
      </c>
    </row>
    <row r="71" spans="1:5" x14ac:dyDescent="0.2">
      <c r="A71">
        <v>70</v>
      </c>
      <c r="B71" t="s">
        <v>82</v>
      </c>
      <c r="C71" t="s">
        <v>6</v>
      </c>
      <c r="D71">
        <v>2417.85</v>
      </c>
      <c r="E71">
        <v>4029.75</v>
      </c>
    </row>
    <row r="72" spans="1:5" x14ac:dyDescent="0.2">
      <c r="A72">
        <v>71</v>
      </c>
      <c r="B72" t="s">
        <v>83</v>
      </c>
      <c r="C72" t="s">
        <v>10</v>
      </c>
      <c r="D72">
        <v>2958.7559999999999</v>
      </c>
      <c r="E72">
        <v>4931.26</v>
      </c>
    </row>
    <row r="73" spans="1:5" x14ac:dyDescent="0.2">
      <c r="A73">
        <v>72</v>
      </c>
      <c r="B73" t="s">
        <v>84</v>
      </c>
      <c r="C73" t="s">
        <v>35</v>
      </c>
      <c r="D73">
        <v>3480.8399999999997</v>
      </c>
      <c r="E73">
        <v>5801.4</v>
      </c>
    </row>
    <row r="74" spans="1:5" x14ac:dyDescent="0.2">
      <c r="A74">
        <v>73</v>
      </c>
      <c r="B74" t="s">
        <v>85</v>
      </c>
      <c r="C74" t="s">
        <v>19</v>
      </c>
      <c r="D74">
        <v>2721.3539999999998</v>
      </c>
      <c r="E74">
        <v>4535.59</v>
      </c>
    </row>
    <row r="75" spans="1:5" x14ac:dyDescent="0.2">
      <c r="A75">
        <v>74</v>
      </c>
      <c r="B75" t="s">
        <v>86</v>
      </c>
      <c r="C75" t="s">
        <v>17</v>
      </c>
      <c r="D75">
        <v>1143.126</v>
      </c>
      <c r="E75">
        <v>1905.21</v>
      </c>
    </row>
    <row r="76" spans="1:5" x14ac:dyDescent="0.2">
      <c r="A76">
        <v>75</v>
      </c>
      <c r="B76" t="s">
        <v>87</v>
      </c>
      <c r="C76" t="s">
        <v>17</v>
      </c>
      <c r="D76">
        <v>2264.0639999999999</v>
      </c>
      <c r="E76">
        <v>3773.44</v>
      </c>
    </row>
    <row r="77" spans="1:5" x14ac:dyDescent="0.2">
      <c r="A77">
        <v>76</v>
      </c>
      <c r="B77" t="s">
        <v>88</v>
      </c>
      <c r="C77" t="s">
        <v>35</v>
      </c>
      <c r="D77">
        <v>1839.3420000000001</v>
      </c>
      <c r="E77">
        <v>3065.57</v>
      </c>
    </row>
    <row r="78" spans="1:5" x14ac:dyDescent="0.2">
      <c r="A78">
        <v>77</v>
      </c>
      <c r="B78" t="s">
        <v>89</v>
      </c>
      <c r="C78" t="s">
        <v>6</v>
      </c>
      <c r="D78">
        <v>1203.588</v>
      </c>
      <c r="E78">
        <v>2005.98</v>
      </c>
    </row>
    <row r="79" spans="1:5" x14ac:dyDescent="0.2">
      <c r="A79">
        <v>78</v>
      </c>
      <c r="B79" t="s">
        <v>90</v>
      </c>
      <c r="C79" t="s">
        <v>10</v>
      </c>
      <c r="D79">
        <v>519.44399999999996</v>
      </c>
      <c r="E79">
        <v>865.74</v>
      </c>
    </row>
    <row r="80" spans="1:5" x14ac:dyDescent="0.2">
      <c r="A80">
        <v>79</v>
      </c>
      <c r="B80" t="s">
        <v>91</v>
      </c>
      <c r="C80" t="s">
        <v>10</v>
      </c>
      <c r="D80">
        <v>1324.7579999999998</v>
      </c>
      <c r="E80">
        <v>2207.9299999999998</v>
      </c>
    </row>
    <row r="81" spans="1:5" x14ac:dyDescent="0.2">
      <c r="A81">
        <v>80</v>
      </c>
      <c r="B81" t="s">
        <v>92</v>
      </c>
      <c r="C81" t="s">
        <v>8</v>
      </c>
      <c r="D81">
        <v>599.44200000000001</v>
      </c>
      <c r="E81">
        <v>999.07</v>
      </c>
    </row>
    <row r="82" spans="1:5" x14ac:dyDescent="0.2">
      <c r="A82">
        <v>81</v>
      </c>
      <c r="B82" t="s">
        <v>93</v>
      </c>
      <c r="C82" t="s">
        <v>8</v>
      </c>
      <c r="D82">
        <v>4658.0459999999994</v>
      </c>
      <c r="E82">
        <v>7763.41</v>
      </c>
    </row>
    <row r="83" spans="1:5" x14ac:dyDescent="0.2">
      <c r="A83">
        <v>82</v>
      </c>
      <c r="B83" t="s">
        <v>94</v>
      </c>
      <c r="C83" t="s">
        <v>12</v>
      </c>
      <c r="D83">
        <v>762.73199999999997</v>
      </c>
      <c r="E83">
        <v>1271.22</v>
      </c>
    </row>
    <row r="84" spans="1:5" x14ac:dyDescent="0.2">
      <c r="A84">
        <v>83</v>
      </c>
      <c r="B84" t="s">
        <v>95</v>
      </c>
      <c r="C84" t="s">
        <v>14</v>
      </c>
      <c r="D84">
        <v>2289.8579999999997</v>
      </c>
      <c r="E84">
        <v>3816.43</v>
      </c>
    </row>
    <row r="85" spans="1:5" x14ac:dyDescent="0.2">
      <c r="A85">
        <v>84</v>
      </c>
      <c r="B85" t="s">
        <v>96</v>
      </c>
      <c r="C85" t="s">
        <v>14</v>
      </c>
      <c r="D85">
        <v>4656.0959999999995</v>
      </c>
      <c r="E85">
        <v>7760.16</v>
      </c>
    </row>
    <row r="86" spans="1:5" x14ac:dyDescent="0.2">
      <c r="A86">
        <v>85</v>
      </c>
      <c r="B86" t="s">
        <v>97</v>
      </c>
      <c r="C86" t="s">
        <v>17</v>
      </c>
      <c r="D86">
        <v>2251.8180000000002</v>
      </c>
      <c r="E86">
        <v>3753.03</v>
      </c>
    </row>
    <row r="87" spans="1:5" x14ac:dyDescent="0.2">
      <c r="A87">
        <v>86</v>
      </c>
      <c r="B87" t="s">
        <v>98</v>
      </c>
      <c r="C87" t="s">
        <v>19</v>
      </c>
      <c r="D87">
        <v>1873.7459999999999</v>
      </c>
      <c r="E87">
        <v>3122.91</v>
      </c>
    </row>
    <row r="88" spans="1:5" x14ac:dyDescent="0.2">
      <c r="A88">
        <v>87</v>
      </c>
      <c r="B88" t="s">
        <v>99</v>
      </c>
      <c r="C88" t="s">
        <v>35</v>
      </c>
      <c r="D88">
        <v>2456.4719999999998</v>
      </c>
      <c r="E88">
        <v>4094.12</v>
      </c>
    </row>
    <row r="89" spans="1:5" x14ac:dyDescent="0.2">
      <c r="A89">
        <v>88</v>
      </c>
      <c r="B89" t="s">
        <v>100</v>
      </c>
      <c r="C89" t="s">
        <v>35</v>
      </c>
      <c r="D89">
        <v>3741.7979999999998</v>
      </c>
      <c r="E89">
        <v>6236.33</v>
      </c>
    </row>
    <row r="90" spans="1:5" x14ac:dyDescent="0.2">
      <c r="A90">
        <v>89</v>
      </c>
      <c r="B90" t="s">
        <v>101</v>
      </c>
      <c r="C90" t="s">
        <v>19</v>
      </c>
      <c r="D90">
        <v>605.02199999999993</v>
      </c>
      <c r="E90">
        <v>1008.37</v>
      </c>
    </row>
    <row r="91" spans="1:5" x14ac:dyDescent="0.2">
      <c r="A91">
        <v>90</v>
      </c>
      <c r="B91" t="s">
        <v>102</v>
      </c>
      <c r="C91" t="s">
        <v>8</v>
      </c>
      <c r="D91">
        <v>826.02599999999995</v>
      </c>
      <c r="E91">
        <v>1376.71</v>
      </c>
    </row>
    <row r="92" spans="1:5" x14ac:dyDescent="0.2">
      <c r="A92">
        <v>91</v>
      </c>
      <c r="B92" t="s">
        <v>103</v>
      </c>
      <c r="C92" t="s">
        <v>17</v>
      </c>
      <c r="D92">
        <v>1897.8</v>
      </c>
      <c r="E92">
        <v>3163</v>
      </c>
    </row>
    <row r="93" spans="1:5" x14ac:dyDescent="0.2">
      <c r="A93">
        <v>92</v>
      </c>
      <c r="B93" t="s">
        <v>104</v>
      </c>
      <c r="C93" t="s">
        <v>19</v>
      </c>
      <c r="D93">
        <v>2146.8119999999999</v>
      </c>
      <c r="E93">
        <v>3578.02</v>
      </c>
    </row>
    <row r="94" spans="1:5" x14ac:dyDescent="0.2">
      <c r="A94">
        <v>93</v>
      </c>
      <c r="B94" t="s">
        <v>105</v>
      </c>
      <c r="C94" t="s">
        <v>10</v>
      </c>
      <c r="D94">
        <v>4597.5419999999995</v>
      </c>
      <c r="E94">
        <v>7662.57</v>
      </c>
    </row>
    <row r="95" spans="1:5" x14ac:dyDescent="0.2">
      <c r="A95">
        <v>94</v>
      </c>
      <c r="B95" t="s">
        <v>106</v>
      </c>
      <c r="C95" t="s">
        <v>12</v>
      </c>
      <c r="D95">
        <v>2791.6679999999997</v>
      </c>
      <c r="E95">
        <v>4652.78</v>
      </c>
    </row>
    <row r="96" spans="1:5" x14ac:dyDescent="0.2">
      <c r="A96">
        <v>95</v>
      </c>
      <c r="B96" t="s">
        <v>107</v>
      </c>
      <c r="C96" t="s">
        <v>6</v>
      </c>
      <c r="D96">
        <v>4181.2020000000002</v>
      </c>
      <c r="E96">
        <v>6968.67</v>
      </c>
    </row>
    <row r="97" spans="1:5" x14ac:dyDescent="0.2">
      <c r="A97">
        <v>96</v>
      </c>
      <c r="B97" t="s">
        <v>108</v>
      </c>
      <c r="C97" t="s">
        <v>12</v>
      </c>
      <c r="D97">
        <v>3230.6639999999998</v>
      </c>
      <c r="E97">
        <v>5384.44</v>
      </c>
    </row>
    <row r="98" spans="1:5" x14ac:dyDescent="0.2">
      <c r="A98">
        <v>97</v>
      </c>
      <c r="B98" t="s">
        <v>109</v>
      </c>
      <c r="C98" t="s">
        <v>8</v>
      </c>
      <c r="D98">
        <v>552.98399999999992</v>
      </c>
      <c r="E98">
        <v>921.64</v>
      </c>
    </row>
    <row r="99" spans="1:5" x14ac:dyDescent="0.2">
      <c r="A99">
        <v>98</v>
      </c>
      <c r="B99" t="s">
        <v>110</v>
      </c>
      <c r="C99" t="s">
        <v>19</v>
      </c>
      <c r="D99">
        <v>4684.6080000000002</v>
      </c>
      <c r="E99">
        <v>7807.68</v>
      </c>
    </row>
    <row r="100" spans="1:5" x14ac:dyDescent="0.2">
      <c r="A100">
        <v>99</v>
      </c>
      <c r="B100" t="s">
        <v>111</v>
      </c>
      <c r="C100" t="s">
        <v>17</v>
      </c>
      <c r="D100">
        <v>1226.3879999999999</v>
      </c>
      <c r="E100">
        <v>2043.98</v>
      </c>
    </row>
    <row r="101" spans="1:5" x14ac:dyDescent="0.2">
      <c r="A101">
        <v>100</v>
      </c>
      <c r="B101" t="s">
        <v>112</v>
      </c>
      <c r="C101" t="s">
        <v>17</v>
      </c>
      <c r="D101">
        <v>2450.3159999999998</v>
      </c>
      <c r="E101">
        <v>4083.86</v>
      </c>
    </row>
    <row r="102" spans="1:5" x14ac:dyDescent="0.2">
      <c r="A102">
        <v>101</v>
      </c>
      <c r="B102" t="s">
        <v>113</v>
      </c>
      <c r="C102" t="s">
        <v>17</v>
      </c>
      <c r="D102">
        <v>2832.174</v>
      </c>
      <c r="E102">
        <v>4720.29</v>
      </c>
    </row>
    <row r="103" spans="1:5" x14ac:dyDescent="0.2">
      <c r="A103">
        <v>102</v>
      </c>
      <c r="B103" t="s">
        <v>114</v>
      </c>
      <c r="C103" t="s">
        <v>19</v>
      </c>
      <c r="D103">
        <v>2486.3639999999996</v>
      </c>
      <c r="E103">
        <v>4143.9399999999996</v>
      </c>
    </row>
    <row r="104" spans="1:5" x14ac:dyDescent="0.2">
      <c r="A104">
        <v>103</v>
      </c>
      <c r="B104" t="s">
        <v>115</v>
      </c>
      <c r="C104" t="s">
        <v>19</v>
      </c>
      <c r="D104">
        <v>3848.43</v>
      </c>
      <c r="E104">
        <v>6414.05</v>
      </c>
    </row>
    <row r="105" spans="1:5" x14ac:dyDescent="0.2">
      <c r="A105">
        <v>104</v>
      </c>
      <c r="B105" t="s">
        <v>116</v>
      </c>
      <c r="C105" t="s">
        <v>10</v>
      </c>
      <c r="D105">
        <v>1940.13</v>
      </c>
      <c r="E105">
        <v>3233.55</v>
      </c>
    </row>
    <row r="106" spans="1:5" x14ac:dyDescent="0.2">
      <c r="A106">
        <v>105</v>
      </c>
      <c r="B106" t="s">
        <v>117</v>
      </c>
      <c r="C106" t="s">
        <v>19</v>
      </c>
      <c r="D106">
        <v>2485.848</v>
      </c>
      <c r="E106">
        <v>4143.08</v>
      </c>
    </row>
    <row r="107" spans="1:5" x14ac:dyDescent="0.2">
      <c r="A107">
        <v>106</v>
      </c>
      <c r="B107" t="s">
        <v>118</v>
      </c>
      <c r="C107" t="s">
        <v>19</v>
      </c>
      <c r="D107">
        <v>860.41800000000001</v>
      </c>
      <c r="E107">
        <v>1434.03</v>
      </c>
    </row>
    <row r="108" spans="1:5" x14ac:dyDescent="0.2">
      <c r="A108">
        <v>107</v>
      </c>
      <c r="B108" t="s">
        <v>119</v>
      </c>
      <c r="C108" t="s">
        <v>14</v>
      </c>
      <c r="D108">
        <v>940.74</v>
      </c>
      <c r="E108">
        <v>1567.9</v>
      </c>
    </row>
    <row r="109" spans="1:5" x14ac:dyDescent="0.2">
      <c r="A109">
        <v>108</v>
      </c>
      <c r="B109" t="s">
        <v>120</v>
      </c>
      <c r="C109" t="s">
        <v>14</v>
      </c>
      <c r="D109">
        <v>504.32399999999996</v>
      </c>
      <c r="E109">
        <v>840.54</v>
      </c>
    </row>
    <row r="110" spans="1:5" x14ac:dyDescent="0.2">
      <c r="A110">
        <v>109</v>
      </c>
      <c r="B110" t="s">
        <v>121</v>
      </c>
      <c r="C110" t="s">
        <v>10</v>
      </c>
      <c r="D110">
        <v>1328.6939999999997</v>
      </c>
      <c r="E110">
        <v>2214.4899999999998</v>
      </c>
    </row>
    <row r="111" spans="1:5" x14ac:dyDescent="0.2">
      <c r="A111">
        <v>110</v>
      </c>
      <c r="B111" t="s">
        <v>122</v>
      </c>
      <c r="C111" t="s">
        <v>10</v>
      </c>
      <c r="D111">
        <v>932.52599999999995</v>
      </c>
      <c r="E111">
        <v>1554.21</v>
      </c>
    </row>
    <row r="112" spans="1:5" x14ac:dyDescent="0.2">
      <c r="A112">
        <v>111</v>
      </c>
      <c r="B112" t="s">
        <v>123</v>
      </c>
      <c r="C112" t="s">
        <v>14</v>
      </c>
      <c r="D112">
        <v>452.53199999999998</v>
      </c>
      <c r="E112">
        <v>754.22</v>
      </c>
    </row>
    <row r="113" spans="1:5" x14ac:dyDescent="0.2">
      <c r="A113">
        <v>112</v>
      </c>
      <c r="B113" t="s">
        <v>124</v>
      </c>
      <c r="C113" t="s">
        <v>14</v>
      </c>
      <c r="D113">
        <v>1640.646</v>
      </c>
      <c r="E113">
        <v>2734.41</v>
      </c>
    </row>
    <row r="114" spans="1:5" x14ac:dyDescent="0.2">
      <c r="A114">
        <v>113</v>
      </c>
      <c r="B114" t="s">
        <v>125</v>
      </c>
      <c r="C114" t="s">
        <v>6</v>
      </c>
      <c r="D114">
        <v>2897.4959999999996</v>
      </c>
      <c r="E114">
        <v>4829.16</v>
      </c>
    </row>
    <row r="115" spans="1:5" x14ac:dyDescent="0.2">
      <c r="A115">
        <v>114</v>
      </c>
      <c r="B115" t="s">
        <v>126</v>
      </c>
      <c r="C115" t="s">
        <v>35</v>
      </c>
      <c r="D115">
        <v>4586.6459999999997</v>
      </c>
      <c r="E115">
        <v>7644.41</v>
      </c>
    </row>
    <row r="116" spans="1:5" x14ac:dyDescent="0.2">
      <c r="A116">
        <v>115</v>
      </c>
      <c r="B116" t="s">
        <v>127</v>
      </c>
      <c r="C116" t="s">
        <v>10</v>
      </c>
      <c r="D116">
        <v>2814.7679999999996</v>
      </c>
      <c r="E116">
        <v>4691.28</v>
      </c>
    </row>
    <row r="117" spans="1:5" x14ac:dyDescent="0.2">
      <c r="A117">
        <v>116</v>
      </c>
      <c r="B117" t="s">
        <v>128</v>
      </c>
      <c r="C117" t="s">
        <v>19</v>
      </c>
      <c r="D117">
        <v>1417.89</v>
      </c>
      <c r="E117">
        <v>2363.15</v>
      </c>
    </row>
    <row r="118" spans="1:5" x14ac:dyDescent="0.2">
      <c r="A118">
        <v>117</v>
      </c>
      <c r="B118" t="s">
        <v>129</v>
      </c>
      <c r="C118" t="s">
        <v>8</v>
      </c>
      <c r="D118">
        <v>1276.3079999999998</v>
      </c>
      <c r="E118">
        <v>2127.1799999999998</v>
      </c>
    </row>
    <row r="119" spans="1:5" x14ac:dyDescent="0.2">
      <c r="A119">
        <v>118</v>
      </c>
      <c r="B119" t="s">
        <v>130</v>
      </c>
      <c r="C119" t="s">
        <v>19</v>
      </c>
      <c r="D119">
        <v>1889.55</v>
      </c>
      <c r="E119">
        <v>3149.25</v>
      </c>
    </row>
    <row r="120" spans="1:5" x14ac:dyDescent="0.2">
      <c r="A120">
        <v>119</v>
      </c>
      <c r="B120" t="s">
        <v>131</v>
      </c>
      <c r="C120" t="s">
        <v>6</v>
      </c>
      <c r="D120">
        <v>1165.146</v>
      </c>
      <c r="E120">
        <v>1941.91</v>
      </c>
    </row>
    <row r="121" spans="1:5" x14ac:dyDescent="0.2">
      <c r="A121">
        <v>120</v>
      </c>
      <c r="B121" t="s">
        <v>132</v>
      </c>
      <c r="C121" t="s">
        <v>8</v>
      </c>
      <c r="D121">
        <v>1185.9599999999998</v>
      </c>
      <c r="E121">
        <v>1976.6</v>
      </c>
    </row>
    <row r="122" spans="1:5" x14ac:dyDescent="0.2">
      <c r="A122">
        <v>121</v>
      </c>
      <c r="B122" t="s">
        <v>133</v>
      </c>
      <c r="C122" t="s">
        <v>10</v>
      </c>
      <c r="D122">
        <v>907.90800000000002</v>
      </c>
      <c r="E122">
        <v>1513.18</v>
      </c>
    </row>
    <row r="123" spans="1:5" x14ac:dyDescent="0.2">
      <c r="A123">
        <v>122</v>
      </c>
      <c r="B123" t="s">
        <v>134</v>
      </c>
      <c r="C123" t="s">
        <v>14</v>
      </c>
      <c r="D123">
        <v>3088.6439999999998</v>
      </c>
      <c r="E123">
        <v>5147.74</v>
      </c>
    </row>
    <row r="124" spans="1:5" x14ac:dyDescent="0.2">
      <c r="A124">
        <v>123</v>
      </c>
      <c r="B124" t="s">
        <v>135</v>
      </c>
      <c r="C124" t="s">
        <v>17</v>
      </c>
      <c r="D124">
        <v>2776.5719999999997</v>
      </c>
      <c r="E124">
        <v>4627.62</v>
      </c>
    </row>
    <row r="125" spans="1:5" x14ac:dyDescent="0.2">
      <c r="A125">
        <v>124</v>
      </c>
      <c r="B125" t="s">
        <v>136</v>
      </c>
      <c r="C125" t="s">
        <v>17</v>
      </c>
      <c r="D125">
        <v>2487.924</v>
      </c>
      <c r="E125">
        <v>4146.54</v>
      </c>
    </row>
    <row r="126" spans="1:5" x14ac:dyDescent="0.2">
      <c r="A126">
        <v>125</v>
      </c>
      <c r="B126" t="s">
        <v>137</v>
      </c>
      <c r="C126" t="s">
        <v>8</v>
      </c>
      <c r="D126">
        <v>2610.6419999999998</v>
      </c>
      <c r="E126">
        <v>4351.07</v>
      </c>
    </row>
    <row r="127" spans="1:5" x14ac:dyDescent="0.2">
      <c r="A127">
        <v>126</v>
      </c>
      <c r="B127" t="s">
        <v>138</v>
      </c>
      <c r="C127" t="s">
        <v>12</v>
      </c>
      <c r="D127">
        <v>607.93799999999999</v>
      </c>
      <c r="E127">
        <v>1013.23</v>
      </c>
    </row>
    <row r="128" spans="1:5" x14ac:dyDescent="0.2">
      <c r="A128">
        <v>127</v>
      </c>
      <c r="B128" t="s">
        <v>139</v>
      </c>
      <c r="C128" t="s">
        <v>12</v>
      </c>
      <c r="D128">
        <v>3294.3360000000002</v>
      </c>
      <c r="E128">
        <v>5490.56</v>
      </c>
    </row>
    <row r="129" spans="1:5" x14ac:dyDescent="0.2">
      <c r="A129">
        <v>128</v>
      </c>
      <c r="B129" t="s">
        <v>140</v>
      </c>
      <c r="C129" t="s">
        <v>6</v>
      </c>
      <c r="D129">
        <v>3157.56</v>
      </c>
      <c r="E129">
        <v>5262.6</v>
      </c>
    </row>
    <row r="130" spans="1:5" x14ac:dyDescent="0.2">
      <c r="A130">
        <v>129</v>
      </c>
      <c r="B130" t="s">
        <v>141</v>
      </c>
      <c r="C130" t="s">
        <v>35</v>
      </c>
      <c r="D130">
        <v>756.75599999999997</v>
      </c>
      <c r="E130">
        <v>1261.26</v>
      </c>
    </row>
    <row r="131" spans="1:5" x14ac:dyDescent="0.2">
      <c r="A131">
        <v>130</v>
      </c>
      <c r="B131" t="s">
        <v>142</v>
      </c>
      <c r="C131" t="s">
        <v>12</v>
      </c>
      <c r="D131">
        <v>1911.2939999999999</v>
      </c>
      <c r="E131">
        <v>3185.49</v>
      </c>
    </row>
    <row r="132" spans="1:5" x14ac:dyDescent="0.2">
      <c r="A132">
        <v>131</v>
      </c>
      <c r="B132" t="s">
        <v>143</v>
      </c>
      <c r="C132" t="s">
        <v>14</v>
      </c>
      <c r="D132">
        <v>3715.5479999999998</v>
      </c>
      <c r="E132">
        <v>6192.58</v>
      </c>
    </row>
    <row r="133" spans="1:5" x14ac:dyDescent="0.2">
      <c r="A133">
        <v>132</v>
      </c>
      <c r="B133" t="s">
        <v>144</v>
      </c>
      <c r="C133" t="s">
        <v>12</v>
      </c>
      <c r="D133">
        <v>3292.998</v>
      </c>
      <c r="E133">
        <v>5488.33</v>
      </c>
    </row>
    <row r="134" spans="1:5" x14ac:dyDescent="0.2">
      <c r="A134">
        <v>133</v>
      </c>
      <c r="B134" t="s">
        <v>145</v>
      </c>
      <c r="C134" t="s">
        <v>19</v>
      </c>
      <c r="D134">
        <v>3962.9399999999996</v>
      </c>
      <c r="E134">
        <v>6604.9</v>
      </c>
    </row>
    <row r="135" spans="1:5" x14ac:dyDescent="0.2">
      <c r="A135">
        <v>134</v>
      </c>
      <c r="B135" t="s">
        <v>146</v>
      </c>
      <c r="C135" t="s">
        <v>35</v>
      </c>
      <c r="D135">
        <v>403.32600000000002</v>
      </c>
      <c r="E135">
        <v>672.21</v>
      </c>
    </row>
    <row r="136" spans="1:5" x14ac:dyDescent="0.2">
      <c r="A136">
        <v>135</v>
      </c>
      <c r="B136" t="s">
        <v>147</v>
      </c>
      <c r="C136" t="s">
        <v>8</v>
      </c>
      <c r="D136">
        <v>4667.826</v>
      </c>
      <c r="E136">
        <v>7779.71</v>
      </c>
    </row>
    <row r="137" spans="1:5" x14ac:dyDescent="0.2">
      <c r="A137">
        <v>136</v>
      </c>
      <c r="B137" t="s">
        <v>148</v>
      </c>
      <c r="C137" t="s">
        <v>17</v>
      </c>
      <c r="D137">
        <v>3093.8219999999997</v>
      </c>
      <c r="E137">
        <v>5156.37</v>
      </c>
    </row>
    <row r="138" spans="1:5" x14ac:dyDescent="0.2">
      <c r="A138">
        <v>137</v>
      </c>
      <c r="B138" t="s">
        <v>149</v>
      </c>
      <c r="C138" t="s">
        <v>14</v>
      </c>
      <c r="D138">
        <v>215.202</v>
      </c>
      <c r="E138">
        <v>358.67</v>
      </c>
    </row>
    <row r="139" spans="1:5" x14ac:dyDescent="0.2">
      <c r="A139">
        <v>138</v>
      </c>
      <c r="B139" t="s">
        <v>150</v>
      </c>
      <c r="C139" t="s">
        <v>12</v>
      </c>
      <c r="D139">
        <v>1854.8939999999998</v>
      </c>
      <c r="E139">
        <v>3091.49</v>
      </c>
    </row>
    <row r="140" spans="1:5" x14ac:dyDescent="0.2">
      <c r="A140">
        <v>139</v>
      </c>
      <c r="B140" t="s">
        <v>151</v>
      </c>
      <c r="C140" t="s">
        <v>17</v>
      </c>
      <c r="D140">
        <v>1554.6479999999999</v>
      </c>
      <c r="E140">
        <v>2591.08</v>
      </c>
    </row>
    <row r="141" spans="1:5" x14ac:dyDescent="0.2">
      <c r="A141">
        <v>140</v>
      </c>
      <c r="B141" t="s">
        <v>152</v>
      </c>
      <c r="C141" t="s">
        <v>19</v>
      </c>
      <c r="D141">
        <v>536.25599999999997</v>
      </c>
      <c r="E141">
        <v>893.76</v>
      </c>
    </row>
    <row r="142" spans="1:5" x14ac:dyDescent="0.2">
      <c r="A142">
        <v>141</v>
      </c>
      <c r="B142" t="s">
        <v>153</v>
      </c>
      <c r="C142" t="s">
        <v>19</v>
      </c>
      <c r="D142">
        <v>4719.1139999999996</v>
      </c>
      <c r="E142">
        <v>7865.19</v>
      </c>
    </row>
    <row r="143" spans="1:5" x14ac:dyDescent="0.2">
      <c r="A143">
        <v>142</v>
      </c>
      <c r="B143" t="s">
        <v>154</v>
      </c>
      <c r="C143" t="s">
        <v>17</v>
      </c>
      <c r="D143">
        <v>1789.404</v>
      </c>
      <c r="E143">
        <v>2982.34</v>
      </c>
    </row>
    <row r="144" spans="1:5" x14ac:dyDescent="0.2">
      <c r="A144">
        <v>143</v>
      </c>
      <c r="B144" t="s">
        <v>155</v>
      </c>
      <c r="C144" t="s">
        <v>19</v>
      </c>
      <c r="D144">
        <v>180.17400000000001</v>
      </c>
      <c r="E144">
        <v>300.29000000000002</v>
      </c>
    </row>
    <row r="145" spans="1:5" x14ac:dyDescent="0.2">
      <c r="A145">
        <v>144</v>
      </c>
      <c r="B145" t="s">
        <v>156</v>
      </c>
      <c r="C145" t="s">
        <v>8</v>
      </c>
      <c r="D145">
        <v>946.93200000000002</v>
      </c>
      <c r="E145">
        <v>1578.22</v>
      </c>
    </row>
    <row r="146" spans="1:5" x14ac:dyDescent="0.2">
      <c r="A146">
        <v>145</v>
      </c>
      <c r="B146" t="s">
        <v>157</v>
      </c>
      <c r="C146" t="s">
        <v>10</v>
      </c>
      <c r="D146">
        <v>3878.13</v>
      </c>
      <c r="E146">
        <v>6463.55</v>
      </c>
    </row>
    <row r="147" spans="1:5" x14ac:dyDescent="0.2">
      <c r="A147">
        <v>146</v>
      </c>
      <c r="B147" t="s">
        <v>158</v>
      </c>
      <c r="C147" t="s">
        <v>10</v>
      </c>
      <c r="D147">
        <v>2839.7339999999999</v>
      </c>
      <c r="E147">
        <v>4732.8900000000003</v>
      </c>
    </row>
    <row r="148" spans="1:5" x14ac:dyDescent="0.2">
      <c r="A148">
        <v>147</v>
      </c>
      <c r="B148" t="s">
        <v>159</v>
      </c>
      <c r="C148" t="s">
        <v>12</v>
      </c>
      <c r="D148">
        <v>2750.5919999999996</v>
      </c>
      <c r="E148">
        <v>4584.32</v>
      </c>
    </row>
    <row r="149" spans="1:5" x14ac:dyDescent="0.2">
      <c r="A149">
        <v>148</v>
      </c>
      <c r="B149" t="s">
        <v>160</v>
      </c>
      <c r="C149" t="s">
        <v>12</v>
      </c>
      <c r="D149">
        <v>2417.4119999999998</v>
      </c>
      <c r="E149">
        <v>4029.02</v>
      </c>
    </row>
    <row r="150" spans="1:5" x14ac:dyDescent="0.2">
      <c r="A150">
        <v>149</v>
      </c>
      <c r="B150" t="s">
        <v>161</v>
      </c>
      <c r="C150" t="s">
        <v>35</v>
      </c>
      <c r="D150">
        <v>3676.6679999999997</v>
      </c>
      <c r="E150">
        <v>6127.78</v>
      </c>
    </row>
    <row r="151" spans="1:5" x14ac:dyDescent="0.2">
      <c r="A151">
        <v>150</v>
      </c>
      <c r="B151" t="s">
        <v>162</v>
      </c>
      <c r="C151" t="s">
        <v>19</v>
      </c>
      <c r="D151">
        <v>1373.8319999999999</v>
      </c>
      <c r="E151">
        <v>2289.7199999999998</v>
      </c>
    </row>
  </sheetData>
  <sheetProtection algorithmName="SHA-512" hashValue="n61+QVBZtJuptul0ynnZ6PYyVVPu2n6HGjBaqA2eQVpOE7FYs55TyePh/wejpJjucQkq2Zv0nFrHpkH10UM9MQ==" saltValue="u5HKwpZILQdIz4CsbB0qGg==" spinCount="100000" sheet="1" objects="1" scenarios="1"/>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1"/>
  <sheetViews>
    <sheetView workbookViewId="0">
      <selection activeCell="P35" sqref="P35"/>
    </sheetView>
  </sheetViews>
  <sheetFormatPr defaultRowHeight="12.75" x14ac:dyDescent="0.2"/>
  <cols>
    <col min="1" max="1" width="10.140625" customWidth="1"/>
    <col min="2" max="2" width="13.28515625" customWidth="1"/>
    <col min="3" max="3" width="12.42578125" customWidth="1"/>
    <col min="4" max="4" width="15.7109375" customWidth="1"/>
    <col min="5" max="5" width="18.5703125" customWidth="1"/>
    <col min="6" max="6" width="17.42578125" customWidth="1"/>
  </cols>
  <sheetData>
    <row r="1" spans="1:6" x14ac:dyDescent="0.2">
      <c r="A1" t="s">
        <v>163</v>
      </c>
      <c r="B1" t="s">
        <v>164</v>
      </c>
      <c r="C1" t="s">
        <v>165</v>
      </c>
      <c r="D1" t="s">
        <v>166</v>
      </c>
      <c r="E1" t="s">
        <v>167</v>
      </c>
      <c r="F1" t="s">
        <v>168</v>
      </c>
    </row>
    <row r="2" spans="1:6" x14ac:dyDescent="0.2">
      <c r="A2">
        <v>1</v>
      </c>
      <c r="B2">
        <v>90</v>
      </c>
      <c r="C2" s="1">
        <v>45878</v>
      </c>
      <c r="D2">
        <v>12</v>
      </c>
      <c r="E2">
        <v>4</v>
      </c>
      <c r="F2" s="11">
        <v>1321.6415999999999</v>
      </c>
    </row>
    <row r="3" spans="1:6" x14ac:dyDescent="0.2">
      <c r="A3">
        <v>2</v>
      </c>
      <c r="B3">
        <v>117</v>
      </c>
      <c r="C3" s="1">
        <v>45372</v>
      </c>
      <c r="D3">
        <v>35</v>
      </c>
      <c r="E3">
        <v>2</v>
      </c>
      <c r="F3" s="11">
        <v>2084.6363999999999</v>
      </c>
    </row>
    <row r="4" spans="1:6" x14ac:dyDescent="0.2">
      <c r="A4">
        <v>3</v>
      </c>
      <c r="B4">
        <v>27</v>
      </c>
      <c r="C4" s="1">
        <v>45339</v>
      </c>
      <c r="D4">
        <v>14</v>
      </c>
      <c r="E4">
        <v>2</v>
      </c>
      <c r="F4" s="11">
        <v>1590.442</v>
      </c>
    </row>
    <row r="5" spans="1:6" x14ac:dyDescent="0.2">
      <c r="A5">
        <v>4</v>
      </c>
      <c r="B5">
        <v>48</v>
      </c>
      <c r="C5" s="1">
        <v>45660</v>
      </c>
      <c r="D5">
        <v>9</v>
      </c>
      <c r="E5">
        <v>3</v>
      </c>
      <c r="F5" s="11">
        <v>3577.6219000000001</v>
      </c>
    </row>
    <row r="6" spans="1:6" x14ac:dyDescent="0.2">
      <c r="A6">
        <v>5</v>
      </c>
      <c r="B6">
        <v>121</v>
      </c>
      <c r="C6" s="1">
        <v>45115</v>
      </c>
      <c r="D6">
        <v>49</v>
      </c>
      <c r="E6">
        <v>6</v>
      </c>
      <c r="F6" s="11">
        <v>1422.3892000000001</v>
      </c>
    </row>
    <row r="7" spans="1:6" x14ac:dyDescent="0.2">
      <c r="A7">
        <v>6</v>
      </c>
      <c r="B7">
        <v>101</v>
      </c>
      <c r="C7" s="1">
        <v>45097</v>
      </c>
      <c r="D7">
        <v>48</v>
      </c>
      <c r="E7">
        <v>5</v>
      </c>
      <c r="F7" s="11">
        <v>4484.2754999999997</v>
      </c>
    </row>
    <row r="8" spans="1:6" x14ac:dyDescent="0.2">
      <c r="A8">
        <v>7</v>
      </c>
      <c r="B8">
        <v>117</v>
      </c>
      <c r="C8" s="1">
        <v>45411</v>
      </c>
      <c r="D8">
        <v>47</v>
      </c>
      <c r="E8">
        <v>2</v>
      </c>
      <c r="F8" s="11">
        <v>2084.6363999999999</v>
      </c>
    </row>
    <row r="9" spans="1:6" x14ac:dyDescent="0.2">
      <c r="A9">
        <v>8</v>
      </c>
      <c r="B9">
        <v>22</v>
      </c>
      <c r="C9" s="1">
        <v>45215</v>
      </c>
      <c r="D9">
        <v>5</v>
      </c>
      <c r="E9">
        <v>10</v>
      </c>
      <c r="F9" s="11">
        <v>1471.05</v>
      </c>
    </row>
    <row r="10" spans="1:6" x14ac:dyDescent="0.2">
      <c r="A10">
        <v>9</v>
      </c>
      <c r="B10">
        <v>82</v>
      </c>
      <c r="C10" s="1">
        <v>45795</v>
      </c>
      <c r="D10">
        <v>50</v>
      </c>
      <c r="E10">
        <v>4</v>
      </c>
      <c r="F10" s="11">
        <v>1220.3712</v>
      </c>
    </row>
    <row r="11" spans="1:6" x14ac:dyDescent="0.2">
      <c r="A11">
        <v>10</v>
      </c>
      <c r="B11">
        <v>94</v>
      </c>
      <c r="C11" s="1">
        <v>45067</v>
      </c>
      <c r="D11">
        <v>16</v>
      </c>
      <c r="E11">
        <v>5</v>
      </c>
      <c r="F11" s="11">
        <v>4420.1409999999996</v>
      </c>
    </row>
    <row r="12" spans="1:6" x14ac:dyDescent="0.2">
      <c r="A12">
        <v>11</v>
      </c>
      <c r="B12">
        <v>40</v>
      </c>
      <c r="C12" s="1">
        <v>45755</v>
      </c>
      <c r="D12">
        <v>3</v>
      </c>
      <c r="E12">
        <v>7</v>
      </c>
      <c r="F12" s="11">
        <v>457.81109999999995</v>
      </c>
    </row>
    <row r="13" spans="1:6" x14ac:dyDescent="0.2">
      <c r="A13">
        <v>12</v>
      </c>
      <c r="B13">
        <v>50</v>
      </c>
      <c r="C13" s="1">
        <v>45784</v>
      </c>
      <c r="D13">
        <v>47</v>
      </c>
      <c r="E13">
        <v>9</v>
      </c>
      <c r="F13" s="11">
        <v>1234.597</v>
      </c>
    </row>
    <row r="14" spans="1:6" x14ac:dyDescent="0.2">
      <c r="A14">
        <v>13</v>
      </c>
      <c r="B14">
        <v>32</v>
      </c>
      <c r="C14" s="1">
        <v>45377</v>
      </c>
      <c r="D14">
        <v>28</v>
      </c>
      <c r="E14">
        <v>4</v>
      </c>
      <c r="F14" s="11">
        <v>911.00160000000005</v>
      </c>
    </row>
    <row r="15" spans="1:6" x14ac:dyDescent="0.2">
      <c r="A15">
        <v>14</v>
      </c>
      <c r="B15">
        <v>103</v>
      </c>
      <c r="C15" s="1">
        <v>45721</v>
      </c>
      <c r="D15">
        <v>48</v>
      </c>
      <c r="E15">
        <v>6</v>
      </c>
      <c r="F15" s="11">
        <v>6029.2069999999994</v>
      </c>
    </row>
    <row r="16" spans="1:6" x14ac:dyDescent="0.2">
      <c r="A16">
        <v>15</v>
      </c>
      <c r="B16">
        <v>90</v>
      </c>
      <c r="C16" s="1">
        <v>45842</v>
      </c>
      <c r="D16">
        <v>39</v>
      </c>
      <c r="E16">
        <v>10</v>
      </c>
      <c r="F16" s="11">
        <v>1239.039</v>
      </c>
    </row>
    <row r="17" spans="1:6" x14ac:dyDescent="0.2">
      <c r="A17">
        <v>16</v>
      </c>
      <c r="B17">
        <v>138</v>
      </c>
      <c r="C17" s="1">
        <v>45213</v>
      </c>
      <c r="D17">
        <v>38</v>
      </c>
      <c r="E17">
        <v>7</v>
      </c>
      <c r="F17" s="11">
        <v>2875.0856999999996</v>
      </c>
    </row>
    <row r="18" spans="1:6" x14ac:dyDescent="0.2">
      <c r="A18">
        <v>17</v>
      </c>
      <c r="B18">
        <v>149</v>
      </c>
      <c r="C18" s="1">
        <v>45635</v>
      </c>
      <c r="D18">
        <v>8</v>
      </c>
      <c r="E18">
        <v>8</v>
      </c>
      <c r="F18" s="11">
        <v>5637.5576000000001</v>
      </c>
    </row>
    <row r="19" spans="1:6" x14ac:dyDescent="0.2">
      <c r="A19">
        <v>18</v>
      </c>
      <c r="B19">
        <v>87</v>
      </c>
      <c r="C19" s="1">
        <v>45387</v>
      </c>
      <c r="D19">
        <v>29</v>
      </c>
      <c r="E19">
        <v>2</v>
      </c>
      <c r="F19" s="11">
        <v>4012.2375999999999</v>
      </c>
    </row>
    <row r="20" spans="1:6" x14ac:dyDescent="0.2">
      <c r="A20">
        <v>19</v>
      </c>
      <c r="B20">
        <v>11</v>
      </c>
      <c r="C20" s="1">
        <v>45525</v>
      </c>
      <c r="D20">
        <v>41</v>
      </c>
      <c r="E20">
        <v>8</v>
      </c>
      <c r="F20" s="11">
        <v>2944.1839999999997</v>
      </c>
    </row>
    <row r="21" spans="1:6" x14ac:dyDescent="0.2">
      <c r="A21">
        <v>20</v>
      </c>
      <c r="B21">
        <v>56</v>
      </c>
      <c r="C21" s="1">
        <v>45819</v>
      </c>
      <c r="D21">
        <v>27</v>
      </c>
      <c r="E21">
        <v>4</v>
      </c>
      <c r="F21" s="11">
        <v>7662.5280000000002</v>
      </c>
    </row>
    <row r="22" spans="1:6" x14ac:dyDescent="0.2">
      <c r="A22">
        <v>21</v>
      </c>
      <c r="B22">
        <v>51</v>
      </c>
      <c r="C22" s="1">
        <v>45864</v>
      </c>
      <c r="D22">
        <v>19</v>
      </c>
      <c r="E22">
        <v>9</v>
      </c>
      <c r="F22" s="11">
        <v>958.11169999999993</v>
      </c>
    </row>
    <row r="23" spans="1:6" x14ac:dyDescent="0.2">
      <c r="A23">
        <v>22</v>
      </c>
      <c r="B23">
        <v>112</v>
      </c>
      <c r="C23" s="1">
        <v>45318</v>
      </c>
      <c r="D23">
        <v>15</v>
      </c>
      <c r="E23">
        <v>2</v>
      </c>
      <c r="F23" s="11">
        <v>2679.7217999999998</v>
      </c>
    </row>
    <row r="24" spans="1:6" x14ac:dyDescent="0.2">
      <c r="A24">
        <v>23</v>
      </c>
      <c r="B24">
        <v>9</v>
      </c>
      <c r="C24" s="1">
        <v>45615</v>
      </c>
      <c r="D24">
        <v>2</v>
      </c>
      <c r="E24">
        <v>2</v>
      </c>
      <c r="F24" s="11">
        <v>2806.5729999999999</v>
      </c>
    </row>
    <row r="25" spans="1:6" x14ac:dyDescent="0.2">
      <c r="A25">
        <v>24</v>
      </c>
      <c r="B25">
        <v>90</v>
      </c>
      <c r="C25" s="1">
        <v>44997</v>
      </c>
      <c r="D25">
        <v>35</v>
      </c>
      <c r="E25">
        <v>4</v>
      </c>
      <c r="F25" s="11">
        <v>1321.6415999999999</v>
      </c>
    </row>
    <row r="26" spans="1:6" x14ac:dyDescent="0.2">
      <c r="A26">
        <v>25</v>
      </c>
      <c r="B26">
        <v>100</v>
      </c>
      <c r="C26" s="1">
        <v>45855</v>
      </c>
      <c r="D26">
        <v>42</v>
      </c>
      <c r="E26">
        <v>3</v>
      </c>
      <c r="F26" s="11">
        <v>3961.3442</v>
      </c>
    </row>
    <row r="27" spans="1:6" x14ac:dyDescent="0.2">
      <c r="A27">
        <v>26</v>
      </c>
      <c r="B27">
        <v>125</v>
      </c>
      <c r="C27" s="1">
        <v>45752</v>
      </c>
      <c r="D27">
        <v>10</v>
      </c>
      <c r="E27">
        <v>10</v>
      </c>
      <c r="F27" s="11">
        <v>3915.9629999999997</v>
      </c>
    </row>
    <row r="28" spans="1:6" x14ac:dyDescent="0.2">
      <c r="A28">
        <v>27</v>
      </c>
      <c r="B28">
        <v>34</v>
      </c>
      <c r="C28" s="1">
        <v>45390</v>
      </c>
      <c r="D28">
        <v>50</v>
      </c>
      <c r="E28">
        <v>10</v>
      </c>
      <c r="F28" s="11">
        <v>1173.0510000000002</v>
      </c>
    </row>
    <row r="29" spans="1:6" x14ac:dyDescent="0.2">
      <c r="A29">
        <v>28</v>
      </c>
      <c r="B29">
        <v>7</v>
      </c>
      <c r="C29" s="1">
        <v>45596</v>
      </c>
      <c r="D29">
        <v>33</v>
      </c>
      <c r="E29">
        <v>4</v>
      </c>
      <c r="F29" s="11">
        <v>8030.2079999999987</v>
      </c>
    </row>
    <row r="30" spans="1:6" x14ac:dyDescent="0.2">
      <c r="A30">
        <v>29</v>
      </c>
      <c r="B30">
        <v>139</v>
      </c>
      <c r="C30" s="1">
        <v>45269</v>
      </c>
      <c r="D30">
        <v>36</v>
      </c>
      <c r="E30">
        <v>4</v>
      </c>
      <c r="F30" s="11">
        <v>2487.4367999999999</v>
      </c>
    </row>
    <row r="31" spans="1:6" x14ac:dyDescent="0.2">
      <c r="A31">
        <v>30</v>
      </c>
      <c r="B31">
        <v>56</v>
      </c>
      <c r="C31" s="1">
        <v>45165</v>
      </c>
      <c r="D31">
        <v>48</v>
      </c>
      <c r="E31">
        <v>7</v>
      </c>
      <c r="F31" s="11">
        <v>7423.0739999999996</v>
      </c>
    </row>
    <row r="32" spans="1:6" x14ac:dyDescent="0.2">
      <c r="A32">
        <v>31</v>
      </c>
      <c r="B32">
        <v>78</v>
      </c>
      <c r="C32" s="1">
        <v>45643</v>
      </c>
      <c r="D32">
        <v>13</v>
      </c>
      <c r="E32">
        <v>8</v>
      </c>
      <c r="F32" s="11">
        <v>796.48080000000004</v>
      </c>
    </row>
    <row r="33" spans="1:6" x14ac:dyDescent="0.2">
      <c r="A33">
        <v>32</v>
      </c>
      <c r="B33">
        <v>15</v>
      </c>
      <c r="C33" s="1">
        <v>45152</v>
      </c>
      <c r="D33">
        <v>11</v>
      </c>
      <c r="E33">
        <v>10</v>
      </c>
      <c r="F33" s="11">
        <v>4357.3319999999994</v>
      </c>
    </row>
    <row r="34" spans="1:6" x14ac:dyDescent="0.2">
      <c r="A34">
        <v>33</v>
      </c>
      <c r="B34">
        <v>15</v>
      </c>
      <c r="C34" s="1">
        <v>46020</v>
      </c>
      <c r="D34">
        <v>12</v>
      </c>
      <c r="E34">
        <v>10</v>
      </c>
      <c r="F34" s="11">
        <v>4357.3319999999994</v>
      </c>
    </row>
    <row r="35" spans="1:6" x14ac:dyDescent="0.2">
      <c r="A35">
        <v>34</v>
      </c>
      <c r="B35">
        <v>83</v>
      </c>
      <c r="C35" s="1">
        <v>46011</v>
      </c>
      <c r="D35">
        <v>33</v>
      </c>
      <c r="E35">
        <v>4</v>
      </c>
      <c r="F35" s="11">
        <v>3663.7727999999997</v>
      </c>
    </row>
    <row r="36" spans="1:6" x14ac:dyDescent="0.2">
      <c r="A36">
        <v>35</v>
      </c>
      <c r="B36">
        <v>150</v>
      </c>
      <c r="C36" s="1">
        <v>45872</v>
      </c>
      <c r="D36">
        <v>1</v>
      </c>
      <c r="E36">
        <v>6</v>
      </c>
      <c r="F36" s="11">
        <v>2152.3367999999996</v>
      </c>
    </row>
    <row r="37" spans="1:6" x14ac:dyDescent="0.2">
      <c r="A37">
        <v>36</v>
      </c>
      <c r="B37">
        <v>136</v>
      </c>
      <c r="C37" s="1">
        <v>45505</v>
      </c>
      <c r="D37">
        <v>45</v>
      </c>
      <c r="E37">
        <v>6</v>
      </c>
      <c r="F37" s="11">
        <v>4846.9877999999999</v>
      </c>
    </row>
    <row r="38" spans="1:6" x14ac:dyDescent="0.2">
      <c r="A38">
        <v>37</v>
      </c>
      <c r="B38">
        <v>64</v>
      </c>
      <c r="C38" s="1">
        <v>45341</v>
      </c>
      <c r="D38">
        <v>24</v>
      </c>
      <c r="E38">
        <v>10</v>
      </c>
      <c r="F38" s="11">
        <v>2880</v>
      </c>
    </row>
    <row r="39" spans="1:6" x14ac:dyDescent="0.2">
      <c r="A39">
        <v>38</v>
      </c>
      <c r="B39">
        <v>9</v>
      </c>
      <c r="C39" s="1">
        <v>45256</v>
      </c>
      <c r="D39">
        <v>10</v>
      </c>
      <c r="E39">
        <v>2</v>
      </c>
      <c r="F39" s="11">
        <v>2806.5729999999999</v>
      </c>
    </row>
    <row r="40" spans="1:6" x14ac:dyDescent="0.2">
      <c r="A40">
        <v>39</v>
      </c>
      <c r="B40">
        <v>24</v>
      </c>
      <c r="C40" s="1">
        <v>45792</v>
      </c>
      <c r="D40">
        <v>10</v>
      </c>
      <c r="E40">
        <v>5</v>
      </c>
      <c r="F40" s="11">
        <v>3796.694</v>
      </c>
    </row>
    <row r="41" spans="1:6" x14ac:dyDescent="0.2">
      <c r="A41">
        <v>40</v>
      </c>
      <c r="B41">
        <v>64</v>
      </c>
      <c r="C41" s="1">
        <v>45639</v>
      </c>
      <c r="D41">
        <v>22</v>
      </c>
      <c r="E41">
        <v>10</v>
      </c>
      <c r="F41" s="11">
        <v>2880</v>
      </c>
    </row>
    <row r="42" spans="1:6" x14ac:dyDescent="0.2">
      <c r="A42">
        <v>41</v>
      </c>
      <c r="B42">
        <v>10</v>
      </c>
      <c r="C42" s="1">
        <v>45534</v>
      </c>
      <c r="D42">
        <v>27</v>
      </c>
      <c r="E42">
        <v>6</v>
      </c>
      <c r="F42" s="11">
        <v>2629.4525999999996</v>
      </c>
    </row>
    <row r="43" spans="1:6" x14ac:dyDescent="0.2">
      <c r="A43">
        <v>42</v>
      </c>
      <c r="B43">
        <v>112</v>
      </c>
      <c r="C43" s="1">
        <v>45716</v>
      </c>
      <c r="D43">
        <v>27</v>
      </c>
      <c r="E43">
        <v>10</v>
      </c>
      <c r="F43" s="11">
        <v>2460.9690000000001</v>
      </c>
    </row>
    <row r="44" spans="1:6" x14ac:dyDescent="0.2">
      <c r="A44">
        <v>43</v>
      </c>
      <c r="B44">
        <v>6</v>
      </c>
      <c r="C44" s="1">
        <v>45612</v>
      </c>
      <c r="D44">
        <v>50</v>
      </c>
      <c r="E44">
        <v>3</v>
      </c>
      <c r="F44" s="11">
        <v>4001.4246000000003</v>
      </c>
    </row>
    <row r="45" spans="1:6" x14ac:dyDescent="0.2">
      <c r="A45">
        <v>44</v>
      </c>
      <c r="B45">
        <v>91</v>
      </c>
      <c r="C45" s="1">
        <v>44961</v>
      </c>
      <c r="D45">
        <v>24</v>
      </c>
      <c r="E45">
        <v>9</v>
      </c>
      <c r="F45" s="11">
        <v>2878.33</v>
      </c>
    </row>
    <row r="46" spans="1:6" x14ac:dyDescent="0.2">
      <c r="A46">
        <v>45</v>
      </c>
      <c r="B46">
        <v>60</v>
      </c>
      <c r="C46" s="1">
        <v>45910</v>
      </c>
      <c r="D46">
        <v>4</v>
      </c>
      <c r="E46">
        <v>9</v>
      </c>
      <c r="F46" s="11">
        <v>2523.0751</v>
      </c>
    </row>
    <row r="47" spans="1:6" x14ac:dyDescent="0.2">
      <c r="A47">
        <v>46</v>
      </c>
      <c r="B47">
        <v>125</v>
      </c>
      <c r="C47" s="1">
        <v>45362</v>
      </c>
      <c r="D47">
        <v>14</v>
      </c>
      <c r="E47">
        <v>7</v>
      </c>
      <c r="F47" s="11">
        <v>4046.4950999999996</v>
      </c>
    </row>
    <row r="48" spans="1:6" x14ac:dyDescent="0.2">
      <c r="A48">
        <v>47</v>
      </c>
      <c r="B48">
        <v>147</v>
      </c>
      <c r="C48" s="1">
        <v>45306</v>
      </c>
      <c r="D48">
        <v>17</v>
      </c>
      <c r="E48">
        <v>4</v>
      </c>
      <c r="F48" s="11">
        <v>4400.9471999999996</v>
      </c>
    </row>
    <row r="49" spans="1:6" x14ac:dyDescent="0.2">
      <c r="A49">
        <v>48</v>
      </c>
      <c r="B49">
        <v>78</v>
      </c>
      <c r="C49" s="1">
        <v>45411</v>
      </c>
      <c r="D49">
        <v>3</v>
      </c>
      <c r="E49">
        <v>7</v>
      </c>
      <c r="F49" s="11">
        <v>805.13819999999998</v>
      </c>
    </row>
    <row r="50" spans="1:6" x14ac:dyDescent="0.2">
      <c r="A50">
        <v>49</v>
      </c>
      <c r="B50">
        <v>138</v>
      </c>
      <c r="C50" s="1">
        <v>45785</v>
      </c>
      <c r="D50">
        <v>42</v>
      </c>
      <c r="E50">
        <v>10</v>
      </c>
      <c r="F50" s="11">
        <v>2782.3409999999999</v>
      </c>
    </row>
    <row r="51" spans="1:6" x14ac:dyDescent="0.2">
      <c r="A51">
        <v>50</v>
      </c>
      <c r="B51">
        <v>25</v>
      </c>
      <c r="C51" s="1">
        <v>45297</v>
      </c>
      <c r="D51">
        <v>11</v>
      </c>
      <c r="E51">
        <v>4</v>
      </c>
      <c r="F51" s="11">
        <v>545.44319999999993</v>
      </c>
    </row>
    <row r="52" spans="1:6" x14ac:dyDescent="0.2">
      <c r="A52">
        <v>51</v>
      </c>
      <c r="B52">
        <v>86</v>
      </c>
      <c r="C52" s="1">
        <v>45060</v>
      </c>
      <c r="D52">
        <v>4</v>
      </c>
      <c r="E52">
        <v>3</v>
      </c>
      <c r="F52" s="11">
        <v>3029.2226999999998</v>
      </c>
    </row>
    <row r="53" spans="1:6" x14ac:dyDescent="0.2">
      <c r="A53">
        <v>52</v>
      </c>
      <c r="B53">
        <v>133</v>
      </c>
      <c r="C53" s="1">
        <v>45465</v>
      </c>
      <c r="D53">
        <v>22</v>
      </c>
      <c r="E53">
        <v>8</v>
      </c>
      <c r="F53" s="11">
        <v>6076.5079999999998</v>
      </c>
    </row>
    <row r="54" spans="1:6" x14ac:dyDescent="0.2">
      <c r="A54">
        <v>53</v>
      </c>
      <c r="B54">
        <v>63</v>
      </c>
      <c r="C54" s="1">
        <v>45937</v>
      </c>
      <c r="D54">
        <v>38</v>
      </c>
      <c r="E54">
        <v>4</v>
      </c>
      <c r="F54" s="11">
        <v>6721.6992</v>
      </c>
    </row>
    <row r="55" spans="1:6" x14ac:dyDescent="0.2">
      <c r="A55">
        <v>54</v>
      </c>
      <c r="B55">
        <v>85</v>
      </c>
      <c r="C55" s="1">
        <v>45466</v>
      </c>
      <c r="D55">
        <v>21</v>
      </c>
      <c r="E55">
        <v>6</v>
      </c>
      <c r="F55" s="11">
        <v>3527.8481999999999</v>
      </c>
    </row>
    <row r="56" spans="1:6" x14ac:dyDescent="0.2">
      <c r="A56">
        <v>55</v>
      </c>
      <c r="B56">
        <v>59</v>
      </c>
      <c r="C56" s="1">
        <v>45049</v>
      </c>
      <c r="D56">
        <v>26</v>
      </c>
      <c r="E56">
        <v>4</v>
      </c>
      <c r="F56" s="11">
        <v>3984.4895999999999</v>
      </c>
    </row>
    <row r="57" spans="1:6" x14ac:dyDescent="0.2">
      <c r="A57">
        <v>56</v>
      </c>
      <c r="B57">
        <v>104</v>
      </c>
      <c r="C57" s="1">
        <v>45637</v>
      </c>
      <c r="D57">
        <v>34</v>
      </c>
      <c r="E57">
        <v>7</v>
      </c>
      <c r="F57" s="11">
        <v>3007.2015000000001</v>
      </c>
    </row>
    <row r="58" spans="1:6" x14ac:dyDescent="0.2">
      <c r="A58">
        <v>57</v>
      </c>
      <c r="B58">
        <v>119</v>
      </c>
      <c r="C58" s="1">
        <v>44934</v>
      </c>
      <c r="D58">
        <v>27</v>
      </c>
      <c r="E58">
        <v>7</v>
      </c>
      <c r="F58" s="11">
        <v>1805.9763</v>
      </c>
    </row>
    <row r="59" spans="1:6" x14ac:dyDescent="0.2">
      <c r="A59">
        <v>58</v>
      </c>
      <c r="B59">
        <v>18</v>
      </c>
      <c r="C59" s="1">
        <v>45638</v>
      </c>
      <c r="D59">
        <v>40</v>
      </c>
      <c r="E59">
        <v>9</v>
      </c>
      <c r="F59" s="11">
        <v>7676.714500000001</v>
      </c>
    </row>
    <row r="60" spans="1:6" x14ac:dyDescent="0.2">
      <c r="A60">
        <v>59</v>
      </c>
      <c r="B60">
        <v>94</v>
      </c>
      <c r="C60" s="1">
        <v>44990</v>
      </c>
      <c r="D60">
        <v>15</v>
      </c>
      <c r="E60">
        <v>10</v>
      </c>
      <c r="F60" s="11">
        <v>4187.5019999999995</v>
      </c>
    </row>
    <row r="61" spans="1:6" x14ac:dyDescent="0.2">
      <c r="A61">
        <v>60</v>
      </c>
      <c r="B61">
        <v>55</v>
      </c>
      <c r="C61" s="1">
        <v>45549</v>
      </c>
      <c r="D61">
        <v>19</v>
      </c>
      <c r="E61">
        <v>4</v>
      </c>
      <c r="F61" s="11">
        <v>925.71839999999997</v>
      </c>
    </row>
    <row r="62" spans="1:6" x14ac:dyDescent="0.2">
      <c r="A62">
        <v>61</v>
      </c>
      <c r="B62">
        <v>77</v>
      </c>
      <c r="C62" s="1">
        <v>45150</v>
      </c>
      <c r="D62">
        <v>45</v>
      </c>
      <c r="E62">
        <v>10</v>
      </c>
      <c r="F62" s="11">
        <v>1805.3820000000001</v>
      </c>
    </row>
    <row r="63" spans="1:6" x14ac:dyDescent="0.2">
      <c r="A63">
        <v>62</v>
      </c>
      <c r="B63">
        <v>39</v>
      </c>
      <c r="C63" s="1">
        <v>45320</v>
      </c>
      <c r="D63">
        <v>43</v>
      </c>
      <c r="E63">
        <v>2</v>
      </c>
      <c r="F63" s="11">
        <v>3143.4283999999998</v>
      </c>
    </row>
    <row r="64" spans="1:6" x14ac:dyDescent="0.2">
      <c r="A64">
        <v>63</v>
      </c>
      <c r="B64">
        <v>54</v>
      </c>
      <c r="C64" s="1">
        <v>45591</v>
      </c>
      <c r="D64">
        <v>21</v>
      </c>
      <c r="E64">
        <v>4</v>
      </c>
      <c r="F64" s="11">
        <v>892.36799999999994</v>
      </c>
    </row>
    <row r="65" spans="1:6" x14ac:dyDescent="0.2">
      <c r="A65">
        <v>64</v>
      </c>
      <c r="B65">
        <v>103</v>
      </c>
      <c r="C65" s="1">
        <v>45533</v>
      </c>
      <c r="D65">
        <v>6</v>
      </c>
      <c r="E65">
        <v>10</v>
      </c>
      <c r="F65" s="11">
        <v>5772.6450000000004</v>
      </c>
    </row>
    <row r="66" spans="1:6" x14ac:dyDescent="0.2">
      <c r="A66">
        <v>65</v>
      </c>
      <c r="B66">
        <v>125</v>
      </c>
      <c r="C66" s="1">
        <v>45692</v>
      </c>
      <c r="D66">
        <v>24</v>
      </c>
      <c r="E66">
        <v>4</v>
      </c>
      <c r="F66" s="11">
        <v>4177.0271999999995</v>
      </c>
    </row>
    <row r="67" spans="1:6" x14ac:dyDescent="0.2">
      <c r="A67">
        <v>66</v>
      </c>
      <c r="B67">
        <v>95</v>
      </c>
      <c r="C67" s="1">
        <v>45994</v>
      </c>
      <c r="D67">
        <v>21</v>
      </c>
      <c r="E67">
        <v>4</v>
      </c>
      <c r="F67" s="11">
        <v>6689.9232000000002</v>
      </c>
    </row>
    <row r="68" spans="1:6" x14ac:dyDescent="0.2">
      <c r="A68">
        <v>67</v>
      </c>
      <c r="B68">
        <v>31</v>
      </c>
      <c r="C68" s="1">
        <v>45664</v>
      </c>
      <c r="D68">
        <v>50</v>
      </c>
      <c r="E68">
        <v>8</v>
      </c>
      <c r="F68" s="11">
        <v>941.38080000000002</v>
      </c>
    </row>
    <row r="69" spans="1:6" x14ac:dyDescent="0.2">
      <c r="A69">
        <v>68</v>
      </c>
      <c r="B69">
        <v>68</v>
      </c>
      <c r="C69" s="1">
        <v>45397</v>
      </c>
      <c r="D69">
        <v>13</v>
      </c>
      <c r="E69">
        <v>2</v>
      </c>
      <c r="F69" s="11">
        <v>5922.6201999999994</v>
      </c>
    </row>
    <row r="70" spans="1:6" x14ac:dyDescent="0.2">
      <c r="A70">
        <v>69</v>
      </c>
      <c r="B70">
        <v>71</v>
      </c>
      <c r="C70" s="1">
        <v>45482</v>
      </c>
      <c r="D70">
        <v>44</v>
      </c>
      <c r="E70">
        <v>5</v>
      </c>
      <c r="F70" s="11">
        <v>4684.6970000000001</v>
      </c>
    </row>
    <row r="71" spans="1:6" x14ac:dyDescent="0.2">
      <c r="A71">
        <v>70</v>
      </c>
      <c r="B71">
        <v>57</v>
      </c>
      <c r="C71" s="1">
        <v>45938</v>
      </c>
      <c r="D71">
        <v>19</v>
      </c>
      <c r="E71">
        <v>5</v>
      </c>
      <c r="F71" s="11">
        <v>6471.1624999999995</v>
      </c>
    </row>
    <row r="72" spans="1:6" x14ac:dyDescent="0.2">
      <c r="A72">
        <v>71</v>
      </c>
      <c r="B72">
        <v>29</v>
      </c>
      <c r="C72" s="1">
        <v>45294</v>
      </c>
      <c r="D72">
        <v>18</v>
      </c>
      <c r="E72">
        <v>2</v>
      </c>
      <c r="F72" s="11">
        <v>7323.54</v>
      </c>
    </row>
    <row r="73" spans="1:6" x14ac:dyDescent="0.2">
      <c r="A73">
        <v>72</v>
      </c>
      <c r="B73">
        <v>40</v>
      </c>
      <c r="C73" s="1">
        <v>45567</v>
      </c>
      <c r="D73">
        <v>7</v>
      </c>
      <c r="E73">
        <v>5</v>
      </c>
      <c r="F73" s="11">
        <v>467.65649999999994</v>
      </c>
    </row>
    <row r="74" spans="1:6" x14ac:dyDescent="0.2">
      <c r="A74">
        <v>73</v>
      </c>
      <c r="B74">
        <v>36</v>
      </c>
      <c r="C74" s="1">
        <v>45473</v>
      </c>
      <c r="D74">
        <v>33</v>
      </c>
      <c r="E74">
        <v>3</v>
      </c>
      <c r="F74" s="11">
        <v>142.97800000000001</v>
      </c>
    </row>
    <row r="75" spans="1:6" x14ac:dyDescent="0.2">
      <c r="A75">
        <v>74</v>
      </c>
      <c r="B75">
        <v>136</v>
      </c>
      <c r="C75" s="1">
        <v>45911</v>
      </c>
      <c r="D75">
        <v>50</v>
      </c>
      <c r="E75">
        <v>7</v>
      </c>
      <c r="F75" s="11">
        <v>4795.4240999999993</v>
      </c>
    </row>
    <row r="76" spans="1:6" x14ac:dyDescent="0.2">
      <c r="A76">
        <v>75</v>
      </c>
      <c r="B76">
        <v>116</v>
      </c>
      <c r="C76" s="1">
        <v>45828</v>
      </c>
      <c r="D76">
        <v>30</v>
      </c>
      <c r="E76">
        <v>9</v>
      </c>
      <c r="F76" s="11">
        <v>2150.4665</v>
      </c>
    </row>
    <row r="77" spans="1:6" x14ac:dyDescent="0.2">
      <c r="A77">
        <v>76</v>
      </c>
      <c r="B77">
        <v>126</v>
      </c>
      <c r="C77" s="1">
        <v>44937</v>
      </c>
      <c r="D77">
        <v>40</v>
      </c>
      <c r="E77">
        <v>9</v>
      </c>
      <c r="F77" s="11">
        <v>922.03930000000003</v>
      </c>
    </row>
    <row r="78" spans="1:6" x14ac:dyDescent="0.2">
      <c r="A78">
        <v>77</v>
      </c>
      <c r="B78">
        <v>46</v>
      </c>
      <c r="C78" s="1">
        <v>44966</v>
      </c>
      <c r="D78">
        <v>48</v>
      </c>
      <c r="E78">
        <v>5</v>
      </c>
      <c r="F78" s="11">
        <v>1537.7270000000001</v>
      </c>
    </row>
    <row r="79" spans="1:6" x14ac:dyDescent="0.2">
      <c r="A79">
        <v>78</v>
      </c>
      <c r="B79">
        <v>20</v>
      </c>
      <c r="C79" s="1">
        <v>45184</v>
      </c>
      <c r="D79">
        <v>1</v>
      </c>
      <c r="E79">
        <v>4</v>
      </c>
      <c r="F79" s="11">
        <v>2909.9327999999996</v>
      </c>
    </row>
    <row r="80" spans="1:6" x14ac:dyDescent="0.2">
      <c r="A80">
        <v>79</v>
      </c>
      <c r="B80">
        <v>4</v>
      </c>
      <c r="C80" s="1">
        <v>45594</v>
      </c>
      <c r="D80">
        <v>41</v>
      </c>
      <c r="E80">
        <v>4</v>
      </c>
      <c r="F80" s="11">
        <v>6801.9647999999997</v>
      </c>
    </row>
    <row r="81" spans="1:6" x14ac:dyDescent="0.2">
      <c r="A81">
        <v>80</v>
      </c>
      <c r="B81">
        <v>90</v>
      </c>
      <c r="C81" s="1">
        <v>45884</v>
      </c>
      <c r="D81">
        <v>33</v>
      </c>
      <c r="E81">
        <v>10</v>
      </c>
      <c r="F81" s="11">
        <v>1239.039</v>
      </c>
    </row>
    <row r="82" spans="1:6" x14ac:dyDescent="0.2">
      <c r="A82">
        <v>81</v>
      </c>
      <c r="B82">
        <v>76</v>
      </c>
      <c r="C82" s="1">
        <v>45241</v>
      </c>
      <c r="D82">
        <v>15</v>
      </c>
      <c r="E82">
        <v>2</v>
      </c>
      <c r="F82" s="11">
        <v>3004.2586000000001</v>
      </c>
    </row>
    <row r="83" spans="1:6" x14ac:dyDescent="0.2">
      <c r="A83">
        <v>82</v>
      </c>
      <c r="B83">
        <v>20</v>
      </c>
      <c r="C83" s="1">
        <v>45404</v>
      </c>
      <c r="D83">
        <v>37</v>
      </c>
      <c r="E83">
        <v>9</v>
      </c>
      <c r="F83" s="11">
        <v>2758.3737999999998</v>
      </c>
    </row>
    <row r="84" spans="1:6" x14ac:dyDescent="0.2">
      <c r="A84">
        <v>83</v>
      </c>
      <c r="B84">
        <v>29</v>
      </c>
      <c r="C84" s="1">
        <v>45888</v>
      </c>
      <c r="D84">
        <v>29</v>
      </c>
      <c r="E84">
        <v>2</v>
      </c>
      <c r="F84" s="11">
        <v>7323.54</v>
      </c>
    </row>
    <row r="85" spans="1:6" x14ac:dyDescent="0.2">
      <c r="A85">
        <v>84</v>
      </c>
      <c r="B85">
        <v>2</v>
      </c>
      <c r="C85" s="1">
        <v>45253</v>
      </c>
      <c r="D85">
        <v>21</v>
      </c>
      <c r="E85">
        <v>3</v>
      </c>
      <c r="F85" s="11">
        <v>4292.0365999999995</v>
      </c>
    </row>
    <row r="86" spans="1:6" x14ac:dyDescent="0.2">
      <c r="A86">
        <v>85</v>
      </c>
      <c r="B86">
        <v>7</v>
      </c>
      <c r="C86" s="1">
        <v>45241</v>
      </c>
      <c r="D86">
        <v>20</v>
      </c>
      <c r="E86">
        <v>4</v>
      </c>
      <c r="F86" s="11">
        <v>8030.2079999999987</v>
      </c>
    </row>
    <row r="87" spans="1:6" x14ac:dyDescent="0.2">
      <c r="A87">
        <v>86</v>
      </c>
      <c r="B87">
        <v>150</v>
      </c>
      <c r="C87" s="1">
        <v>45060</v>
      </c>
      <c r="D87">
        <v>22</v>
      </c>
      <c r="E87">
        <v>8</v>
      </c>
      <c r="F87" s="11">
        <v>2106.5423999999998</v>
      </c>
    </row>
    <row r="88" spans="1:6" x14ac:dyDescent="0.2">
      <c r="A88">
        <v>87</v>
      </c>
      <c r="B88">
        <v>72</v>
      </c>
      <c r="C88" s="1">
        <v>46009</v>
      </c>
      <c r="D88">
        <v>13</v>
      </c>
      <c r="E88">
        <v>4</v>
      </c>
      <c r="F88" s="11">
        <v>5569.3439999999991</v>
      </c>
    </row>
    <row r="89" spans="1:6" x14ac:dyDescent="0.2">
      <c r="A89">
        <v>88</v>
      </c>
      <c r="B89">
        <v>36</v>
      </c>
      <c r="C89" s="1">
        <v>45615</v>
      </c>
      <c r="D89">
        <v>19</v>
      </c>
      <c r="E89">
        <v>8</v>
      </c>
      <c r="F89" s="11">
        <v>135.608</v>
      </c>
    </row>
    <row r="90" spans="1:6" x14ac:dyDescent="0.2">
      <c r="A90">
        <v>89</v>
      </c>
      <c r="B90">
        <v>93</v>
      </c>
      <c r="C90" s="1">
        <v>45181</v>
      </c>
      <c r="D90">
        <v>10</v>
      </c>
      <c r="E90">
        <v>5</v>
      </c>
      <c r="F90" s="11">
        <v>7279.441499999999</v>
      </c>
    </row>
    <row r="91" spans="1:6" x14ac:dyDescent="0.2">
      <c r="A91">
        <v>90</v>
      </c>
      <c r="B91">
        <v>21</v>
      </c>
      <c r="C91" s="1">
        <v>45685</v>
      </c>
      <c r="D91">
        <v>37</v>
      </c>
      <c r="E91">
        <v>9</v>
      </c>
      <c r="F91" s="11">
        <v>2620.1630000000005</v>
      </c>
    </row>
    <row r="92" spans="1:6" x14ac:dyDescent="0.2">
      <c r="A92">
        <v>91</v>
      </c>
      <c r="B92">
        <v>129</v>
      </c>
      <c r="C92" s="1">
        <v>45411</v>
      </c>
      <c r="D92">
        <v>49</v>
      </c>
      <c r="E92">
        <v>3</v>
      </c>
      <c r="F92" s="11">
        <v>1223.4222</v>
      </c>
    </row>
    <row r="93" spans="1:6" x14ac:dyDescent="0.2">
      <c r="A93">
        <v>92</v>
      </c>
      <c r="B93">
        <v>6</v>
      </c>
      <c r="C93" s="1">
        <v>45525</v>
      </c>
      <c r="D93">
        <v>32</v>
      </c>
      <c r="E93">
        <v>10</v>
      </c>
      <c r="F93" s="11">
        <v>3712.6620000000003</v>
      </c>
    </row>
    <row r="94" spans="1:6" x14ac:dyDescent="0.2">
      <c r="A94">
        <v>93</v>
      </c>
      <c r="B94">
        <v>45</v>
      </c>
      <c r="C94" s="1">
        <v>45617</v>
      </c>
      <c r="D94">
        <v>14</v>
      </c>
      <c r="E94">
        <v>8</v>
      </c>
      <c r="F94" s="11">
        <v>4900.278800000001</v>
      </c>
    </row>
    <row r="95" spans="1:6" x14ac:dyDescent="0.2">
      <c r="A95">
        <v>94</v>
      </c>
      <c r="B95">
        <v>27</v>
      </c>
      <c r="C95" s="1">
        <v>45810</v>
      </c>
      <c r="D95">
        <v>49</v>
      </c>
      <c r="E95">
        <v>4</v>
      </c>
      <c r="F95" s="11">
        <v>1557.9839999999999</v>
      </c>
    </row>
    <row r="96" spans="1:6" x14ac:dyDescent="0.2">
      <c r="A96">
        <v>95</v>
      </c>
      <c r="B96">
        <v>28</v>
      </c>
      <c r="C96" s="1">
        <v>44967</v>
      </c>
      <c r="D96">
        <v>34</v>
      </c>
      <c r="E96">
        <v>10</v>
      </c>
      <c r="F96" s="11">
        <v>5144.9579999999996</v>
      </c>
    </row>
    <row r="97" spans="1:6" x14ac:dyDescent="0.2">
      <c r="A97">
        <v>96</v>
      </c>
      <c r="B97">
        <v>115</v>
      </c>
      <c r="C97" s="1">
        <v>45915</v>
      </c>
      <c r="D97">
        <v>49</v>
      </c>
      <c r="E97">
        <v>2</v>
      </c>
      <c r="F97" s="11">
        <v>4597.4543999999996</v>
      </c>
    </row>
    <row r="98" spans="1:6" x14ac:dyDescent="0.2">
      <c r="A98">
        <v>97</v>
      </c>
      <c r="B98">
        <v>104</v>
      </c>
      <c r="C98" s="1">
        <v>45072</v>
      </c>
      <c r="D98">
        <v>49</v>
      </c>
      <c r="E98">
        <v>8</v>
      </c>
      <c r="F98" s="11">
        <v>2974.8660000000004</v>
      </c>
    </row>
    <row r="99" spans="1:6" x14ac:dyDescent="0.2">
      <c r="A99">
        <v>98</v>
      </c>
      <c r="B99">
        <v>41</v>
      </c>
      <c r="C99" s="1">
        <v>45933</v>
      </c>
      <c r="D99">
        <v>29</v>
      </c>
      <c r="E99">
        <v>2</v>
      </c>
      <c r="F99" s="11">
        <v>3019.8405999999995</v>
      </c>
    </row>
    <row r="100" spans="1:6" x14ac:dyDescent="0.2">
      <c r="A100">
        <v>99</v>
      </c>
      <c r="B100">
        <v>97</v>
      </c>
      <c r="C100" s="1">
        <v>45875</v>
      </c>
      <c r="D100">
        <v>43</v>
      </c>
      <c r="E100">
        <v>10</v>
      </c>
      <c r="F100" s="11">
        <v>829.476</v>
      </c>
    </row>
    <row r="101" spans="1:6" x14ac:dyDescent="0.2">
      <c r="A101">
        <v>100</v>
      </c>
      <c r="B101">
        <v>32</v>
      </c>
      <c r="C101" s="1">
        <v>45160</v>
      </c>
      <c r="D101">
        <v>36</v>
      </c>
      <c r="E101">
        <v>10</v>
      </c>
      <c r="F101" s="11">
        <v>854.06400000000008</v>
      </c>
    </row>
    <row r="102" spans="1:6" x14ac:dyDescent="0.2">
      <c r="A102">
        <v>101</v>
      </c>
      <c r="B102">
        <v>104</v>
      </c>
      <c r="C102" s="1">
        <v>45005</v>
      </c>
      <c r="D102">
        <v>44</v>
      </c>
      <c r="E102">
        <v>3</v>
      </c>
      <c r="F102" s="11">
        <v>3136.5435000000002</v>
      </c>
    </row>
    <row r="103" spans="1:6" x14ac:dyDescent="0.2">
      <c r="A103">
        <v>102</v>
      </c>
      <c r="B103">
        <v>106</v>
      </c>
      <c r="C103" s="1">
        <v>45495</v>
      </c>
      <c r="D103">
        <v>50</v>
      </c>
      <c r="E103">
        <v>5</v>
      </c>
      <c r="F103" s="11">
        <v>1362.3284999999998</v>
      </c>
    </row>
    <row r="104" spans="1:6" x14ac:dyDescent="0.2">
      <c r="A104">
        <v>103</v>
      </c>
      <c r="B104">
        <v>76</v>
      </c>
      <c r="C104" s="1">
        <v>45419</v>
      </c>
      <c r="D104">
        <v>48</v>
      </c>
      <c r="E104">
        <v>4</v>
      </c>
      <c r="F104" s="11">
        <v>2942.9472000000001</v>
      </c>
    </row>
    <row r="105" spans="1:6" x14ac:dyDescent="0.2">
      <c r="A105">
        <v>104</v>
      </c>
      <c r="B105">
        <v>22</v>
      </c>
      <c r="C105" s="1">
        <v>45558</v>
      </c>
      <c r="D105">
        <v>41</v>
      </c>
      <c r="E105">
        <v>6</v>
      </c>
      <c r="F105" s="11">
        <v>1536.4299999999998</v>
      </c>
    </row>
    <row r="106" spans="1:6" x14ac:dyDescent="0.2">
      <c r="A106">
        <v>105</v>
      </c>
      <c r="B106">
        <v>126</v>
      </c>
      <c r="C106" s="1">
        <v>45975</v>
      </c>
      <c r="D106">
        <v>47</v>
      </c>
      <c r="E106">
        <v>7</v>
      </c>
      <c r="F106" s="11">
        <v>942.3039</v>
      </c>
    </row>
    <row r="107" spans="1:6" x14ac:dyDescent="0.2">
      <c r="A107">
        <v>106</v>
      </c>
      <c r="B107">
        <v>93</v>
      </c>
      <c r="C107" s="1">
        <v>45660</v>
      </c>
      <c r="D107">
        <v>2</v>
      </c>
      <c r="E107">
        <v>5</v>
      </c>
      <c r="F107" s="11">
        <v>7279.441499999999</v>
      </c>
    </row>
    <row r="108" spans="1:6" x14ac:dyDescent="0.2">
      <c r="A108">
        <v>107</v>
      </c>
      <c r="B108">
        <v>104</v>
      </c>
      <c r="C108" s="1">
        <v>45924</v>
      </c>
      <c r="D108">
        <v>35</v>
      </c>
      <c r="E108">
        <v>4</v>
      </c>
      <c r="F108" s="11">
        <v>3104.2080000000001</v>
      </c>
    </row>
    <row r="109" spans="1:6" x14ac:dyDescent="0.2">
      <c r="A109">
        <v>108</v>
      </c>
      <c r="B109">
        <v>52</v>
      </c>
      <c r="C109" s="1">
        <v>45352</v>
      </c>
      <c r="D109">
        <v>5</v>
      </c>
      <c r="E109">
        <v>3</v>
      </c>
      <c r="F109" s="11">
        <v>4325.4045999999998</v>
      </c>
    </row>
    <row r="110" spans="1:6" x14ac:dyDescent="0.2">
      <c r="A110">
        <v>109</v>
      </c>
      <c r="B110">
        <v>83</v>
      </c>
      <c r="C110" s="1">
        <v>45801</v>
      </c>
      <c r="D110">
        <v>32</v>
      </c>
      <c r="E110">
        <v>4</v>
      </c>
      <c r="F110" s="11">
        <v>3663.7727999999997</v>
      </c>
    </row>
    <row r="111" spans="1:6" x14ac:dyDescent="0.2">
      <c r="A111">
        <v>110</v>
      </c>
      <c r="B111">
        <v>67</v>
      </c>
      <c r="C111" s="1">
        <v>44958</v>
      </c>
      <c r="D111">
        <v>27</v>
      </c>
      <c r="E111">
        <v>2</v>
      </c>
      <c r="F111" s="11">
        <v>1127.6958</v>
      </c>
    </row>
    <row r="112" spans="1:6" x14ac:dyDescent="0.2">
      <c r="A112">
        <v>111</v>
      </c>
      <c r="B112">
        <v>97</v>
      </c>
      <c r="C112" s="1">
        <v>45966</v>
      </c>
      <c r="D112">
        <v>26</v>
      </c>
      <c r="E112">
        <v>7</v>
      </c>
      <c r="F112" s="11">
        <v>857.12519999999995</v>
      </c>
    </row>
    <row r="113" spans="1:6" x14ac:dyDescent="0.2">
      <c r="A113">
        <v>112</v>
      </c>
      <c r="B113">
        <v>48</v>
      </c>
      <c r="C113" s="1">
        <v>45967</v>
      </c>
      <c r="D113">
        <v>34</v>
      </c>
      <c r="E113">
        <v>7</v>
      </c>
      <c r="F113" s="11">
        <v>3430.0910999999996</v>
      </c>
    </row>
    <row r="114" spans="1:6" x14ac:dyDescent="0.2">
      <c r="A114">
        <v>113</v>
      </c>
      <c r="B114">
        <v>144</v>
      </c>
      <c r="C114" s="1">
        <v>45676</v>
      </c>
      <c r="D114">
        <v>28</v>
      </c>
      <c r="E114">
        <v>2</v>
      </c>
      <c r="F114" s="11">
        <v>1546.6556</v>
      </c>
    </row>
    <row r="115" spans="1:6" x14ac:dyDescent="0.2">
      <c r="A115">
        <v>114</v>
      </c>
      <c r="B115">
        <v>74</v>
      </c>
      <c r="C115" s="1">
        <v>45389</v>
      </c>
      <c r="D115">
        <v>38</v>
      </c>
      <c r="E115">
        <v>2</v>
      </c>
      <c r="F115" s="11">
        <v>1867.1058</v>
      </c>
    </row>
    <row r="116" spans="1:6" x14ac:dyDescent="0.2">
      <c r="A116">
        <v>115</v>
      </c>
      <c r="B116">
        <v>139</v>
      </c>
      <c r="C116" s="1">
        <v>45704</v>
      </c>
      <c r="D116">
        <v>41</v>
      </c>
      <c r="E116">
        <v>3</v>
      </c>
      <c r="F116" s="11">
        <v>2513.3476000000001</v>
      </c>
    </row>
    <row r="117" spans="1:6" x14ac:dyDescent="0.2">
      <c r="A117">
        <v>116</v>
      </c>
      <c r="B117">
        <v>62</v>
      </c>
      <c r="C117" s="1">
        <v>45158</v>
      </c>
      <c r="D117">
        <v>2</v>
      </c>
      <c r="E117">
        <v>9</v>
      </c>
      <c r="F117" s="11">
        <v>3146.7254000000003</v>
      </c>
    </row>
    <row r="118" spans="1:6" x14ac:dyDescent="0.2">
      <c r="A118">
        <v>117</v>
      </c>
      <c r="B118">
        <v>63</v>
      </c>
      <c r="C118" s="1">
        <v>45363</v>
      </c>
      <c r="D118">
        <v>4</v>
      </c>
      <c r="E118">
        <v>3</v>
      </c>
      <c r="F118" s="11">
        <v>6791.7169000000004</v>
      </c>
    </row>
    <row r="119" spans="1:6" x14ac:dyDescent="0.2">
      <c r="A119">
        <v>118</v>
      </c>
      <c r="B119">
        <v>125</v>
      </c>
      <c r="C119" s="1">
        <v>45995</v>
      </c>
      <c r="D119">
        <v>45</v>
      </c>
      <c r="E119">
        <v>9</v>
      </c>
      <c r="F119" s="11">
        <v>3959.4737</v>
      </c>
    </row>
    <row r="120" spans="1:6" x14ac:dyDescent="0.2">
      <c r="A120">
        <v>119</v>
      </c>
      <c r="B120">
        <v>84</v>
      </c>
      <c r="C120" s="1">
        <v>45068</v>
      </c>
      <c r="D120">
        <v>2</v>
      </c>
      <c r="E120">
        <v>3</v>
      </c>
      <c r="F120" s="11">
        <v>7527.3552</v>
      </c>
    </row>
    <row r="121" spans="1:6" x14ac:dyDescent="0.2">
      <c r="A121">
        <v>120</v>
      </c>
      <c r="B121">
        <v>66</v>
      </c>
      <c r="C121" s="1">
        <v>45555</v>
      </c>
      <c r="D121">
        <v>6</v>
      </c>
      <c r="E121">
        <v>8</v>
      </c>
      <c r="F121" s="11">
        <v>5359.0092000000004</v>
      </c>
    </row>
    <row r="122" spans="1:6" x14ac:dyDescent="0.2">
      <c r="A122">
        <v>121</v>
      </c>
      <c r="B122">
        <v>64</v>
      </c>
      <c r="C122" s="1">
        <v>45583</v>
      </c>
      <c r="D122">
        <v>24</v>
      </c>
      <c r="E122">
        <v>6</v>
      </c>
      <c r="F122" s="11">
        <v>3008</v>
      </c>
    </row>
    <row r="123" spans="1:6" x14ac:dyDescent="0.2">
      <c r="A123">
        <v>122</v>
      </c>
      <c r="B123">
        <v>63</v>
      </c>
      <c r="C123" s="1">
        <v>45470</v>
      </c>
      <c r="D123">
        <v>47</v>
      </c>
      <c r="E123">
        <v>9</v>
      </c>
      <c r="F123" s="11">
        <v>6371.6107000000002</v>
      </c>
    </row>
    <row r="124" spans="1:6" x14ac:dyDescent="0.2">
      <c r="A124">
        <v>123</v>
      </c>
      <c r="B124">
        <v>108</v>
      </c>
      <c r="C124" s="1">
        <v>45641</v>
      </c>
      <c r="D124">
        <v>26</v>
      </c>
      <c r="E124">
        <v>8</v>
      </c>
      <c r="F124" s="11">
        <v>773.29679999999996</v>
      </c>
    </row>
    <row r="125" spans="1:6" x14ac:dyDescent="0.2">
      <c r="A125">
        <v>124</v>
      </c>
      <c r="B125">
        <v>28</v>
      </c>
      <c r="C125" s="1">
        <v>45309</v>
      </c>
      <c r="D125">
        <v>48</v>
      </c>
      <c r="E125">
        <v>5</v>
      </c>
      <c r="F125" s="11">
        <v>5430.7889999999998</v>
      </c>
    </row>
    <row r="126" spans="1:6" x14ac:dyDescent="0.2">
      <c r="A126">
        <v>125</v>
      </c>
      <c r="B126">
        <v>18</v>
      </c>
      <c r="C126" s="1">
        <v>45942</v>
      </c>
      <c r="D126">
        <v>14</v>
      </c>
      <c r="E126">
        <v>7</v>
      </c>
      <c r="F126" s="11">
        <v>7845.4335000000001</v>
      </c>
    </row>
    <row r="127" spans="1:6" x14ac:dyDescent="0.2">
      <c r="A127">
        <v>126</v>
      </c>
      <c r="B127">
        <v>62</v>
      </c>
      <c r="C127" s="1">
        <v>45418</v>
      </c>
      <c r="D127">
        <v>6</v>
      </c>
      <c r="E127">
        <v>5</v>
      </c>
      <c r="F127" s="11">
        <v>3285.0430000000001</v>
      </c>
    </row>
    <row r="128" spans="1:6" x14ac:dyDescent="0.2">
      <c r="A128">
        <v>127</v>
      </c>
      <c r="B128">
        <v>73</v>
      </c>
      <c r="C128" s="1">
        <v>46005</v>
      </c>
      <c r="D128">
        <v>28</v>
      </c>
      <c r="E128">
        <v>7</v>
      </c>
      <c r="F128" s="11">
        <v>4218.0986999999996</v>
      </c>
    </row>
    <row r="129" spans="1:6" x14ac:dyDescent="0.2">
      <c r="A129">
        <v>128</v>
      </c>
      <c r="B129">
        <v>46</v>
      </c>
      <c r="C129" s="1">
        <v>45721</v>
      </c>
      <c r="D129">
        <v>45</v>
      </c>
      <c r="E129">
        <v>3</v>
      </c>
      <c r="F129" s="11">
        <v>1570.1002000000001</v>
      </c>
    </row>
    <row r="130" spans="1:6" x14ac:dyDescent="0.2">
      <c r="A130">
        <v>129</v>
      </c>
      <c r="B130">
        <v>82</v>
      </c>
      <c r="C130" s="1">
        <v>45000</v>
      </c>
      <c r="D130">
        <v>47</v>
      </c>
      <c r="E130">
        <v>4</v>
      </c>
      <c r="F130" s="11">
        <v>1220.3712</v>
      </c>
    </row>
    <row r="131" spans="1:6" x14ac:dyDescent="0.2">
      <c r="A131">
        <v>130</v>
      </c>
      <c r="B131">
        <v>116</v>
      </c>
      <c r="C131" s="1">
        <v>45234</v>
      </c>
      <c r="D131">
        <v>29</v>
      </c>
      <c r="E131">
        <v>9</v>
      </c>
      <c r="F131" s="11">
        <v>2150.4665</v>
      </c>
    </row>
    <row r="132" spans="1:6" x14ac:dyDescent="0.2">
      <c r="A132">
        <v>131</v>
      </c>
      <c r="B132">
        <v>149</v>
      </c>
      <c r="C132" s="1">
        <v>45774</v>
      </c>
      <c r="D132">
        <v>35</v>
      </c>
      <c r="E132">
        <v>9</v>
      </c>
      <c r="F132" s="11">
        <v>5576.2798000000003</v>
      </c>
    </row>
    <row r="133" spans="1:6" x14ac:dyDescent="0.2">
      <c r="A133">
        <v>132</v>
      </c>
      <c r="B133">
        <v>33</v>
      </c>
      <c r="C133" s="1">
        <v>45018</v>
      </c>
      <c r="D133">
        <v>17</v>
      </c>
      <c r="E133">
        <v>5</v>
      </c>
      <c r="F133" s="11">
        <v>4800.3404999999993</v>
      </c>
    </row>
    <row r="134" spans="1:6" x14ac:dyDescent="0.2">
      <c r="A134">
        <v>133</v>
      </c>
      <c r="B134">
        <v>101</v>
      </c>
      <c r="C134" s="1">
        <v>45635</v>
      </c>
      <c r="D134">
        <v>42</v>
      </c>
      <c r="E134">
        <v>8</v>
      </c>
      <c r="F134" s="11">
        <v>4342.6668</v>
      </c>
    </row>
    <row r="135" spans="1:6" x14ac:dyDescent="0.2">
      <c r="A135">
        <v>134</v>
      </c>
      <c r="B135">
        <v>105</v>
      </c>
      <c r="C135" s="1">
        <v>45908</v>
      </c>
      <c r="D135">
        <v>29</v>
      </c>
      <c r="E135">
        <v>6</v>
      </c>
      <c r="F135" s="11">
        <v>3894.4951999999998</v>
      </c>
    </row>
    <row r="136" spans="1:6" x14ac:dyDescent="0.2">
      <c r="A136">
        <v>135</v>
      </c>
      <c r="B136">
        <v>141</v>
      </c>
      <c r="C136" s="1">
        <v>45715</v>
      </c>
      <c r="D136">
        <v>33</v>
      </c>
      <c r="E136">
        <v>3</v>
      </c>
      <c r="F136" s="11">
        <v>7629.2342999999992</v>
      </c>
    </row>
    <row r="137" spans="1:6" x14ac:dyDescent="0.2">
      <c r="A137">
        <v>136</v>
      </c>
      <c r="B137">
        <v>104</v>
      </c>
      <c r="C137" s="1">
        <v>45710</v>
      </c>
      <c r="D137">
        <v>43</v>
      </c>
      <c r="E137">
        <v>10</v>
      </c>
      <c r="F137" s="11">
        <v>2910.1950000000002</v>
      </c>
    </row>
    <row r="138" spans="1:6" x14ac:dyDescent="0.2">
      <c r="A138">
        <v>137</v>
      </c>
      <c r="B138">
        <v>113</v>
      </c>
      <c r="C138" s="1">
        <v>45927</v>
      </c>
      <c r="D138">
        <v>44</v>
      </c>
      <c r="E138">
        <v>5</v>
      </c>
      <c r="F138" s="11">
        <v>4587.7019999999993</v>
      </c>
    </row>
    <row r="139" spans="1:6" x14ac:dyDescent="0.2">
      <c r="A139">
        <v>138</v>
      </c>
      <c r="B139">
        <v>92</v>
      </c>
      <c r="C139" s="1">
        <v>45263</v>
      </c>
      <c r="D139">
        <v>35</v>
      </c>
      <c r="E139">
        <v>10</v>
      </c>
      <c r="F139" s="11">
        <v>3220.2179999999998</v>
      </c>
    </row>
    <row r="140" spans="1:6" x14ac:dyDescent="0.2">
      <c r="A140">
        <v>139</v>
      </c>
      <c r="B140">
        <v>46</v>
      </c>
      <c r="C140" s="1">
        <v>45888</v>
      </c>
      <c r="D140">
        <v>8</v>
      </c>
      <c r="E140">
        <v>8</v>
      </c>
      <c r="F140" s="11">
        <v>1489.1672000000001</v>
      </c>
    </row>
    <row r="141" spans="1:6" x14ac:dyDescent="0.2">
      <c r="A141">
        <v>140</v>
      </c>
      <c r="B141">
        <v>122</v>
      </c>
      <c r="C141" s="1">
        <v>45205</v>
      </c>
      <c r="D141">
        <v>10</v>
      </c>
      <c r="E141">
        <v>10</v>
      </c>
      <c r="F141" s="11">
        <v>4632.9660000000003</v>
      </c>
    </row>
    <row r="142" spans="1:6" x14ac:dyDescent="0.2">
      <c r="A142">
        <v>141</v>
      </c>
      <c r="B142">
        <v>65</v>
      </c>
      <c r="C142" s="1">
        <v>45409</v>
      </c>
      <c r="D142">
        <v>3</v>
      </c>
      <c r="E142">
        <v>5</v>
      </c>
      <c r="F142" s="11">
        <v>4285.7919999999995</v>
      </c>
    </row>
    <row r="143" spans="1:6" x14ac:dyDescent="0.2">
      <c r="A143">
        <v>142</v>
      </c>
      <c r="B143">
        <v>116</v>
      </c>
      <c r="C143" s="1">
        <v>45036</v>
      </c>
      <c r="D143">
        <v>44</v>
      </c>
      <c r="E143">
        <v>4</v>
      </c>
      <c r="F143" s="11">
        <v>2268.6239999999998</v>
      </c>
    </row>
    <row r="144" spans="1:6" x14ac:dyDescent="0.2">
      <c r="A144">
        <v>143</v>
      </c>
      <c r="B144">
        <v>110</v>
      </c>
      <c r="C144" s="1">
        <v>45236</v>
      </c>
      <c r="D144">
        <v>48</v>
      </c>
      <c r="E144">
        <v>8</v>
      </c>
      <c r="F144" s="11">
        <v>1429.8732</v>
      </c>
    </row>
    <row r="145" spans="1:6" x14ac:dyDescent="0.2">
      <c r="A145">
        <v>144</v>
      </c>
      <c r="B145">
        <v>78</v>
      </c>
      <c r="C145" s="1">
        <v>45035</v>
      </c>
      <c r="D145">
        <v>49</v>
      </c>
      <c r="E145">
        <v>6</v>
      </c>
      <c r="F145" s="11">
        <v>813.79559999999992</v>
      </c>
    </row>
    <row r="146" spans="1:6" x14ac:dyDescent="0.2">
      <c r="A146">
        <v>145</v>
      </c>
      <c r="B146">
        <v>140</v>
      </c>
      <c r="C146" s="1">
        <v>45001</v>
      </c>
      <c r="D146">
        <v>42</v>
      </c>
      <c r="E146">
        <v>9</v>
      </c>
      <c r="F146" s="11">
        <v>813.32159999999999</v>
      </c>
    </row>
    <row r="147" spans="1:6" x14ac:dyDescent="0.2">
      <c r="A147">
        <v>146</v>
      </c>
      <c r="B147">
        <v>76</v>
      </c>
      <c r="C147" s="1">
        <v>45302</v>
      </c>
      <c r="D147">
        <v>50</v>
      </c>
      <c r="E147">
        <v>7</v>
      </c>
      <c r="F147" s="11">
        <v>2850.9800999999998</v>
      </c>
    </row>
    <row r="148" spans="1:6" x14ac:dyDescent="0.2">
      <c r="A148">
        <v>147</v>
      </c>
      <c r="B148">
        <v>13</v>
      </c>
      <c r="C148" s="1">
        <v>45320</v>
      </c>
      <c r="D148">
        <v>6</v>
      </c>
      <c r="E148">
        <v>10</v>
      </c>
      <c r="F148" s="11">
        <v>1617.354</v>
      </c>
    </row>
    <row r="149" spans="1:6" x14ac:dyDescent="0.2">
      <c r="A149">
        <v>148</v>
      </c>
      <c r="B149">
        <v>92</v>
      </c>
      <c r="C149" s="1">
        <v>45486</v>
      </c>
      <c r="D149">
        <v>37</v>
      </c>
      <c r="E149">
        <v>6</v>
      </c>
      <c r="F149" s="11">
        <v>3363.3388</v>
      </c>
    </row>
    <row r="150" spans="1:6" x14ac:dyDescent="0.2">
      <c r="A150">
        <v>149</v>
      </c>
      <c r="B150">
        <v>109</v>
      </c>
      <c r="C150" s="1">
        <v>45878</v>
      </c>
      <c r="D150">
        <v>37</v>
      </c>
      <c r="E150">
        <v>6</v>
      </c>
      <c r="F150" s="11">
        <v>2081.6205999999997</v>
      </c>
    </row>
    <row r="151" spans="1:6" x14ac:dyDescent="0.2">
      <c r="A151">
        <v>150</v>
      </c>
      <c r="B151">
        <v>97</v>
      </c>
      <c r="C151" s="1">
        <v>45107</v>
      </c>
      <c r="D151">
        <v>21</v>
      </c>
      <c r="E151">
        <v>10</v>
      </c>
      <c r="F151" s="11">
        <v>829.476</v>
      </c>
    </row>
    <row r="152" spans="1:6" x14ac:dyDescent="0.2">
      <c r="A152">
        <v>151</v>
      </c>
      <c r="B152">
        <v>27</v>
      </c>
      <c r="C152" s="1">
        <v>45806</v>
      </c>
      <c r="D152">
        <v>27</v>
      </c>
      <c r="E152">
        <v>8</v>
      </c>
      <c r="F152" s="11">
        <v>1493.0680000000002</v>
      </c>
    </row>
    <row r="153" spans="1:6" x14ac:dyDescent="0.2">
      <c r="A153">
        <v>152</v>
      </c>
      <c r="B153">
        <v>19</v>
      </c>
      <c r="C153" s="1">
        <v>45013</v>
      </c>
      <c r="D153">
        <v>20</v>
      </c>
      <c r="E153">
        <v>6</v>
      </c>
      <c r="F153" s="11">
        <v>3206.1801999999998</v>
      </c>
    </row>
    <row r="154" spans="1:6" x14ac:dyDescent="0.2">
      <c r="A154">
        <v>153</v>
      </c>
      <c r="B154">
        <v>37</v>
      </c>
      <c r="C154" s="1">
        <v>45470</v>
      </c>
      <c r="D154">
        <v>44</v>
      </c>
      <c r="E154">
        <v>7</v>
      </c>
      <c r="F154" s="11">
        <v>3591.1670999999997</v>
      </c>
    </row>
    <row r="155" spans="1:6" x14ac:dyDescent="0.2">
      <c r="A155">
        <v>154</v>
      </c>
      <c r="B155">
        <v>104</v>
      </c>
      <c r="C155" s="1">
        <v>45788</v>
      </c>
      <c r="D155">
        <v>43</v>
      </c>
      <c r="E155">
        <v>9</v>
      </c>
      <c r="F155" s="11">
        <v>2942.5305000000003</v>
      </c>
    </row>
    <row r="156" spans="1:6" x14ac:dyDescent="0.2">
      <c r="A156">
        <v>155</v>
      </c>
      <c r="B156">
        <v>1</v>
      </c>
      <c r="C156" s="1">
        <v>44984</v>
      </c>
      <c r="D156">
        <v>12</v>
      </c>
      <c r="E156">
        <v>6</v>
      </c>
      <c r="F156" s="11">
        <v>1796.2929999999999</v>
      </c>
    </row>
    <row r="157" spans="1:6" x14ac:dyDescent="0.2">
      <c r="A157">
        <v>156</v>
      </c>
      <c r="B157">
        <v>70</v>
      </c>
      <c r="C157" s="1">
        <v>45602</v>
      </c>
      <c r="D157">
        <v>1</v>
      </c>
      <c r="E157">
        <v>2</v>
      </c>
      <c r="F157" s="11">
        <v>3949.1549999999997</v>
      </c>
    </row>
    <row r="158" spans="1:6" x14ac:dyDescent="0.2">
      <c r="A158">
        <v>157</v>
      </c>
      <c r="B158">
        <v>15</v>
      </c>
      <c r="C158" s="1">
        <v>45033</v>
      </c>
      <c r="D158">
        <v>38</v>
      </c>
      <c r="E158">
        <v>10</v>
      </c>
      <c r="F158" s="11">
        <v>4357.3319999999994</v>
      </c>
    </row>
    <row r="159" spans="1:6" x14ac:dyDescent="0.2">
      <c r="A159">
        <v>158</v>
      </c>
      <c r="B159">
        <v>34</v>
      </c>
      <c r="C159" s="1">
        <v>45496</v>
      </c>
      <c r="D159">
        <v>36</v>
      </c>
      <c r="E159">
        <v>9</v>
      </c>
      <c r="F159" s="11">
        <v>1186.0849000000001</v>
      </c>
    </row>
    <row r="160" spans="1:6" x14ac:dyDescent="0.2">
      <c r="A160">
        <v>159</v>
      </c>
      <c r="B160">
        <v>114</v>
      </c>
      <c r="C160" s="1">
        <v>45027</v>
      </c>
      <c r="D160">
        <v>26</v>
      </c>
      <c r="E160">
        <v>10</v>
      </c>
      <c r="F160" s="11">
        <v>6879.9690000000001</v>
      </c>
    </row>
    <row r="161" spans="1:6" x14ac:dyDescent="0.2">
      <c r="A161">
        <v>160</v>
      </c>
      <c r="B161">
        <v>125</v>
      </c>
      <c r="C161" s="1">
        <v>46009</v>
      </c>
      <c r="D161">
        <v>43</v>
      </c>
      <c r="E161">
        <v>7</v>
      </c>
      <c r="F161" s="11">
        <v>4046.4950999999996</v>
      </c>
    </row>
    <row r="162" spans="1:6" x14ac:dyDescent="0.2">
      <c r="A162">
        <v>161</v>
      </c>
      <c r="B162">
        <v>26</v>
      </c>
      <c r="C162" s="1">
        <v>45227</v>
      </c>
      <c r="D162">
        <v>17</v>
      </c>
      <c r="E162">
        <v>10</v>
      </c>
      <c r="F162" s="11">
        <v>5073.2280000000001</v>
      </c>
    </row>
    <row r="163" spans="1:6" x14ac:dyDescent="0.2">
      <c r="A163">
        <v>162</v>
      </c>
      <c r="B163">
        <v>13</v>
      </c>
      <c r="C163" s="1">
        <v>45450</v>
      </c>
      <c r="D163">
        <v>16</v>
      </c>
      <c r="E163">
        <v>2</v>
      </c>
      <c r="F163" s="11">
        <v>1761.1188</v>
      </c>
    </row>
    <row r="164" spans="1:6" x14ac:dyDescent="0.2">
      <c r="A164">
        <v>163</v>
      </c>
      <c r="B164">
        <v>114</v>
      </c>
      <c r="C164" s="1">
        <v>45026</v>
      </c>
      <c r="D164">
        <v>2</v>
      </c>
      <c r="E164">
        <v>3</v>
      </c>
      <c r="F164" s="11">
        <v>7415.0776999999998</v>
      </c>
    </row>
    <row r="165" spans="1:6" x14ac:dyDescent="0.2">
      <c r="A165">
        <v>164</v>
      </c>
      <c r="B165">
        <v>113</v>
      </c>
      <c r="C165" s="1">
        <v>45513</v>
      </c>
      <c r="D165">
        <v>8</v>
      </c>
      <c r="E165">
        <v>4</v>
      </c>
      <c r="F165" s="11">
        <v>4635.9935999999998</v>
      </c>
    </row>
    <row r="166" spans="1:6" x14ac:dyDescent="0.2">
      <c r="A166">
        <v>165</v>
      </c>
      <c r="B166">
        <v>62</v>
      </c>
      <c r="C166" s="1">
        <v>45088</v>
      </c>
      <c r="D166">
        <v>23</v>
      </c>
      <c r="E166">
        <v>9</v>
      </c>
      <c r="F166" s="11">
        <v>3146.7254000000003</v>
      </c>
    </row>
    <row r="167" spans="1:6" x14ac:dyDescent="0.2">
      <c r="A167">
        <v>166</v>
      </c>
      <c r="B167">
        <v>10</v>
      </c>
      <c r="C167" s="1">
        <v>45878</v>
      </c>
      <c r="D167">
        <v>6</v>
      </c>
      <c r="E167">
        <v>9</v>
      </c>
      <c r="F167" s="11">
        <v>2545.5338999999999</v>
      </c>
    </row>
    <row r="168" spans="1:6" x14ac:dyDescent="0.2">
      <c r="A168">
        <v>167</v>
      </c>
      <c r="B168">
        <v>60</v>
      </c>
      <c r="C168" s="1">
        <v>45810</v>
      </c>
      <c r="D168">
        <v>29</v>
      </c>
      <c r="E168">
        <v>3</v>
      </c>
      <c r="F168" s="11">
        <v>2689.4317000000001</v>
      </c>
    </row>
    <row r="169" spans="1:6" x14ac:dyDescent="0.2">
      <c r="A169">
        <v>168</v>
      </c>
      <c r="B169">
        <v>127</v>
      </c>
      <c r="C169" s="1">
        <v>45155</v>
      </c>
      <c r="D169">
        <v>12</v>
      </c>
      <c r="E169">
        <v>7</v>
      </c>
      <c r="F169" s="11">
        <v>5106.2208000000001</v>
      </c>
    </row>
    <row r="170" spans="1:6" x14ac:dyDescent="0.2">
      <c r="A170">
        <v>169</v>
      </c>
      <c r="B170">
        <v>129</v>
      </c>
      <c r="C170" s="1">
        <v>45569</v>
      </c>
      <c r="D170">
        <v>44</v>
      </c>
      <c r="E170">
        <v>7</v>
      </c>
      <c r="F170" s="11">
        <v>1172.9717999999998</v>
      </c>
    </row>
    <row r="171" spans="1:6" x14ac:dyDescent="0.2">
      <c r="A171">
        <v>170</v>
      </c>
      <c r="B171">
        <v>84</v>
      </c>
      <c r="C171" s="1">
        <v>45219</v>
      </c>
      <c r="D171">
        <v>45</v>
      </c>
      <c r="E171">
        <v>7</v>
      </c>
      <c r="F171" s="11">
        <v>7216.9487999999992</v>
      </c>
    </row>
    <row r="172" spans="1:6" x14ac:dyDescent="0.2">
      <c r="A172">
        <v>171</v>
      </c>
      <c r="B172">
        <v>19</v>
      </c>
      <c r="C172" s="1">
        <v>45965</v>
      </c>
      <c r="D172">
        <v>6</v>
      </c>
      <c r="E172">
        <v>9</v>
      </c>
      <c r="F172" s="11">
        <v>3103.8553000000002</v>
      </c>
    </row>
    <row r="173" spans="1:6" x14ac:dyDescent="0.2">
      <c r="A173">
        <v>172</v>
      </c>
      <c r="B173">
        <v>59</v>
      </c>
      <c r="C173" s="1">
        <v>45202</v>
      </c>
      <c r="D173">
        <v>11</v>
      </c>
      <c r="E173">
        <v>6</v>
      </c>
      <c r="F173" s="11">
        <v>3901.4794000000002</v>
      </c>
    </row>
    <row r="174" spans="1:6" x14ac:dyDescent="0.2">
      <c r="A174">
        <v>173</v>
      </c>
      <c r="B174">
        <v>110</v>
      </c>
      <c r="C174" s="1">
        <v>45898</v>
      </c>
      <c r="D174">
        <v>37</v>
      </c>
      <c r="E174">
        <v>7</v>
      </c>
      <c r="F174" s="11">
        <v>1445.4152999999999</v>
      </c>
    </row>
    <row r="175" spans="1:6" x14ac:dyDescent="0.2">
      <c r="A175">
        <v>174</v>
      </c>
      <c r="B175">
        <v>69</v>
      </c>
      <c r="C175" s="1">
        <v>45970</v>
      </c>
      <c r="D175">
        <v>38</v>
      </c>
      <c r="E175">
        <v>4</v>
      </c>
      <c r="F175" s="11">
        <v>7160.3519999999999</v>
      </c>
    </row>
    <row r="176" spans="1:6" x14ac:dyDescent="0.2">
      <c r="A176">
        <v>175</v>
      </c>
      <c r="B176">
        <v>94</v>
      </c>
      <c r="C176" s="1">
        <v>45320</v>
      </c>
      <c r="D176">
        <v>28</v>
      </c>
      <c r="E176">
        <v>3</v>
      </c>
      <c r="F176" s="11">
        <v>4513.1965999999993</v>
      </c>
    </row>
    <row r="177" spans="1:6" x14ac:dyDescent="0.2">
      <c r="A177">
        <v>176</v>
      </c>
      <c r="B177">
        <v>25</v>
      </c>
      <c r="C177" s="1">
        <v>45621</v>
      </c>
      <c r="D177">
        <v>3</v>
      </c>
      <c r="E177">
        <v>8</v>
      </c>
      <c r="F177" s="11">
        <v>522.71640000000002</v>
      </c>
    </row>
    <row r="178" spans="1:6" x14ac:dyDescent="0.2">
      <c r="A178">
        <v>177</v>
      </c>
      <c r="B178">
        <v>58</v>
      </c>
      <c r="C178" s="1">
        <v>45102</v>
      </c>
      <c r="D178">
        <v>34</v>
      </c>
      <c r="E178">
        <v>3</v>
      </c>
      <c r="F178" s="11">
        <v>1104.4225999999999</v>
      </c>
    </row>
    <row r="179" spans="1:6" x14ac:dyDescent="0.2">
      <c r="A179">
        <v>178</v>
      </c>
      <c r="B179">
        <v>57</v>
      </c>
      <c r="C179" s="1">
        <v>45880</v>
      </c>
      <c r="D179">
        <v>25</v>
      </c>
      <c r="E179">
        <v>10</v>
      </c>
      <c r="F179" s="11">
        <v>6130.5749999999998</v>
      </c>
    </row>
    <row r="180" spans="1:6" x14ac:dyDescent="0.2">
      <c r="A180">
        <v>179</v>
      </c>
      <c r="B180">
        <v>71</v>
      </c>
      <c r="C180" s="1">
        <v>45034</v>
      </c>
      <c r="D180">
        <v>42</v>
      </c>
      <c r="E180">
        <v>3</v>
      </c>
      <c r="F180" s="11">
        <v>4783.3222000000005</v>
      </c>
    </row>
    <row r="181" spans="1:6" x14ac:dyDescent="0.2">
      <c r="A181">
        <v>180</v>
      </c>
      <c r="B181">
        <v>126</v>
      </c>
      <c r="C181" s="1">
        <v>45473</v>
      </c>
      <c r="D181">
        <v>25</v>
      </c>
      <c r="E181">
        <v>4</v>
      </c>
      <c r="F181" s="11">
        <v>972.70079999999996</v>
      </c>
    </row>
    <row r="182" spans="1:6" x14ac:dyDescent="0.2">
      <c r="A182">
        <v>181</v>
      </c>
      <c r="B182">
        <v>35</v>
      </c>
      <c r="C182" s="1">
        <v>45716</v>
      </c>
      <c r="D182">
        <v>49</v>
      </c>
      <c r="E182">
        <v>9</v>
      </c>
      <c r="F182" s="11">
        <v>123.02290000000001</v>
      </c>
    </row>
    <row r="183" spans="1:6" x14ac:dyDescent="0.2">
      <c r="A183">
        <v>182</v>
      </c>
      <c r="B183">
        <v>31</v>
      </c>
      <c r="C183" s="1">
        <v>45585</v>
      </c>
      <c r="D183">
        <v>18</v>
      </c>
      <c r="E183">
        <v>9</v>
      </c>
      <c r="F183" s="11">
        <v>931.14840000000004</v>
      </c>
    </row>
    <row r="184" spans="1:6" x14ac:dyDescent="0.2">
      <c r="A184">
        <v>183</v>
      </c>
      <c r="B184">
        <v>39</v>
      </c>
      <c r="C184" s="1">
        <v>45959</v>
      </c>
      <c r="D184">
        <v>15</v>
      </c>
      <c r="E184">
        <v>10</v>
      </c>
      <c r="F184" s="11">
        <v>2886.8220000000001</v>
      </c>
    </row>
    <row r="185" spans="1:6" x14ac:dyDescent="0.2">
      <c r="A185">
        <v>184</v>
      </c>
      <c r="B185">
        <v>55</v>
      </c>
      <c r="C185" s="1">
        <v>45721</v>
      </c>
      <c r="D185">
        <v>23</v>
      </c>
      <c r="E185">
        <v>2</v>
      </c>
      <c r="F185" s="11">
        <v>945.00419999999997</v>
      </c>
    </row>
    <row r="186" spans="1:6" x14ac:dyDescent="0.2">
      <c r="A186">
        <v>185</v>
      </c>
      <c r="B186">
        <v>96</v>
      </c>
      <c r="C186" s="1">
        <v>45034</v>
      </c>
      <c r="D186">
        <v>45</v>
      </c>
      <c r="E186">
        <v>5</v>
      </c>
      <c r="F186" s="11">
        <v>5115.2179999999989</v>
      </c>
    </row>
    <row r="187" spans="1:6" x14ac:dyDescent="0.2">
      <c r="A187">
        <v>186</v>
      </c>
      <c r="B187">
        <v>126</v>
      </c>
      <c r="C187" s="1">
        <v>45405</v>
      </c>
      <c r="D187">
        <v>17</v>
      </c>
      <c r="E187">
        <v>4</v>
      </c>
      <c r="F187" s="11">
        <v>972.70079999999996</v>
      </c>
    </row>
    <row r="188" spans="1:6" x14ac:dyDescent="0.2">
      <c r="A188">
        <v>187</v>
      </c>
      <c r="B188">
        <v>99</v>
      </c>
      <c r="C188" s="1">
        <v>45769</v>
      </c>
      <c r="D188">
        <v>31</v>
      </c>
      <c r="E188">
        <v>3</v>
      </c>
      <c r="F188" s="11">
        <v>1982.6605999999999</v>
      </c>
    </row>
    <row r="189" spans="1:6" x14ac:dyDescent="0.2">
      <c r="A189">
        <v>188</v>
      </c>
      <c r="B189">
        <v>78</v>
      </c>
      <c r="C189" s="1">
        <v>45051</v>
      </c>
      <c r="D189">
        <v>20</v>
      </c>
      <c r="E189">
        <v>6</v>
      </c>
      <c r="F189" s="11">
        <v>813.79559999999992</v>
      </c>
    </row>
    <row r="190" spans="1:6" x14ac:dyDescent="0.2">
      <c r="A190">
        <v>189</v>
      </c>
      <c r="B190">
        <v>139</v>
      </c>
      <c r="C190" s="1">
        <v>45619</v>
      </c>
      <c r="D190">
        <v>18</v>
      </c>
      <c r="E190">
        <v>3</v>
      </c>
      <c r="F190" s="11">
        <v>2513.3476000000001</v>
      </c>
    </row>
    <row r="191" spans="1:6" x14ac:dyDescent="0.2">
      <c r="A191">
        <v>190</v>
      </c>
      <c r="B191">
        <v>145</v>
      </c>
      <c r="C191" s="1">
        <v>45859</v>
      </c>
      <c r="D191">
        <v>9</v>
      </c>
      <c r="E191">
        <v>8</v>
      </c>
      <c r="F191" s="11">
        <v>5946.4660000000003</v>
      </c>
    </row>
    <row r="192" spans="1:6" x14ac:dyDescent="0.2">
      <c r="A192">
        <v>191</v>
      </c>
      <c r="B192">
        <v>87</v>
      </c>
      <c r="C192" s="1">
        <v>45125</v>
      </c>
      <c r="D192">
        <v>28</v>
      </c>
      <c r="E192">
        <v>7</v>
      </c>
      <c r="F192" s="11">
        <v>3807.5315999999998</v>
      </c>
    </row>
    <row r="193" spans="1:6" x14ac:dyDescent="0.2">
      <c r="A193">
        <v>192</v>
      </c>
      <c r="B193">
        <v>93</v>
      </c>
      <c r="C193" s="1">
        <v>45510</v>
      </c>
      <c r="D193">
        <v>26</v>
      </c>
      <c r="E193">
        <v>5</v>
      </c>
      <c r="F193" s="11">
        <v>7279.441499999999</v>
      </c>
    </row>
    <row r="194" spans="1:6" x14ac:dyDescent="0.2">
      <c r="A194">
        <v>193</v>
      </c>
      <c r="B194">
        <v>70</v>
      </c>
      <c r="C194" s="1">
        <v>45212</v>
      </c>
      <c r="D194">
        <v>10</v>
      </c>
      <c r="E194">
        <v>10</v>
      </c>
      <c r="F194" s="11">
        <v>3626.7750000000001</v>
      </c>
    </row>
    <row r="195" spans="1:6" x14ac:dyDescent="0.2">
      <c r="A195">
        <v>194</v>
      </c>
      <c r="B195">
        <v>109</v>
      </c>
      <c r="C195" s="1">
        <v>45283</v>
      </c>
      <c r="D195">
        <v>14</v>
      </c>
      <c r="E195">
        <v>7</v>
      </c>
      <c r="F195" s="11">
        <v>2059.4756999999995</v>
      </c>
    </row>
    <row r="196" spans="1:6" x14ac:dyDescent="0.2">
      <c r="A196">
        <v>195</v>
      </c>
      <c r="B196">
        <v>104</v>
      </c>
      <c r="C196" s="1">
        <v>45658</v>
      </c>
      <c r="D196">
        <v>36</v>
      </c>
      <c r="E196">
        <v>5</v>
      </c>
      <c r="F196" s="11">
        <v>3071.8724999999999</v>
      </c>
    </row>
    <row r="197" spans="1:6" x14ac:dyDescent="0.2">
      <c r="A197">
        <v>196</v>
      </c>
      <c r="B197">
        <v>20</v>
      </c>
      <c r="C197" s="1">
        <v>45522</v>
      </c>
      <c r="D197">
        <v>30</v>
      </c>
      <c r="E197">
        <v>2</v>
      </c>
      <c r="F197" s="11">
        <v>2970.5563999999999</v>
      </c>
    </row>
    <row r="198" spans="1:6" x14ac:dyDescent="0.2">
      <c r="A198">
        <v>197</v>
      </c>
      <c r="B198">
        <v>25</v>
      </c>
      <c r="C198" s="1">
        <v>45793</v>
      </c>
      <c r="D198">
        <v>1</v>
      </c>
      <c r="E198">
        <v>10</v>
      </c>
      <c r="F198" s="11">
        <v>511.35299999999995</v>
      </c>
    </row>
    <row r="199" spans="1:6" x14ac:dyDescent="0.2">
      <c r="A199">
        <v>198</v>
      </c>
      <c r="B199">
        <v>60</v>
      </c>
      <c r="C199" s="1">
        <v>45048</v>
      </c>
      <c r="D199">
        <v>34</v>
      </c>
      <c r="E199">
        <v>9</v>
      </c>
      <c r="F199" s="11">
        <v>2523.0751</v>
      </c>
    </row>
    <row r="200" spans="1:6" x14ac:dyDescent="0.2">
      <c r="A200">
        <v>199</v>
      </c>
      <c r="B200">
        <v>117</v>
      </c>
      <c r="C200" s="1">
        <v>45041</v>
      </c>
      <c r="D200">
        <v>15</v>
      </c>
      <c r="E200">
        <v>2</v>
      </c>
      <c r="F200" s="11">
        <v>2084.6363999999999</v>
      </c>
    </row>
    <row r="201" spans="1:6" x14ac:dyDescent="0.2">
      <c r="A201">
        <v>200</v>
      </c>
      <c r="B201">
        <v>89</v>
      </c>
      <c r="C201" s="1">
        <v>45415</v>
      </c>
      <c r="D201">
        <v>44</v>
      </c>
      <c r="E201">
        <v>10</v>
      </c>
      <c r="F201" s="11">
        <v>907.53300000000002</v>
      </c>
    </row>
    <row r="202" spans="1:6" x14ac:dyDescent="0.2">
      <c r="A202">
        <v>201</v>
      </c>
      <c r="B202">
        <v>84</v>
      </c>
      <c r="C202" s="1">
        <v>45730</v>
      </c>
      <c r="D202">
        <v>39</v>
      </c>
      <c r="E202">
        <v>8</v>
      </c>
      <c r="F202" s="11">
        <v>7139.3472000000002</v>
      </c>
    </row>
    <row r="203" spans="1:6" x14ac:dyDescent="0.2">
      <c r="A203">
        <v>202</v>
      </c>
      <c r="B203">
        <v>131</v>
      </c>
      <c r="C203" s="1">
        <v>45928</v>
      </c>
      <c r="D203">
        <v>40</v>
      </c>
      <c r="E203">
        <v>4</v>
      </c>
      <c r="F203" s="11">
        <v>5944.8768</v>
      </c>
    </row>
    <row r="204" spans="1:6" x14ac:dyDescent="0.2">
      <c r="A204">
        <v>203</v>
      </c>
      <c r="B204">
        <v>111</v>
      </c>
      <c r="C204" s="1">
        <v>45752</v>
      </c>
      <c r="D204">
        <v>48</v>
      </c>
      <c r="E204">
        <v>10</v>
      </c>
      <c r="F204" s="11">
        <v>678.798</v>
      </c>
    </row>
    <row r="205" spans="1:6" x14ac:dyDescent="0.2">
      <c r="A205">
        <v>204</v>
      </c>
      <c r="B205">
        <v>70</v>
      </c>
      <c r="C205" s="1">
        <v>45027</v>
      </c>
      <c r="D205">
        <v>1</v>
      </c>
      <c r="E205">
        <v>4</v>
      </c>
      <c r="F205" s="11">
        <v>3868.56</v>
      </c>
    </row>
    <row r="206" spans="1:6" x14ac:dyDescent="0.2">
      <c r="A206">
        <v>205</v>
      </c>
      <c r="B206">
        <v>130</v>
      </c>
      <c r="C206" s="1">
        <v>45524</v>
      </c>
      <c r="D206">
        <v>43</v>
      </c>
      <c r="E206">
        <v>3</v>
      </c>
      <c r="F206" s="11">
        <v>3089.9252999999999</v>
      </c>
    </row>
    <row r="207" spans="1:6" x14ac:dyDescent="0.2">
      <c r="A207">
        <v>206</v>
      </c>
      <c r="B207">
        <v>47</v>
      </c>
      <c r="C207" s="1">
        <v>44956</v>
      </c>
      <c r="D207">
        <v>42</v>
      </c>
      <c r="E207">
        <v>4</v>
      </c>
      <c r="F207" s="11">
        <v>3277.0367999999999</v>
      </c>
    </row>
    <row r="208" spans="1:6" x14ac:dyDescent="0.2">
      <c r="A208">
        <v>207</v>
      </c>
      <c r="B208">
        <v>29</v>
      </c>
      <c r="C208" s="1">
        <v>45942</v>
      </c>
      <c r="D208">
        <v>39</v>
      </c>
      <c r="E208">
        <v>3</v>
      </c>
      <c r="F208" s="11">
        <v>7248.8099999999995</v>
      </c>
    </row>
    <row r="209" spans="1:6" x14ac:dyDescent="0.2">
      <c r="A209">
        <v>208</v>
      </c>
      <c r="B209">
        <v>111</v>
      </c>
      <c r="C209" s="1">
        <v>45842</v>
      </c>
      <c r="D209">
        <v>35</v>
      </c>
      <c r="E209">
        <v>2</v>
      </c>
      <c r="F209" s="11">
        <v>739.13560000000007</v>
      </c>
    </row>
    <row r="210" spans="1:6" x14ac:dyDescent="0.2">
      <c r="A210">
        <v>209</v>
      </c>
      <c r="B210">
        <v>31</v>
      </c>
      <c r="C210" s="1">
        <v>45537</v>
      </c>
      <c r="D210">
        <v>35</v>
      </c>
      <c r="E210">
        <v>7</v>
      </c>
      <c r="F210" s="11">
        <v>951.61319999999989</v>
      </c>
    </row>
    <row r="211" spans="1:6" x14ac:dyDescent="0.2">
      <c r="A211">
        <v>210</v>
      </c>
      <c r="B211">
        <v>66</v>
      </c>
      <c r="C211" s="1">
        <v>45323</v>
      </c>
      <c r="D211">
        <v>24</v>
      </c>
      <c r="E211">
        <v>3</v>
      </c>
      <c r="F211" s="11">
        <v>5650.2596999999996</v>
      </c>
    </row>
    <row r="212" spans="1:6" x14ac:dyDescent="0.2">
      <c r="A212">
        <v>211</v>
      </c>
      <c r="B212">
        <v>28</v>
      </c>
      <c r="C212" s="1">
        <v>45130</v>
      </c>
      <c r="D212">
        <v>27</v>
      </c>
      <c r="E212">
        <v>8</v>
      </c>
      <c r="F212" s="11">
        <v>5259.2903999999999</v>
      </c>
    </row>
    <row r="213" spans="1:6" x14ac:dyDescent="0.2">
      <c r="A213">
        <v>212</v>
      </c>
      <c r="B213">
        <v>110</v>
      </c>
      <c r="C213" s="1">
        <v>45447</v>
      </c>
      <c r="D213">
        <v>11</v>
      </c>
      <c r="E213">
        <v>2</v>
      </c>
      <c r="F213" s="11">
        <v>1523.1258</v>
      </c>
    </row>
    <row r="214" spans="1:6" x14ac:dyDescent="0.2">
      <c r="A214">
        <v>213</v>
      </c>
      <c r="B214">
        <v>145</v>
      </c>
      <c r="C214" s="1">
        <v>44933</v>
      </c>
      <c r="D214">
        <v>13</v>
      </c>
      <c r="E214">
        <v>10</v>
      </c>
      <c r="F214" s="11">
        <v>5817.1950000000006</v>
      </c>
    </row>
    <row r="215" spans="1:6" x14ac:dyDescent="0.2">
      <c r="A215">
        <v>214</v>
      </c>
      <c r="B215">
        <v>5</v>
      </c>
      <c r="C215" s="1">
        <v>45527</v>
      </c>
      <c r="D215">
        <v>46</v>
      </c>
      <c r="E215">
        <v>10</v>
      </c>
      <c r="F215" s="11">
        <v>747.22500000000002</v>
      </c>
    </row>
    <row r="216" spans="1:6" x14ac:dyDescent="0.2">
      <c r="A216">
        <v>215</v>
      </c>
      <c r="B216">
        <v>33</v>
      </c>
      <c r="C216" s="1">
        <v>45104</v>
      </c>
      <c r="D216">
        <v>23</v>
      </c>
      <c r="E216">
        <v>8</v>
      </c>
      <c r="F216" s="11">
        <v>4648.7507999999998</v>
      </c>
    </row>
    <row r="217" spans="1:6" x14ac:dyDescent="0.2">
      <c r="A217">
        <v>216</v>
      </c>
      <c r="B217">
        <v>22</v>
      </c>
      <c r="C217" s="1">
        <v>45102</v>
      </c>
      <c r="D217">
        <v>34</v>
      </c>
      <c r="E217">
        <v>8</v>
      </c>
      <c r="F217" s="11">
        <v>1503.74</v>
      </c>
    </row>
    <row r="218" spans="1:6" x14ac:dyDescent="0.2">
      <c r="A218">
        <v>217</v>
      </c>
      <c r="B218">
        <v>36</v>
      </c>
      <c r="C218" s="1">
        <v>45634</v>
      </c>
      <c r="D218">
        <v>37</v>
      </c>
      <c r="E218">
        <v>3</v>
      </c>
      <c r="F218" s="11">
        <v>142.97800000000001</v>
      </c>
    </row>
    <row r="219" spans="1:6" x14ac:dyDescent="0.2">
      <c r="A219">
        <v>218</v>
      </c>
      <c r="B219">
        <v>8</v>
      </c>
      <c r="C219" s="1">
        <v>45709</v>
      </c>
      <c r="D219">
        <v>13</v>
      </c>
      <c r="E219">
        <v>6</v>
      </c>
      <c r="F219" s="11">
        <v>5305.3035999999993</v>
      </c>
    </row>
    <row r="220" spans="1:6" x14ac:dyDescent="0.2">
      <c r="A220">
        <v>219</v>
      </c>
      <c r="B220">
        <v>28</v>
      </c>
      <c r="C220" s="1">
        <v>45146</v>
      </c>
      <c r="D220">
        <v>7</v>
      </c>
      <c r="E220">
        <v>5</v>
      </c>
      <c r="F220" s="11">
        <v>5430.7889999999998</v>
      </c>
    </row>
    <row r="221" spans="1:6" x14ac:dyDescent="0.2">
      <c r="A221">
        <v>220</v>
      </c>
      <c r="B221">
        <v>150</v>
      </c>
      <c r="C221" s="1">
        <v>44969</v>
      </c>
      <c r="D221">
        <v>16</v>
      </c>
      <c r="E221">
        <v>3</v>
      </c>
      <c r="F221" s="11">
        <v>2221.0283999999997</v>
      </c>
    </row>
    <row r="222" spans="1:6" x14ac:dyDescent="0.2">
      <c r="A222">
        <v>221</v>
      </c>
      <c r="B222">
        <v>45</v>
      </c>
      <c r="C222" s="1">
        <v>45948</v>
      </c>
      <c r="D222">
        <v>37</v>
      </c>
      <c r="E222">
        <v>6</v>
      </c>
      <c r="F222" s="11">
        <v>5006.8065999999999</v>
      </c>
    </row>
    <row r="223" spans="1:6" x14ac:dyDescent="0.2">
      <c r="A223">
        <v>222</v>
      </c>
      <c r="B223">
        <v>44</v>
      </c>
      <c r="C223" s="1">
        <v>45972</v>
      </c>
      <c r="D223">
        <v>6</v>
      </c>
      <c r="E223">
        <v>10</v>
      </c>
      <c r="F223" s="11">
        <v>318.24</v>
      </c>
    </row>
    <row r="224" spans="1:6" x14ac:dyDescent="0.2">
      <c r="A224">
        <v>223</v>
      </c>
      <c r="B224">
        <v>35</v>
      </c>
      <c r="C224" s="1">
        <v>45806</v>
      </c>
      <c r="D224">
        <v>46</v>
      </c>
      <c r="E224">
        <v>5</v>
      </c>
      <c r="F224" s="11">
        <v>128.43049999999999</v>
      </c>
    </row>
    <row r="225" spans="1:6" x14ac:dyDescent="0.2">
      <c r="A225">
        <v>224</v>
      </c>
      <c r="B225">
        <v>88</v>
      </c>
      <c r="C225" s="1">
        <v>45591</v>
      </c>
      <c r="D225">
        <v>16</v>
      </c>
      <c r="E225">
        <v>9</v>
      </c>
      <c r="F225" s="11">
        <v>5675.0603000000001</v>
      </c>
    </row>
    <row r="226" spans="1:6" x14ac:dyDescent="0.2">
      <c r="A226">
        <v>225</v>
      </c>
      <c r="B226">
        <v>117</v>
      </c>
      <c r="C226" s="1">
        <v>45845</v>
      </c>
      <c r="D226">
        <v>10</v>
      </c>
      <c r="E226">
        <v>5</v>
      </c>
      <c r="F226" s="11">
        <v>2020.8209999999997</v>
      </c>
    </row>
    <row r="227" spans="1:6" x14ac:dyDescent="0.2">
      <c r="A227">
        <v>226</v>
      </c>
      <c r="B227">
        <v>11</v>
      </c>
      <c r="C227" s="1">
        <v>45273</v>
      </c>
      <c r="D227">
        <v>21</v>
      </c>
      <c r="E227">
        <v>8</v>
      </c>
      <c r="F227" s="11">
        <v>2944.1839999999997</v>
      </c>
    </row>
    <row r="228" spans="1:6" x14ac:dyDescent="0.2">
      <c r="A228">
        <v>227</v>
      </c>
      <c r="B228">
        <v>133</v>
      </c>
      <c r="C228" s="1">
        <v>44968</v>
      </c>
      <c r="D228">
        <v>50</v>
      </c>
      <c r="E228">
        <v>4</v>
      </c>
      <c r="F228" s="11">
        <v>6340.7039999999997</v>
      </c>
    </row>
    <row r="229" spans="1:6" x14ac:dyDescent="0.2">
      <c r="A229">
        <v>228</v>
      </c>
      <c r="B229">
        <v>88</v>
      </c>
      <c r="C229" s="1">
        <v>45821</v>
      </c>
      <c r="D229">
        <v>14</v>
      </c>
      <c r="E229">
        <v>4</v>
      </c>
      <c r="F229" s="11">
        <v>5986.8768</v>
      </c>
    </row>
    <row r="230" spans="1:6" x14ac:dyDescent="0.2">
      <c r="A230">
        <v>229</v>
      </c>
      <c r="B230">
        <v>128</v>
      </c>
      <c r="C230" s="1">
        <v>45746</v>
      </c>
      <c r="D230">
        <v>21</v>
      </c>
      <c r="E230">
        <v>4</v>
      </c>
      <c r="F230" s="11">
        <v>5052.0960000000005</v>
      </c>
    </row>
    <row r="231" spans="1:6" x14ac:dyDescent="0.2">
      <c r="A231">
        <v>230</v>
      </c>
      <c r="B231">
        <v>103</v>
      </c>
      <c r="C231" s="1">
        <v>45291</v>
      </c>
      <c r="D231">
        <v>39</v>
      </c>
      <c r="E231">
        <v>6</v>
      </c>
      <c r="F231" s="11">
        <v>6029.2069999999994</v>
      </c>
    </row>
    <row r="232" spans="1:6" x14ac:dyDescent="0.2">
      <c r="A232">
        <v>231</v>
      </c>
      <c r="B232">
        <v>6</v>
      </c>
      <c r="C232" s="1">
        <v>45569</v>
      </c>
      <c r="D232">
        <v>26</v>
      </c>
      <c r="E232">
        <v>2</v>
      </c>
      <c r="F232" s="11">
        <v>4042.6764000000003</v>
      </c>
    </row>
    <row r="233" spans="1:6" x14ac:dyDescent="0.2">
      <c r="A233">
        <v>232</v>
      </c>
      <c r="B233">
        <v>78</v>
      </c>
      <c r="C233" s="1">
        <v>45875</v>
      </c>
      <c r="D233">
        <v>39</v>
      </c>
      <c r="E233">
        <v>8</v>
      </c>
      <c r="F233" s="11">
        <v>796.48080000000004</v>
      </c>
    </row>
    <row r="234" spans="1:6" x14ac:dyDescent="0.2">
      <c r="A234">
        <v>233</v>
      </c>
      <c r="B234">
        <v>21</v>
      </c>
      <c r="C234" s="1">
        <v>45808</v>
      </c>
      <c r="D234">
        <v>22</v>
      </c>
      <c r="E234">
        <v>10</v>
      </c>
      <c r="F234" s="11">
        <v>2591.3700000000003</v>
      </c>
    </row>
    <row r="235" spans="1:6" x14ac:dyDescent="0.2">
      <c r="A235">
        <v>234</v>
      </c>
      <c r="B235">
        <v>96</v>
      </c>
      <c r="C235" s="1">
        <v>45320</v>
      </c>
      <c r="D235">
        <v>37</v>
      </c>
      <c r="E235">
        <v>4</v>
      </c>
      <c r="F235" s="11">
        <v>5169.0623999999998</v>
      </c>
    </row>
    <row r="236" spans="1:6" x14ac:dyDescent="0.2">
      <c r="A236">
        <v>235</v>
      </c>
      <c r="B236">
        <v>68</v>
      </c>
      <c r="C236" s="1">
        <v>45980</v>
      </c>
      <c r="D236">
        <v>17</v>
      </c>
      <c r="E236">
        <v>3</v>
      </c>
      <c r="F236" s="11">
        <v>5862.1852999999992</v>
      </c>
    </row>
    <row r="237" spans="1:6" x14ac:dyDescent="0.2">
      <c r="A237">
        <v>236</v>
      </c>
      <c r="B237">
        <v>56</v>
      </c>
      <c r="C237" s="1">
        <v>45944</v>
      </c>
      <c r="D237">
        <v>29</v>
      </c>
      <c r="E237">
        <v>9</v>
      </c>
      <c r="F237" s="11">
        <v>7263.4380000000001</v>
      </c>
    </row>
    <row r="238" spans="1:6" x14ac:dyDescent="0.2">
      <c r="A238">
        <v>237</v>
      </c>
      <c r="B238">
        <v>7</v>
      </c>
      <c r="C238" s="1">
        <v>45676</v>
      </c>
      <c r="D238">
        <v>39</v>
      </c>
      <c r="E238">
        <v>8</v>
      </c>
      <c r="F238" s="11">
        <v>7695.616</v>
      </c>
    </row>
    <row r="239" spans="1:6" x14ac:dyDescent="0.2">
      <c r="A239">
        <v>238</v>
      </c>
      <c r="B239">
        <v>23</v>
      </c>
      <c r="C239" s="1">
        <v>45027</v>
      </c>
      <c r="D239">
        <v>12</v>
      </c>
      <c r="E239">
        <v>8</v>
      </c>
      <c r="F239" s="11">
        <v>3646.3280000000004</v>
      </c>
    </row>
    <row r="240" spans="1:6" x14ac:dyDescent="0.2">
      <c r="A240">
        <v>239</v>
      </c>
      <c r="B240">
        <v>131</v>
      </c>
      <c r="C240" s="1">
        <v>45820</v>
      </c>
      <c r="D240">
        <v>19</v>
      </c>
      <c r="E240">
        <v>2</v>
      </c>
      <c r="F240" s="11">
        <v>6068.7284</v>
      </c>
    </row>
    <row r="241" spans="1:6" x14ac:dyDescent="0.2">
      <c r="A241">
        <v>240</v>
      </c>
      <c r="B241">
        <v>8</v>
      </c>
      <c r="C241" s="1">
        <v>45819</v>
      </c>
      <c r="D241">
        <v>41</v>
      </c>
      <c r="E241">
        <v>6</v>
      </c>
      <c r="F241" s="11">
        <v>5305.3035999999993</v>
      </c>
    </row>
    <row r="242" spans="1:6" x14ac:dyDescent="0.2">
      <c r="A242">
        <v>241</v>
      </c>
      <c r="B242">
        <v>131</v>
      </c>
      <c r="C242" s="1">
        <v>45341</v>
      </c>
      <c r="D242">
        <v>12</v>
      </c>
      <c r="E242">
        <v>10</v>
      </c>
      <c r="F242" s="11">
        <v>5573.3220000000001</v>
      </c>
    </row>
    <row r="243" spans="1:6" x14ac:dyDescent="0.2">
      <c r="A243">
        <v>242</v>
      </c>
      <c r="B243">
        <v>101</v>
      </c>
      <c r="C243" s="1">
        <v>45761</v>
      </c>
      <c r="D243">
        <v>28</v>
      </c>
      <c r="E243">
        <v>8</v>
      </c>
      <c r="F243" s="11">
        <v>4342.6668</v>
      </c>
    </row>
    <row r="244" spans="1:6" x14ac:dyDescent="0.2">
      <c r="A244">
        <v>243</v>
      </c>
      <c r="B244">
        <v>48</v>
      </c>
      <c r="C244" s="1">
        <v>45739</v>
      </c>
      <c r="D244">
        <v>43</v>
      </c>
      <c r="E244">
        <v>6</v>
      </c>
      <c r="F244" s="11">
        <v>3466.9737999999998</v>
      </c>
    </row>
    <row r="245" spans="1:6" x14ac:dyDescent="0.2">
      <c r="A245">
        <v>244</v>
      </c>
      <c r="B245">
        <v>43</v>
      </c>
      <c r="C245" s="1">
        <v>45955</v>
      </c>
      <c r="D245">
        <v>32</v>
      </c>
      <c r="E245">
        <v>6</v>
      </c>
      <c r="F245" s="11">
        <v>3031.4811999999997</v>
      </c>
    </row>
    <row r="246" spans="1:6" x14ac:dyDescent="0.2">
      <c r="A246">
        <v>245</v>
      </c>
      <c r="B246">
        <v>141</v>
      </c>
      <c r="C246" s="1">
        <v>45626</v>
      </c>
      <c r="D246">
        <v>40</v>
      </c>
      <c r="E246">
        <v>3</v>
      </c>
      <c r="F246" s="11">
        <v>7629.2342999999992</v>
      </c>
    </row>
    <row r="247" spans="1:6" x14ac:dyDescent="0.2">
      <c r="A247">
        <v>246</v>
      </c>
      <c r="B247">
        <v>106</v>
      </c>
      <c r="C247" s="1">
        <v>45226</v>
      </c>
      <c r="D247">
        <v>7</v>
      </c>
      <c r="E247">
        <v>7</v>
      </c>
      <c r="F247" s="11">
        <v>1333.6478999999999</v>
      </c>
    </row>
    <row r="248" spans="1:6" x14ac:dyDescent="0.2">
      <c r="A248">
        <v>247</v>
      </c>
      <c r="B248">
        <v>58</v>
      </c>
      <c r="C248" s="1">
        <v>45151</v>
      </c>
      <c r="D248">
        <v>27</v>
      </c>
      <c r="E248">
        <v>8</v>
      </c>
      <c r="F248" s="11">
        <v>1047.4936</v>
      </c>
    </row>
    <row r="249" spans="1:6" x14ac:dyDescent="0.2">
      <c r="A249">
        <v>248</v>
      </c>
      <c r="B249">
        <v>67</v>
      </c>
      <c r="C249" s="1">
        <v>45246</v>
      </c>
      <c r="D249">
        <v>14</v>
      </c>
      <c r="E249">
        <v>7</v>
      </c>
      <c r="F249" s="11">
        <v>1070.1603</v>
      </c>
    </row>
    <row r="250" spans="1:6" x14ac:dyDescent="0.2">
      <c r="A250">
        <v>249</v>
      </c>
      <c r="B250">
        <v>133</v>
      </c>
      <c r="C250" s="1">
        <v>45677</v>
      </c>
      <c r="D250">
        <v>2</v>
      </c>
      <c r="E250">
        <v>5</v>
      </c>
      <c r="F250" s="11">
        <v>6274.6549999999997</v>
      </c>
    </row>
    <row r="251" spans="1:6" x14ac:dyDescent="0.2">
      <c r="A251">
        <v>250</v>
      </c>
      <c r="B251">
        <v>48</v>
      </c>
      <c r="C251" s="1">
        <v>45444</v>
      </c>
      <c r="D251">
        <v>47</v>
      </c>
      <c r="E251">
        <v>4</v>
      </c>
      <c r="F251" s="11">
        <v>3540.7392</v>
      </c>
    </row>
    <row r="252" spans="1:6" x14ac:dyDescent="0.2">
      <c r="A252">
        <v>251</v>
      </c>
      <c r="B252">
        <v>8</v>
      </c>
      <c r="C252" s="1">
        <v>46017</v>
      </c>
      <c r="D252">
        <v>39</v>
      </c>
      <c r="E252">
        <v>10</v>
      </c>
      <c r="F252" s="11">
        <v>5079.5459999999994</v>
      </c>
    </row>
    <row r="253" spans="1:6" x14ac:dyDescent="0.2">
      <c r="A253">
        <v>252</v>
      </c>
      <c r="B253">
        <v>117</v>
      </c>
      <c r="C253" s="1">
        <v>45632</v>
      </c>
      <c r="D253">
        <v>15</v>
      </c>
      <c r="E253">
        <v>6</v>
      </c>
      <c r="F253" s="11">
        <v>1999.5491999999997</v>
      </c>
    </row>
    <row r="254" spans="1:6" x14ac:dyDescent="0.2">
      <c r="A254">
        <v>253</v>
      </c>
      <c r="B254">
        <v>64</v>
      </c>
      <c r="C254" s="1">
        <v>45749</v>
      </c>
      <c r="D254">
        <v>49</v>
      </c>
      <c r="E254">
        <v>10</v>
      </c>
      <c r="F254" s="11">
        <v>2880</v>
      </c>
    </row>
    <row r="255" spans="1:6" x14ac:dyDescent="0.2">
      <c r="A255">
        <v>254</v>
      </c>
      <c r="B255">
        <v>62</v>
      </c>
      <c r="C255" s="1">
        <v>45709</v>
      </c>
      <c r="D255">
        <v>4</v>
      </c>
      <c r="E255">
        <v>10</v>
      </c>
      <c r="F255" s="11">
        <v>3112.1460000000002</v>
      </c>
    </row>
    <row r="256" spans="1:6" x14ac:dyDescent="0.2">
      <c r="A256">
        <v>255</v>
      </c>
      <c r="B256">
        <v>53</v>
      </c>
      <c r="C256" s="1">
        <v>45924</v>
      </c>
      <c r="D256">
        <v>27</v>
      </c>
      <c r="E256">
        <v>7</v>
      </c>
      <c r="F256" s="11">
        <v>3221.9012999999995</v>
      </c>
    </row>
    <row r="257" spans="1:6" x14ac:dyDescent="0.2">
      <c r="A257">
        <v>256</v>
      </c>
      <c r="B257">
        <v>76</v>
      </c>
      <c r="C257" s="1">
        <v>45818</v>
      </c>
      <c r="D257">
        <v>20</v>
      </c>
      <c r="E257">
        <v>7</v>
      </c>
      <c r="F257" s="11">
        <v>2850.9800999999998</v>
      </c>
    </row>
    <row r="258" spans="1:6" x14ac:dyDescent="0.2">
      <c r="A258">
        <v>257</v>
      </c>
      <c r="B258">
        <v>9</v>
      </c>
      <c r="C258" s="1">
        <v>45672</v>
      </c>
      <c r="D258">
        <v>32</v>
      </c>
      <c r="E258">
        <v>3</v>
      </c>
      <c r="F258" s="11">
        <v>2777.9344999999998</v>
      </c>
    </row>
    <row r="259" spans="1:6" x14ac:dyDescent="0.2">
      <c r="A259">
        <v>258</v>
      </c>
      <c r="B259">
        <v>92</v>
      </c>
      <c r="C259" s="1">
        <v>45255</v>
      </c>
      <c r="D259">
        <v>22</v>
      </c>
      <c r="E259">
        <v>9</v>
      </c>
      <c r="F259" s="11">
        <v>3255.9982</v>
      </c>
    </row>
    <row r="260" spans="1:6" x14ac:dyDescent="0.2">
      <c r="A260">
        <v>259</v>
      </c>
      <c r="B260">
        <v>119</v>
      </c>
      <c r="C260" s="1">
        <v>45854</v>
      </c>
      <c r="D260">
        <v>33</v>
      </c>
      <c r="E260">
        <v>3</v>
      </c>
      <c r="F260" s="11">
        <v>1883.6527000000001</v>
      </c>
    </row>
    <row r="261" spans="1:6" x14ac:dyDescent="0.2">
      <c r="A261">
        <v>260</v>
      </c>
      <c r="B261">
        <v>85</v>
      </c>
      <c r="C261" s="1">
        <v>45433</v>
      </c>
      <c r="D261">
        <v>7</v>
      </c>
      <c r="E261">
        <v>3</v>
      </c>
      <c r="F261" s="11">
        <v>3640.4391000000001</v>
      </c>
    </row>
    <row r="262" spans="1:6" x14ac:dyDescent="0.2">
      <c r="A262">
        <v>261</v>
      </c>
      <c r="B262">
        <v>134</v>
      </c>
      <c r="C262" s="1">
        <v>45669</v>
      </c>
      <c r="D262">
        <v>47</v>
      </c>
      <c r="E262">
        <v>10</v>
      </c>
      <c r="F262" s="11">
        <v>604.98900000000003</v>
      </c>
    </row>
    <row r="263" spans="1:6" x14ac:dyDescent="0.2">
      <c r="A263">
        <v>262</v>
      </c>
      <c r="B263">
        <v>12</v>
      </c>
      <c r="C263" s="1">
        <v>45641</v>
      </c>
      <c r="D263">
        <v>11</v>
      </c>
      <c r="E263">
        <v>7</v>
      </c>
      <c r="F263" s="11">
        <v>1502.1824999999999</v>
      </c>
    </row>
    <row r="264" spans="1:6" x14ac:dyDescent="0.2">
      <c r="A264">
        <v>263</v>
      </c>
      <c r="B264">
        <v>130</v>
      </c>
      <c r="C264" s="1">
        <v>45449</v>
      </c>
      <c r="D264">
        <v>9</v>
      </c>
      <c r="E264">
        <v>10</v>
      </c>
      <c r="F264" s="11">
        <v>2866.9409999999998</v>
      </c>
    </row>
    <row r="265" spans="1:6" x14ac:dyDescent="0.2">
      <c r="A265">
        <v>264</v>
      </c>
      <c r="B265">
        <v>30</v>
      </c>
      <c r="C265" s="1">
        <v>45053</v>
      </c>
      <c r="D265">
        <v>39</v>
      </c>
      <c r="E265">
        <v>6</v>
      </c>
      <c r="F265" s="11">
        <v>1925.4395999999999</v>
      </c>
    </row>
    <row r="266" spans="1:6" x14ac:dyDescent="0.2">
      <c r="A266">
        <v>265</v>
      </c>
      <c r="B266">
        <v>98</v>
      </c>
      <c r="C266" s="1">
        <v>45270</v>
      </c>
      <c r="D266">
        <v>47</v>
      </c>
      <c r="E266">
        <v>10</v>
      </c>
      <c r="F266" s="11">
        <v>7026.9120000000003</v>
      </c>
    </row>
    <row r="267" spans="1:6" x14ac:dyDescent="0.2">
      <c r="A267">
        <v>266</v>
      </c>
      <c r="B267">
        <v>36</v>
      </c>
      <c r="C267" s="1">
        <v>45930</v>
      </c>
      <c r="D267">
        <v>27</v>
      </c>
      <c r="E267">
        <v>8</v>
      </c>
      <c r="F267" s="11">
        <v>135.608</v>
      </c>
    </row>
    <row r="268" spans="1:6" x14ac:dyDescent="0.2">
      <c r="A268">
        <v>267</v>
      </c>
      <c r="B268">
        <v>120</v>
      </c>
      <c r="C268" s="1">
        <v>45508</v>
      </c>
      <c r="D268">
        <v>37</v>
      </c>
      <c r="E268">
        <v>9</v>
      </c>
      <c r="F268" s="11">
        <v>1798.7059999999999</v>
      </c>
    </row>
    <row r="269" spans="1:6" x14ac:dyDescent="0.2">
      <c r="A269">
        <v>268</v>
      </c>
      <c r="B269">
        <v>64</v>
      </c>
      <c r="C269" s="1">
        <v>45220</v>
      </c>
      <c r="D269">
        <v>9</v>
      </c>
      <c r="E269">
        <v>7</v>
      </c>
      <c r="F269" s="11">
        <v>2976</v>
      </c>
    </row>
    <row r="270" spans="1:6" x14ac:dyDescent="0.2">
      <c r="A270">
        <v>269</v>
      </c>
      <c r="B270">
        <v>39</v>
      </c>
      <c r="C270" s="1">
        <v>45383</v>
      </c>
      <c r="D270">
        <v>10</v>
      </c>
      <c r="E270">
        <v>2</v>
      </c>
      <c r="F270" s="11">
        <v>3143.4283999999998</v>
      </c>
    </row>
    <row r="271" spans="1:6" x14ac:dyDescent="0.2">
      <c r="A271">
        <v>270</v>
      </c>
      <c r="B271">
        <v>120</v>
      </c>
      <c r="C271" s="1">
        <v>45315</v>
      </c>
      <c r="D271">
        <v>31</v>
      </c>
      <c r="E271">
        <v>7</v>
      </c>
      <c r="F271" s="11">
        <v>1838.2379999999998</v>
      </c>
    </row>
    <row r="272" spans="1:6" x14ac:dyDescent="0.2">
      <c r="A272">
        <v>271</v>
      </c>
      <c r="B272">
        <v>6</v>
      </c>
      <c r="C272" s="1">
        <v>45434</v>
      </c>
      <c r="D272">
        <v>1</v>
      </c>
      <c r="E272">
        <v>7</v>
      </c>
      <c r="F272" s="11">
        <v>3836.4173999999998</v>
      </c>
    </row>
    <row r="273" spans="1:6" x14ac:dyDescent="0.2">
      <c r="A273">
        <v>272</v>
      </c>
      <c r="B273">
        <v>74</v>
      </c>
      <c r="C273" s="1">
        <v>45683</v>
      </c>
      <c r="D273">
        <v>42</v>
      </c>
      <c r="E273">
        <v>3</v>
      </c>
      <c r="F273" s="11">
        <v>1848.0536999999999</v>
      </c>
    </row>
    <row r="274" spans="1:6" x14ac:dyDescent="0.2">
      <c r="A274">
        <v>273</v>
      </c>
      <c r="B274">
        <v>66</v>
      </c>
      <c r="C274" s="1">
        <v>44984</v>
      </c>
      <c r="D274">
        <v>2</v>
      </c>
      <c r="E274">
        <v>6</v>
      </c>
      <c r="F274" s="11">
        <v>5475.5093999999999</v>
      </c>
    </row>
    <row r="275" spans="1:6" x14ac:dyDescent="0.2">
      <c r="A275">
        <v>274</v>
      </c>
      <c r="B275">
        <v>88</v>
      </c>
      <c r="C275" s="1">
        <v>45750</v>
      </c>
      <c r="D275">
        <v>40</v>
      </c>
      <c r="E275">
        <v>6</v>
      </c>
      <c r="F275" s="11">
        <v>5862.1502</v>
      </c>
    </row>
    <row r="276" spans="1:6" x14ac:dyDescent="0.2">
      <c r="A276">
        <v>275</v>
      </c>
      <c r="B276">
        <v>110</v>
      </c>
      <c r="C276" s="1">
        <v>44927</v>
      </c>
      <c r="D276">
        <v>7</v>
      </c>
      <c r="E276">
        <v>4</v>
      </c>
      <c r="F276" s="11">
        <v>1492.0416</v>
      </c>
    </row>
    <row r="277" spans="1:6" x14ac:dyDescent="0.2">
      <c r="A277">
        <v>276</v>
      </c>
      <c r="B277">
        <v>109</v>
      </c>
      <c r="C277" s="1">
        <v>45028</v>
      </c>
      <c r="D277">
        <v>42</v>
      </c>
      <c r="E277">
        <v>3</v>
      </c>
      <c r="F277" s="11">
        <v>2148.0552999999995</v>
      </c>
    </row>
    <row r="278" spans="1:6" x14ac:dyDescent="0.2">
      <c r="A278">
        <v>277</v>
      </c>
      <c r="B278">
        <v>147</v>
      </c>
      <c r="C278" s="1">
        <v>45173</v>
      </c>
      <c r="D278">
        <v>44</v>
      </c>
      <c r="E278">
        <v>6</v>
      </c>
      <c r="F278" s="11">
        <v>4309.2607999999991</v>
      </c>
    </row>
    <row r="279" spans="1:6" x14ac:dyDescent="0.2">
      <c r="A279">
        <v>278</v>
      </c>
      <c r="B279">
        <v>40</v>
      </c>
      <c r="C279" s="1">
        <v>45357</v>
      </c>
      <c r="D279">
        <v>32</v>
      </c>
      <c r="E279">
        <v>9</v>
      </c>
      <c r="F279" s="11">
        <v>447.96570000000003</v>
      </c>
    </row>
    <row r="280" spans="1:6" x14ac:dyDescent="0.2">
      <c r="A280">
        <v>279</v>
      </c>
      <c r="B280">
        <v>38</v>
      </c>
      <c r="C280" s="1">
        <v>45412</v>
      </c>
      <c r="D280">
        <v>41</v>
      </c>
      <c r="E280">
        <v>10</v>
      </c>
      <c r="F280" s="11">
        <v>5935.9409999999998</v>
      </c>
    </row>
    <row r="281" spans="1:6" x14ac:dyDescent="0.2">
      <c r="A281">
        <v>280</v>
      </c>
      <c r="B281">
        <v>148</v>
      </c>
      <c r="C281" s="1">
        <v>45532</v>
      </c>
      <c r="D281">
        <v>1</v>
      </c>
      <c r="E281">
        <v>2</v>
      </c>
      <c r="F281" s="11">
        <v>3948.4395999999997</v>
      </c>
    </row>
    <row r="282" spans="1:6" x14ac:dyDescent="0.2">
      <c r="A282">
        <v>281</v>
      </c>
      <c r="B282">
        <v>64</v>
      </c>
      <c r="C282" s="1">
        <v>45937</v>
      </c>
      <c r="D282">
        <v>42</v>
      </c>
      <c r="E282">
        <v>6</v>
      </c>
      <c r="F282" s="11">
        <v>3008</v>
      </c>
    </row>
    <row r="283" spans="1:6" x14ac:dyDescent="0.2">
      <c r="A283">
        <v>282</v>
      </c>
      <c r="B283">
        <v>125</v>
      </c>
      <c r="C283" s="1">
        <v>44990</v>
      </c>
      <c r="D283">
        <v>31</v>
      </c>
      <c r="E283">
        <v>2</v>
      </c>
      <c r="F283" s="11">
        <v>4264.0486000000001</v>
      </c>
    </row>
    <row r="284" spans="1:6" x14ac:dyDescent="0.2">
      <c r="A284">
        <v>283</v>
      </c>
      <c r="B284">
        <v>65</v>
      </c>
      <c r="C284" s="1">
        <v>45006</v>
      </c>
      <c r="D284">
        <v>1</v>
      </c>
      <c r="E284">
        <v>5</v>
      </c>
      <c r="F284" s="11">
        <v>4285.7919999999995</v>
      </c>
    </row>
    <row r="285" spans="1:6" x14ac:dyDescent="0.2">
      <c r="A285">
        <v>284</v>
      </c>
      <c r="B285">
        <v>21</v>
      </c>
      <c r="C285" s="1">
        <v>45938</v>
      </c>
      <c r="D285">
        <v>20</v>
      </c>
      <c r="E285">
        <v>6</v>
      </c>
      <c r="F285" s="11">
        <v>2706.5419999999999</v>
      </c>
    </row>
    <row r="286" spans="1:6" x14ac:dyDescent="0.2">
      <c r="A286">
        <v>285</v>
      </c>
      <c r="B286">
        <v>57</v>
      </c>
      <c r="C286" s="1">
        <v>45390</v>
      </c>
      <c r="D286">
        <v>8</v>
      </c>
      <c r="E286">
        <v>9</v>
      </c>
      <c r="F286" s="11">
        <v>6198.6925000000001</v>
      </c>
    </row>
    <row r="287" spans="1:6" x14ac:dyDescent="0.2">
      <c r="A287">
        <v>286</v>
      </c>
      <c r="B287">
        <v>30</v>
      </c>
      <c r="C287" s="1">
        <v>45383</v>
      </c>
      <c r="D287">
        <v>28</v>
      </c>
      <c r="E287">
        <v>5</v>
      </c>
      <c r="F287" s="11">
        <v>1945.923</v>
      </c>
    </row>
    <row r="288" spans="1:6" x14ac:dyDescent="0.2">
      <c r="A288">
        <v>287</v>
      </c>
      <c r="B288">
        <v>109</v>
      </c>
      <c r="C288" s="1">
        <v>45104</v>
      </c>
      <c r="D288">
        <v>16</v>
      </c>
      <c r="E288">
        <v>9</v>
      </c>
      <c r="F288" s="11">
        <v>2015.1858999999999</v>
      </c>
    </row>
    <row r="289" spans="1:6" x14ac:dyDescent="0.2">
      <c r="A289">
        <v>288</v>
      </c>
      <c r="B289">
        <v>2</v>
      </c>
      <c r="C289" s="1">
        <v>45494</v>
      </c>
      <c r="D289">
        <v>33</v>
      </c>
      <c r="E289">
        <v>8</v>
      </c>
      <c r="F289" s="11">
        <v>4070.7975999999999</v>
      </c>
    </row>
    <row r="290" spans="1:6" x14ac:dyDescent="0.2">
      <c r="A290">
        <v>289</v>
      </c>
      <c r="B290">
        <v>86</v>
      </c>
      <c r="C290" s="1">
        <v>45587</v>
      </c>
      <c r="D290">
        <v>11</v>
      </c>
      <c r="E290">
        <v>4</v>
      </c>
      <c r="F290" s="11">
        <v>2997.9935999999998</v>
      </c>
    </row>
    <row r="291" spans="1:6" x14ac:dyDescent="0.2">
      <c r="A291">
        <v>290</v>
      </c>
      <c r="B291">
        <v>64</v>
      </c>
      <c r="C291" s="1">
        <v>45289</v>
      </c>
      <c r="D291">
        <v>35</v>
      </c>
      <c r="E291">
        <v>2</v>
      </c>
      <c r="F291" s="11">
        <v>3136</v>
      </c>
    </row>
    <row r="292" spans="1:6" x14ac:dyDescent="0.2">
      <c r="A292">
        <v>291</v>
      </c>
      <c r="B292">
        <v>47</v>
      </c>
      <c r="C292" s="1">
        <v>45146</v>
      </c>
      <c r="D292">
        <v>15</v>
      </c>
      <c r="E292">
        <v>2</v>
      </c>
      <c r="F292" s="11">
        <v>3345.3083999999999</v>
      </c>
    </row>
    <row r="293" spans="1:6" x14ac:dyDescent="0.2">
      <c r="A293">
        <v>292</v>
      </c>
      <c r="B293">
        <v>75</v>
      </c>
      <c r="C293" s="1">
        <v>45206</v>
      </c>
      <c r="D293">
        <v>15</v>
      </c>
      <c r="E293">
        <v>8</v>
      </c>
      <c r="F293" s="11">
        <v>3471.5648000000001</v>
      </c>
    </row>
    <row r="294" spans="1:6" x14ac:dyDescent="0.2">
      <c r="A294">
        <v>293</v>
      </c>
      <c r="B294">
        <v>28</v>
      </c>
      <c r="C294" s="1">
        <v>45045</v>
      </c>
      <c r="D294">
        <v>48</v>
      </c>
      <c r="E294">
        <v>5</v>
      </c>
      <c r="F294" s="11">
        <v>5430.7889999999998</v>
      </c>
    </row>
    <row r="295" spans="1:6" x14ac:dyDescent="0.2">
      <c r="A295">
        <v>294</v>
      </c>
      <c r="B295">
        <v>68</v>
      </c>
      <c r="C295" s="1">
        <v>44939</v>
      </c>
      <c r="D295">
        <v>22</v>
      </c>
      <c r="E295">
        <v>6</v>
      </c>
      <c r="F295" s="11">
        <v>5680.8805999999995</v>
      </c>
    </row>
    <row r="296" spans="1:6" x14ac:dyDescent="0.2">
      <c r="A296">
        <v>295</v>
      </c>
      <c r="B296">
        <v>136</v>
      </c>
      <c r="C296" s="1">
        <v>45121</v>
      </c>
      <c r="D296">
        <v>29</v>
      </c>
      <c r="E296">
        <v>2</v>
      </c>
      <c r="F296" s="11">
        <v>5053.2425999999996</v>
      </c>
    </row>
    <row r="297" spans="1:6" x14ac:dyDescent="0.2">
      <c r="A297">
        <v>296</v>
      </c>
      <c r="B297">
        <v>128</v>
      </c>
      <c r="C297" s="1">
        <v>45282</v>
      </c>
      <c r="D297">
        <v>2</v>
      </c>
      <c r="E297">
        <v>8</v>
      </c>
      <c r="F297" s="11">
        <v>4841.5920000000006</v>
      </c>
    </row>
    <row r="298" spans="1:6" x14ac:dyDescent="0.2">
      <c r="A298">
        <v>297</v>
      </c>
      <c r="B298">
        <v>111</v>
      </c>
      <c r="C298" s="1">
        <v>44941</v>
      </c>
      <c r="D298">
        <v>50</v>
      </c>
      <c r="E298">
        <v>4</v>
      </c>
      <c r="F298" s="11">
        <v>724.05119999999999</v>
      </c>
    </row>
    <row r="299" spans="1:6" x14ac:dyDescent="0.2">
      <c r="A299">
        <v>298</v>
      </c>
      <c r="B299">
        <v>50</v>
      </c>
      <c r="C299" s="1">
        <v>45606</v>
      </c>
      <c r="D299">
        <v>34</v>
      </c>
      <c r="E299">
        <v>7</v>
      </c>
      <c r="F299" s="11">
        <v>1261.731</v>
      </c>
    </row>
    <row r="300" spans="1:6" x14ac:dyDescent="0.2">
      <c r="A300">
        <v>299</v>
      </c>
      <c r="B300">
        <v>3</v>
      </c>
      <c r="C300" s="1">
        <v>45036</v>
      </c>
      <c r="D300">
        <v>34</v>
      </c>
      <c r="E300">
        <v>9</v>
      </c>
      <c r="F300" s="11">
        <v>4701.7698</v>
      </c>
    </row>
    <row r="301" spans="1:6" x14ac:dyDescent="0.2">
      <c r="A301">
        <v>300</v>
      </c>
      <c r="B301">
        <v>82</v>
      </c>
      <c r="C301" s="1">
        <v>45064</v>
      </c>
      <c r="D301">
        <v>39</v>
      </c>
      <c r="E301">
        <v>5</v>
      </c>
      <c r="F301" s="11">
        <v>1207.6589999999999</v>
      </c>
    </row>
    <row r="302" spans="1:6" x14ac:dyDescent="0.2">
      <c r="A302">
        <v>301</v>
      </c>
      <c r="B302">
        <v>25</v>
      </c>
      <c r="C302" s="1">
        <v>45472</v>
      </c>
      <c r="D302">
        <v>35</v>
      </c>
      <c r="E302">
        <v>2</v>
      </c>
      <c r="F302" s="11">
        <v>556.8066</v>
      </c>
    </row>
    <row r="303" spans="1:6" x14ac:dyDescent="0.2">
      <c r="A303">
        <v>302</v>
      </c>
      <c r="B303">
        <v>4</v>
      </c>
      <c r="C303" s="1">
        <v>45476</v>
      </c>
      <c r="D303">
        <v>14</v>
      </c>
      <c r="E303">
        <v>10</v>
      </c>
      <c r="F303" s="11">
        <v>6376.8420000000006</v>
      </c>
    </row>
    <row r="304" spans="1:6" x14ac:dyDescent="0.2">
      <c r="A304">
        <v>303</v>
      </c>
      <c r="B304">
        <v>54</v>
      </c>
      <c r="C304" s="1">
        <v>45690</v>
      </c>
      <c r="D304">
        <v>41</v>
      </c>
      <c r="E304">
        <v>9</v>
      </c>
      <c r="F304" s="11">
        <v>845.89049999999997</v>
      </c>
    </row>
    <row r="305" spans="1:6" x14ac:dyDescent="0.2">
      <c r="A305">
        <v>304</v>
      </c>
      <c r="B305">
        <v>95</v>
      </c>
      <c r="C305" s="1">
        <v>45389</v>
      </c>
      <c r="D305">
        <v>43</v>
      </c>
      <c r="E305">
        <v>4</v>
      </c>
      <c r="F305" s="11">
        <v>6689.9232000000002</v>
      </c>
    </row>
    <row r="306" spans="1:6" x14ac:dyDescent="0.2">
      <c r="A306">
        <v>305</v>
      </c>
      <c r="B306">
        <v>120</v>
      </c>
      <c r="C306" s="1">
        <v>45080</v>
      </c>
      <c r="D306">
        <v>13</v>
      </c>
      <c r="E306">
        <v>6</v>
      </c>
      <c r="F306" s="11">
        <v>1858.0039999999999</v>
      </c>
    </row>
    <row r="307" spans="1:6" x14ac:dyDescent="0.2">
      <c r="A307">
        <v>306</v>
      </c>
      <c r="B307">
        <v>103</v>
      </c>
      <c r="C307" s="1">
        <v>45683</v>
      </c>
      <c r="D307">
        <v>8</v>
      </c>
      <c r="E307">
        <v>10</v>
      </c>
      <c r="F307" s="11">
        <v>5772.6450000000004</v>
      </c>
    </row>
    <row r="308" spans="1:6" x14ac:dyDescent="0.2">
      <c r="A308">
        <v>307</v>
      </c>
      <c r="B308">
        <v>90</v>
      </c>
      <c r="C308" s="1">
        <v>45293</v>
      </c>
      <c r="D308">
        <v>39</v>
      </c>
      <c r="E308">
        <v>6</v>
      </c>
      <c r="F308" s="11">
        <v>1294.1073999999999</v>
      </c>
    </row>
    <row r="309" spans="1:6" x14ac:dyDescent="0.2">
      <c r="A309">
        <v>308</v>
      </c>
      <c r="B309">
        <v>94</v>
      </c>
      <c r="C309" s="1">
        <v>45837</v>
      </c>
      <c r="D309">
        <v>46</v>
      </c>
      <c r="E309">
        <v>5</v>
      </c>
      <c r="F309" s="11">
        <v>4420.1409999999996</v>
      </c>
    </row>
    <row r="310" spans="1:6" x14ac:dyDescent="0.2">
      <c r="A310">
        <v>309</v>
      </c>
      <c r="B310">
        <v>31</v>
      </c>
      <c r="C310" s="1">
        <v>45447</v>
      </c>
      <c r="D310">
        <v>41</v>
      </c>
      <c r="E310">
        <v>2</v>
      </c>
      <c r="F310" s="11">
        <v>1002.7752</v>
      </c>
    </row>
    <row r="311" spans="1:6" x14ac:dyDescent="0.2">
      <c r="A311">
        <v>310</v>
      </c>
      <c r="B311">
        <v>71</v>
      </c>
      <c r="C311" s="1">
        <v>45758</v>
      </c>
      <c r="D311">
        <v>34</v>
      </c>
      <c r="E311">
        <v>8</v>
      </c>
      <c r="F311" s="11">
        <v>4536.7592000000004</v>
      </c>
    </row>
    <row r="312" spans="1:6" x14ac:dyDescent="0.2">
      <c r="A312">
        <v>311</v>
      </c>
      <c r="B312">
        <v>62</v>
      </c>
      <c r="C312" s="1">
        <v>45180</v>
      </c>
      <c r="D312">
        <v>28</v>
      </c>
      <c r="E312">
        <v>8</v>
      </c>
      <c r="F312" s="11">
        <v>3181.3048000000003</v>
      </c>
    </row>
    <row r="313" spans="1:6" x14ac:dyDescent="0.2">
      <c r="A313">
        <v>312</v>
      </c>
      <c r="B313">
        <v>80</v>
      </c>
      <c r="C313" s="1">
        <v>45314</v>
      </c>
      <c r="D313">
        <v>30</v>
      </c>
      <c r="E313">
        <v>7</v>
      </c>
      <c r="F313" s="11">
        <v>929.13509999999997</v>
      </c>
    </row>
    <row r="314" spans="1:6" x14ac:dyDescent="0.2">
      <c r="A314">
        <v>313</v>
      </c>
      <c r="B314">
        <v>131</v>
      </c>
      <c r="C314" s="1">
        <v>45721</v>
      </c>
      <c r="D314">
        <v>12</v>
      </c>
      <c r="E314">
        <v>10</v>
      </c>
      <c r="F314" s="11">
        <v>5573.3220000000001</v>
      </c>
    </row>
    <row r="315" spans="1:6" x14ac:dyDescent="0.2">
      <c r="A315">
        <v>314</v>
      </c>
      <c r="B315">
        <v>34</v>
      </c>
      <c r="C315" s="1">
        <v>45227</v>
      </c>
      <c r="D315">
        <v>4</v>
      </c>
      <c r="E315">
        <v>4</v>
      </c>
      <c r="F315" s="11">
        <v>1251.2544</v>
      </c>
    </row>
    <row r="316" spans="1:6" x14ac:dyDescent="0.2">
      <c r="A316">
        <v>315</v>
      </c>
      <c r="B316">
        <v>93</v>
      </c>
      <c r="C316" s="1">
        <v>44979</v>
      </c>
      <c r="D316">
        <v>45</v>
      </c>
      <c r="E316">
        <v>9</v>
      </c>
      <c r="F316" s="11">
        <v>6972.9386999999997</v>
      </c>
    </row>
    <row r="317" spans="1:6" x14ac:dyDescent="0.2">
      <c r="A317">
        <v>316</v>
      </c>
      <c r="B317">
        <v>118</v>
      </c>
      <c r="C317" s="1">
        <v>45679</v>
      </c>
      <c r="D317">
        <v>29</v>
      </c>
      <c r="E317">
        <v>6</v>
      </c>
      <c r="F317" s="11">
        <v>2960.2949999999996</v>
      </c>
    </row>
    <row r="318" spans="1:6" x14ac:dyDescent="0.2">
      <c r="A318">
        <v>317</v>
      </c>
      <c r="B318">
        <v>4</v>
      </c>
      <c r="C318" s="1">
        <v>45120</v>
      </c>
      <c r="D318">
        <v>23</v>
      </c>
      <c r="E318">
        <v>5</v>
      </c>
      <c r="F318" s="11">
        <v>6731.1109999999999</v>
      </c>
    </row>
    <row r="319" spans="1:6" x14ac:dyDescent="0.2">
      <c r="A319">
        <v>318</v>
      </c>
      <c r="B319">
        <v>26</v>
      </c>
      <c r="C319" s="1">
        <v>45324</v>
      </c>
      <c r="D319">
        <v>42</v>
      </c>
      <c r="E319">
        <v>8</v>
      </c>
      <c r="F319" s="11">
        <v>5185.9664000000002</v>
      </c>
    </row>
    <row r="320" spans="1:6" x14ac:dyDescent="0.2">
      <c r="A320">
        <v>319</v>
      </c>
      <c r="B320">
        <v>42</v>
      </c>
      <c r="C320" s="1">
        <v>45245</v>
      </c>
      <c r="D320">
        <v>38</v>
      </c>
      <c r="E320">
        <v>2</v>
      </c>
      <c r="F320" s="11">
        <v>419.048</v>
      </c>
    </row>
    <row r="321" spans="1:6" x14ac:dyDescent="0.2">
      <c r="A321">
        <v>320</v>
      </c>
      <c r="B321">
        <v>10</v>
      </c>
      <c r="C321" s="1">
        <v>45415</v>
      </c>
      <c r="D321">
        <v>36</v>
      </c>
      <c r="E321">
        <v>4</v>
      </c>
      <c r="F321" s="11">
        <v>2685.3984</v>
      </c>
    </row>
    <row r="322" spans="1:6" x14ac:dyDescent="0.2">
      <c r="A322">
        <v>321</v>
      </c>
      <c r="B322">
        <v>119</v>
      </c>
      <c r="C322" s="1">
        <v>45032</v>
      </c>
      <c r="D322">
        <v>2</v>
      </c>
      <c r="E322">
        <v>3</v>
      </c>
      <c r="F322" s="11">
        <v>1883.6527000000001</v>
      </c>
    </row>
    <row r="323" spans="1:6" x14ac:dyDescent="0.2">
      <c r="A323">
        <v>322</v>
      </c>
      <c r="B323">
        <v>69</v>
      </c>
      <c r="C323" s="1">
        <v>45002</v>
      </c>
      <c r="D323">
        <v>15</v>
      </c>
      <c r="E323">
        <v>9</v>
      </c>
      <c r="F323" s="11">
        <v>6787.4170000000004</v>
      </c>
    </row>
    <row r="324" spans="1:6" x14ac:dyDescent="0.2">
      <c r="A324">
        <v>323</v>
      </c>
      <c r="B324">
        <v>93</v>
      </c>
      <c r="C324" s="1">
        <v>45996</v>
      </c>
      <c r="D324">
        <v>40</v>
      </c>
      <c r="E324">
        <v>7</v>
      </c>
      <c r="F324" s="11">
        <v>7126.1900999999989</v>
      </c>
    </row>
    <row r="325" spans="1:6" x14ac:dyDescent="0.2">
      <c r="A325">
        <v>324</v>
      </c>
      <c r="B325">
        <v>139</v>
      </c>
      <c r="C325" s="1">
        <v>45478</v>
      </c>
      <c r="D325">
        <v>36</v>
      </c>
      <c r="E325">
        <v>9</v>
      </c>
      <c r="F325" s="11">
        <v>2357.8827999999999</v>
      </c>
    </row>
    <row r="326" spans="1:6" x14ac:dyDescent="0.2">
      <c r="A326">
        <v>325</v>
      </c>
      <c r="B326">
        <v>131</v>
      </c>
      <c r="C326" s="1">
        <v>45955</v>
      </c>
      <c r="D326">
        <v>50</v>
      </c>
      <c r="E326">
        <v>7</v>
      </c>
      <c r="F326" s="11">
        <v>5759.0993999999992</v>
      </c>
    </row>
    <row r="327" spans="1:6" x14ac:dyDescent="0.2">
      <c r="A327">
        <v>326</v>
      </c>
      <c r="B327">
        <v>72</v>
      </c>
      <c r="C327" s="1">
        <v>45967</v>
      </c>
      <c r="D327">
        <v>21</v>
      </c>
      <c r="E327">
        <v>9</v>
      </c>
      <c r="F327" s="11">
        <v>5279.2739999999994</v>
      </c>
    </row>
    <row r="328" spans="1:6" x14ac:dyDescent="0.2">
      <c r="A328">
        <v>327</v>
      </c>
      <c r="B328">
        <v>8</v>
      </c>
      <c r="C328" s="1">
        <v>45298</v>
      </c>
      <c r="D328">
        <v>36</v>
      </c>
      <c r="E328">
        <v>9</v>
      </c>
      <c r="F328" s="11">
        <v>5135.9853999999996</v>
      </c>
    </row>
    <row r="329" spans="1:6" x14ac:dyDescent="0.2">
      <c r="A329">
        <v>328</v>
      </c>
      <c r="B329">
        <v>57</v>
      </c>
      <c r="C329" s="1">
        <v>45942</v>
      </c>
      <c r="D329">
        <v>7</v>
      </c>
      <c r="E329">
        <v>2</v>
      </c>
      <c r="F329" s="11">
        <v>6675.5150000000003</v>
      </c>
    </row>
    <row r="330" spans="1:6" x14ac:dyDescent="0.2">
      <c r="A330">
        <v>329</v>
      </c>
      <c r="B330">
        <v>24</v>
      </c>
      <c r="C330" s="1">
        <v>45203</v>
      </c>
      <c r="D330">
        <v>24</v>
      </c>
      <c r="E330">
        <v>6</v>
      </c>
      <c r="F330" s="11">
        <v>3756.7287999999999</v>
      </c>
    </row>
    <row r="331" spans="1:6" x14ac:dyDescent="0.2">
      <c r="A331">
        <v>330</v>
      </c>
      <c r="B331">
        <v>28</v>
      </c>
      <c r="C331" s="1">
        <v>45155</v>
      </c>
      <c r="D331">
        <v>31</v>
      </c>
      <c r="E331">
        <v>3</v>
      </c>
      <c r="F331" s="11">
        <v>5545.1214</v>
      </c>
    </row>
    <row r="332" spans="1:6" x14ac:dyDescent="0.2">
      <c r="A332">
        <v>331</v>
      </c>
      <c r="B332">
        <v>5</v>
      </c>
      <c r="C332" s="1">
        <v>45075</v>
      </c>
      <c r="D332">
        <v>17</v>
      </c>
      <c r="E332">
        <v>3</v>
      </c>
      <c r="F332" s="11">
        <v>805.34249999999997</v>
      </c>
    </row>
    <row r="333" spans="1:6" x14ac:dyDescent="0.2">
      <c r="A333">
        <v>332</v>
      </c>
      <c r="B333">
        <v>28</v>
      </c>
      <c r="C333" s="1">
        <v>45693</v>
      </c>
      <c r="D333">
        <v>29</v>
      </c>
      <c r="E333">
        <v>6</v>
      </c>
      <c r="F333" s="11">
        <v>5373.6227999999992</v>
      </c>
    </row>
    <row r="334" spans="1:6" x14ac:dyDescent="0.2">
      <c r="A334">
        <v>333</v>
      </c>
      <c r="B334">
        <v>80</v>
      </c>
      <c r="C334" s="1">
        <v>44978</v>
      </c>
      <c r="D334">
        <v>48</v>
      </c>
      <c r="E334">
        <v>2</v>
      </c>
      <c r="F334" s="11">
        <v>979.08860000000004</v>
      </c>
    </row>
    <row r="335" spans="1:6" x14ac:dyDescent="0.2">
      <c r="A335">
        <v>334</v>
      </c>
      <c r="B335">
        <v>116</v>
      </c>
      <c r="C335" s="1">
        <v>45522</v>
      </c>
      <c r="D335">
        <v>22</v>
      </c>
      <c r="E335">
        <v>7</v>
      </c>
      <c r="F335" s="11">
        <v>2197.7294999999999</v>
      </c>
    </row>
    <row r="336" spans="1:6" x14ac:dyDescent="0.2">
      <c r="A336">
        <v>335</v>
      </c>
      <c r="B336">
        <v>117</v>
      </c>
      <c r="C336" s="1">
        <v>45834</v>
      </c>
      <c r="D336">
        <v>42</v>
      </c>
      <c r="E336">
        <v>2</v>
      </c>
      <c r="F336" s="11">
        <v>2084.6363999999999</v>
      </c>
    </row>
    <row r="337" spans="1:6" x14ac:dyDescent="0.2">
      <c r="A337">
        <v>336</v>
      </c>
      <c r="B337">
        <v>30</v>
      </c>
      <c r="C337" s="1">
        <v>45994</v>
      </c>
      <c r="D337">
        <v>37</v>
      </c>
      <c r="E337">
        <v>6</v>
      </c>
      <c r="F337" s="11">
        <v>1925.4395999999999</v>
      </c>
    </row>
    <row r="338" spans="1:6" x14ac:dyDescent="0.2">
      <c r="A338">
        <v>337</v>
      </c>
      <c r="B338">
        <v>78</v>
      </c>
      <c r="C338" s="1">
        <v>45108</v>
      </c>
      <c r="D338">
        <v>35</v>
      </c>
      <c r="E338">
        <v>3</v>
      </c>
      <c r="F338" s="11">
        <v>839.76779999999997</v>
      </c>
    </row>
    <row r="339" spans="1:6" x14ac:dyDescent="0.2">
      <c r="A339">
        <v>338</v>
      </c>
      <c r="B339">
        <v>80</v>
      </c>
      <c r="C339" s="1">
        <v>45941</v>
      </c>
      <c r="D339">
        <v>43</v>
      </c>
      <c r="E339">
        <v>9</v>
      </c>
      <c r="F339" s="11">
        <v>909.15370000000007</v>
      </c>
    </row>
    <row r="340" spans="1:6" x14ac:dyDescent="0.2">
      <c r="A340">
        <v>339</v>
      </c>
      <c r="B340">
        <v>5</v>
      </c>
      <c r="C340" s="1">
        <v>45368</v>
      </c>
      <c r="D340">
        <v>24</v>
      </c>
      <c r="E340">
        <v>9</v>
      </c>
      <c r="F340" s="11">
        <v>755.52750000000003</v>
      </c>
    </row>
    <row r="341" spans="1:6" x14ac:dyDescent="0.2">
      <c r="A341">
        <v>340</v>
      </c>
      <c r="B341">
        <v>137</v>
      </c>
      <c r="C341" s="1">
        <v>45935</v>
      </c>
      <c r="D341">
        <v>41</v>
      </c>
      <c r="E341">
        <v>7</v>
      </c>
      <c r="F341" s="11">
        <v>333.56310000000002</v>
      </c>
    </row>
    <row r="342" spans="1:6" x14ac:dyDescent="0.2">
      <c r="A342">
        <v>341</v>
      </c>
      <c r="B342">
        <v>95</v>
      </c>
      <c r="C342" s="1">
        <v>45861</v>
      </c>
      <c r="D342">
        <v>7</v>
      </c>
      <c r="E342">
        <v>4</v>
      </c>
      <c r="F342" s="11">
        <v>6689.9232000000002</v>
      </c>
    </row>
    <row r="343" spans="1:6" x14ac:dyDescent="0.2">
      <c r="A343">
        <v>342</v>
      </c>
      <c r="B343">
        <v>79</v>
      </c>
      <c r="C343" s="1">
        <v>45279</v>
      </c>
      <c r="D343">
        <v>50</v>
      </c>
      <c r="E343">
        <v>9</v>
      </c>
      <c r="F343" s="11">
        <v>2009.2162999999998</v>
      </c>
    </row>
    <row r="344" spans="1:6" x14ac:dyDescent="0.2">
      <c r="A344">
        <v>343</v>
      </c>
      <c r="B344">
        <v>64</v>
      </c>
      <c r="C344" s="1">
        <v>45380</v>
      </c>
      <c r="D344">
        <v>12</v>
      </c>
      <c r="E344">
        <v>10</v>
      </c>
      <c r="F344" s="11">
        <v>2880</v>
      </c>
    </row>
    <row r="345" spans="1:6" x14ac:dyDescent="0.2">
      <c r="A345">
        <v>344</v>
      </c>
      <c r="B345">
        <v>90</v>
      </c>
      <c r="C345" s="1">
        <v>45335</v>
      </c>
      <c r="D345">
        <v>43</v>
      </c>
      <c r="E345">
        <v>4</v>
      </c>
      <c r="F345" s="11">
        <v>1321.6415999999999</v>
      </c>
    </row>
    <row r="346" spans="1:6" x14ac:dyDescent="0.2">
      <c r="A346">
        <v>345</v>
      </c>
      <c r="B346">
        <v>137</v>
      </c>
      <c r="C346" s="1">
        <v>45356</v>
      </c>
      <c r="D346">
        <v>36</v>
      </c>
      <c r="E346">
        <v>10</v>
      </c>
      <c r="F346" s="11">
        <v>322.803</v>
      </c>
    </row>
    <row r="347" spans="1:6" x14ac:dyDescent="0.2">
      <c r="A347">
        <v>346</v>
      </c>
      <c r="B347">
        <v>40</v>
      </c>
      <c r="C347" s="1">
        <v>44992</v>
      </c>
      <c r="D347">
        <v>4</v>
      </c>
      <c r="E347">
        <v>7</v>
      </c>
      <c r="F347" s="11">
        <v>457.81109999999995</v>
      </c>
    </row>
    <row r="348" spans="1:6" x14ac:dyDescent="0.2">
      <c r="A348">
        <v>347</v>
      </c>
      <c r="B348">
        <v>74</v>
      </c>
      <c r="C348" s="1">
        <v>45651</v>
      </c>
      <c r="D348">
        <v>43</v>
      </c>
      <c r="E348">
        <v>2</v>
      </c>
      <c r="F348" s="11">
        <v>1867.1058</v>
      </c>
    </row>
    <row r="349" spans="1:6" x14ac:dyDescent="0.2">
      <c r="A349">
        <v>348</v>
      </c>
      <c r="B349">
        <v>98</v>
      </c>
      <c r="C349" s="1">
        <v>45853</v>
      </c>
      <c r="D349">
        <v>13</v>
      </c>
      <c r="E349">
        <v>4</v>
      </c>
      <c r="F349" s="11">
        <v>7495.3728000000001</v>
      </c>
    </row>
    <row r="350" spans="1:6" x14ac:dyDescent="0.2">
      <c r="A350">
        <v>349</v>
      </c>
      <c r="B350">
        <v>17</v>
      </c>
      <c r="C350" s="1">
        <v>44985</v>
      </c>
      <c r="D350">
        <v>25</v>
      </c>
      <c r="E350">
        <v>6</v>
      </c>
      <c r="F350" s="11">
        <v>2800.4198000000001</v>
      </c>
    </row>
    <row r="351" spans="1:6" x14ac:dyDescent="0.2">
      <c r="A351">
        <v>350</v>
      </c>
      <c r="B351">
        <v>85</v>
      </c>
      <c r="C351" s="1">
        <v>45942</v>
      </c>
      <c r="D351">
        <v>28</v>
      </c>
      <c r="E351">
        <v>3</v>
      </c>
      <c r="F351" s="11">
        <v>3640.4391000000001</v>
      </c>
    </row>
    <row r="352" spans="1:6" x14ac:dyDescent="0.2">
      <c r="A352">
        <v>351</v>
      </c>
      <c r="B352">
        <v>53</v>
      </c>
      <c r="C352" s="1">
        <v>45086</v>
      </c>
      <c r="D352">
        <v>8</v>
      </c>
      <c r="E352">
        <v>8</v>
      </c>
      <c r="F352" s="11">
        <v>3187.2572</v>
      </c>
    </row>
    <row r="353" spans="1:6" x14ac:dyDescent="0.2">
      <c r="A353">
        <v>352</v>
      </c>
      <c r="B353">
        <v>93</v>
      </c>
      <c r="C353" s="1">
        <v>45979</v>
      </c>
      <c r="D353">
        <v>11</v>
      </c>
      <c r="E353">
        <v>5</v>
      </c>
      <c r="F353" s="11">
        <v>7279.441499999999</v>
      </c>
    </row>
    <row r="354" spans="1:6" x14ac:dyDescent="0.2">
      <c r="A354">
        <v>353</v>
      </c>
      <c r="B354">
        <v>110</v>
      </c>
      <c r="C354" s="1">
        <v>45263</v>
      </c>
      <c r="D354">
        <v>15</v>
      </c>
      <c r="E354">
        <v>10</v>
      </c>
      <c r="F354" s="11">
        <v>1398.789</v>
      </c>
    </row>
    <row r="355" spans="1:6" x14ac:dyDescent="0.2">
      <c r="A355">
        <v>354</v>
      </c>
      <c r="B355">
        <v>34</v>
      </c>
      <c r="C355" s="1">
        <v>45018</v>
      </c>
      <c r="D355">
        <v>46</v>
      </c>
      <c r="E355">
        <v>4</v>
      </c>
      <c r="F355" s="11">
        <v>1251.2544</v>
      </c>
    </row>
    <row r="356" spans="1:6" x14ac:dyDescent="0.2">
      <c r="A356">
        <v>355</v>
      </c>
      <c r="B356">
        <v>35</v>
      </c>
      <c r="C356" s="1">
        <v>45379</v>
      </c>
      <c r="D356">
        <v>27</v>
      </c>
      <c r="E356">
        <v>10</v>
      </c>
      <c r="F356" s="11">
        <v>121.67100000000001</v>
      </c>
    </row>
    <row r="357" spans="1:6" x14ac:dyDescent="0.2">
      <c r="A357">
        <v>356</v>
      </c>
      <c r="B357">
        <v>33</v>
      </c>
      <c r="C357" s="1">
        <v>45073</v>
      </c>
      <c r="D357">
        <v>24</v>
      </c>
      <c r="E357">
        <v>5</v>
      </c>
      <c r="F357" s="11">
        <v>4800.3404999999993</v>
      </c>
    </row>
    <row r="358" spans="1:6" x14ac:dyDescent="0.2">
      <c r="A358">
        <v>357</v>
      </c>
      <c r="B358">
        <v>3</v>
      </c>
      <c r="C358" s="1">
        <v>45152</v>
      </c>
      <c r="D358">
        <v>42</v>
      </c>
      <c r="E358">
        <v>5</v>
      </c>
      <c r="F358" s="11">
        <v>4908.4409999999998</v>
      </c>
    </row>
    <row r="359" spans="1:6" x14ac:dyDescent="0.2">
      <c r="A359">
        <v>358</v>
      </c>
      <c r="B359">
        <v>85</v>
      </c>
      <c r="C359" s="1">
        <v>45192</v>
      </c>
      <c r="D359">
        <v>5</v>
      </c>
      <c r="E359">
        <v>7</v>
      </c>
      <c r="F359" s="11">
        <v>3490.3179</v>
      </c>
    </row>
    <row r="360" spans="1:6" x14ac:dyDescent="0.2">
      <c r="A360">
        <v>359</v>
      </c>
      <c r="B360">
        <v>117</v>
      </c>
      <c r="C360" s="1">
        <v>45530</v>
      </c>
      <c r="D360">
        <v>25</v>
      </c>
      <c r="E360">
        <v>8</v>
      </c>
      <c r="F360" s="11">
        <v>1957.0056</v>
      </c>
    </row>
    <row r="361" spans="1:6" x14ac:dyDescent="0.2">
      <c r="A361">
        <v>360</v>
      </c>
      <c r="B361">
        <v>42</v>
      </c>
      <c r="C361" s="1">
        <v>45465</v>
      </c>
      <c r="D361">
        <v>1</v>
      </c>
      <c r="E361">
        <v>4</v>
      </c>
      <c r="F361" s="11">
        <v>410.49599999999998</v>
      </c>
    </row>
    <row r="362" spans="1:6" x14ac:dyDescent="0.2">
      <c r="A362">
        <v>361</v>
      </c>
      <c r="B362">
        <v>96</v>
      </c>
      <c r="C362" s="1">
        <v>45991</v>
      </c>
      <c r="D362">
        <v>49</v>
      </c>
      <c r="E362">
        <v>5</v>
      </c>
      <c r="F362" s="11">
        <v>5115.2179999999989</v>
      </c>
    </row>
    <row r="363" spans="1:6" x14ac:dyDescent="0.2">
      <c r="A363">
        <v>362</v>
      </c>
      <c r="B363">
        <v>11</v>
      </c>
      <c r="C363" s="1">
        <v>45970</v>
      </c>
      <c r="D363">
        <v>31</v>
      </c>
      <c r="E363">
        <v>2</v>
      </c>
      <c r="F363" s="11">
        <v>3136.1959999999999</v>
      </c>
    </row>
    <row r="364" spans="1:6" x14ac:dyDescent="0.2">
      <c r="A364">
        <v>363</v>
      </c>
      <c r="B364">
        <v>1</v>
      </c>
      <c r="C364" s="1">
        <v>45432</v>
      </c>
      <c r="D364">
        <v>6</v>
      </c>
      <c r="E364">
        <v>4</v>
      </c>
      <c r="F364" s="11">
        <v>1834.5119999999999</v>
      </c>
    </row>
    <row r="365" spans="1:6" x14ac:dyDescent="0.2">
      <c r="A365">
        <v>364</v>
      </c>
      <c r="B365">
        <v>133</v>
      </c>
      <c r="C365" s="1">
        <v>45567</v>
      </c>
      <c r="D365">
        <v>6</v>
      </c>
      <c r="E365">
        <v>10</v>
      </c>
      <c r="F365" s="11">
        <v>5944.41</v>
      </c>
    </row>
    <row r="366" spans="1:6" x14ac:dyDescent="0.2">
      <c r="A366">
        <v>365</v>
      </c>
      <c r="B366">
        <v>6</v>
      </c>
      <c r="C366" s="1">
        <v>45154</v>
      </c>
      <c r="D366">
        <v>22</v>
      </c>
      <c r="E366">
        <v>6</v>
      </c>
      <c r="F366" s="11">
        <v>3877.6692000000003</v>
      </c>
    </row>
    <row r="367" spans="1:6" x14ac:dyDescent="0.2">
      <c r="A367">
        <v>366</v>
      </c>
      <c r="B367">
        <v>49</v>
      </c>
      <c r="C367" s="1">
        <v>45434</v>
      </c>
      <c r="D367">
        <v>49</v>
      </c>
      <c r="E367">
        <v>2</v>
      </c>
      <c r="F367" s="11">
        <v>3299.0131999999999</v>
      </c>
    </row>
    <row r="368" spans="1:6" x14ac:dyDescent="0.2">
      <c r="A368">
        <v>367</v>
      </c>
      <c r="B368">
        <v>8</v>
      </c>
      <c r="C368" s="1">
        <v>45411</v>
      </c>
      <c r="D368">
        <v>13</v>
      </c>
      <c r="E368">
        <v>2</v>
      </c>
      <c r="F368" s="11">
        <v>5531.0611999999992</v>
      </c>
    </row>
    <row r="369" spans="1:6" x14ac:dyDescent="0.2">
      <c r="A369">
        <v>368</v>
      </c>
      <c r="B369">
        <v>144</v>
      </c>
      <c r="C369" s="1">
        <v>45316</v>
      </c>
      <c r="D369">
        <v>24</v>
      </c>
      <c r="E369">
        <v>10</v>
      </c>
      <c r="F369" s="11">
        <v>1420.3980000000001</v>
      </c>
    </row>
    <row r="370" spans="1:6" x14ac:dyDescent="0.2">
      <c r="A370">
        <v>369</v>
      </c>
      <c r="B370">
        <v>133</v>
      </c>
      <c r="C370" s="1">
        <v>45720</v>
      </c>
      <c r="D370">
        <v>30</v>
      </c>
      <c r="E370">
        <v>8</v>
      </c>
      <c r="F370" s="11">
        <v>6076.5079999999998</v>
      </c>
    </row>
    <row r="371" spans="1:6" x14ac:dyDescent="0.2">
      <c r="A371">
        <v>370</v>
      </c>
      <c r="B371">
        <v>104</v>
      </c>
      <c r="C371" s="1">
        <v>45311</v>
      </c>
      <c r="D371">
        <v>5</v>
      </c>
      <c r="E371">
        <v>8</v>
      </c>
      <c r="F371" s="11">
        <v>2974.8660000000004</v>
      </c>
    </row>
    <row r="372" spans="1:6" x14ac:dyDescent="0.2">
      <c r="A372">
        <v>371</v>
      </c>
      <c r="B372">
        <v>108</v>
      </c>
      <c r="C372" s="1">
        <v>45110</v>
      </c>
      <c r="D372">
        <v>38</v>
      </c>
      <c r="E372">
        <v>7</v>
      </c>
      <c r="F372" s="11">
        <v>781.70219999999995</v>
      </c>
    </row>
    <row r="373" spans="1:6" x14ac:dyDescent="0.2">
      <c r="A373">
        <v>372</v>
      </c>
      <c r="B373">
        <v>133</v>
      </c>
      <c r="C373" s="1">
        <v>45445</v>
      </c>
      <c r="D373">
        <v>14</v>
      </c>
      <c r="E373">
        <v>10</v>
      </c>
      <c r="F373" s="11">
        <v>5944.41</v>
      </c>
    </row>
    <row r="374" spans="1:6" x14ac:dyDescent="0.2">
      <c r="A374">
        <v>373</v>
      </c>
      <c r="B374">
        <v>77</v>
      </c>
      <c r="C374" s="1">
        <v>45150</v>
      </c>
      <c r="D374">
        <v>23</v>
      </c>
      <c r="E374">
        <v>10</v>
      </c>
      <c r="F374" s="11">
        <v>1805.3820000000001</v>
      </c>
    </row>
    <row r="375" spans="1:6" x14ac:dyDescent="0.2">
      <c r="A375">
        <v>374</v>
      </c>
      <c r="B375">
        <v>12</v>
      </c>
      <c r="C375" s="1">
        <v>45577</v>
      </c>
      <c r="D375">
        <v>26</v>
      </c>
      <c r="E375">
        <v>4</v>
      </c>
      <c r="F375" s="11">
        <v>1550.6399999999999</v>
      </c>
    </row>
    <row r="376" spans="1:6" x14ac:dyDescent="0.2">
      <c r="A376">
        <v>375</v>
      </c>
      <c r="B376">
        <v>107</v>
      </c>
      <c r="C376" s="1">
        <v>45501</v>
      </c>
      <c r="D376">
        <v>4</v>
      </c>
      <c r="E376">
        <v>3</v>
      </c>
      <c r="F376" s="11">
        <v>1520.8630000000001</v>
      </c>
    </row>
    <row r="377" spans="1:6" x14ac:dyDescent="0.2">
      <c r="A377">
        <v>376</v>
      </c>
      <c r="B377">
        <v>52</v>
      </c>
      <c r="C377" s="1">
        <v>44981</v>
      </c>
      <c r="D377">
        <v>26</v>
      </c>
      <c r="E377">
        <v>4</v>
      </c>
      <c r="F377" s="11">
        <v>4280.8127999999997</v>
      </c>
    </row>
    <row r="378" spans="1:6" x14ac:dyDescent="0.2">
      <c r="A378">
        <v>377</v>
      </c>
      <c r="B378">
        <v>125</v>
      </c>
      <c r="C378" s="1">
        <v>45454</v>
      </c>
      <c r="D378">
        <v>31</v>
      </c>
      <c r="E378">
        <v>9</v>
      </c>
      <c r="F378" s="11">
        <v>3959.4737</v>
      </c>
    </row>
    <row r="379" spans="1:6" x14ac:dyDescent="0.2">
      <c r="A379">
        <v>378</v>
      </c>
      <c r="B379">
        <v>136</v>
      </c>
      <c r="C379" s="1">
        <v>45326</v>
      </c>
      <c r="D379">
        <v>5</v>
      </c>
      <c r="E379">
        <v>2</v>
      </c>
      <c r="F379" s="11">
        <v>5053.2425999999996</v>
      </c>
    </row>
    <row r="380" spans="1:6" x14ac:dyDescent="0.2">
      <c r="A380">
        <v>379</v>
      </c>
      <c r="B380">
        <v>77</v>
      </c>
      <c r="C380" s="1">
        <v>45077</v>
      </c>
      <c r="D380">
        <v>9</v>
      </c>
      <c r="E380">
        <v>10</v>
      </c>
      <c r="F380" s="11">
        <v>1805.3820000000001</v>
      </c>
    </row>
    <row r="381" spans="1:6" x14ac:dyDescent="0.2">
      <c r="A381">
        <v>380</v>
      </c>
      <c r="B381">
        <v>19</v>
      </c>
      <c r="C381" s="1">
        <v>45213</v>
      </c>
      <c r="D381">
        <v>39</v>
      </c>
      <c r="E381">
        <v>4</v>
      </c>
      <c r="F381" s="11">
        <v>3274.3968</v>
      </c>
    </row>
    <row r="382" spans="1:6" x14ac:dyDescent="0.2">
      <c r="A382">
        <v>381</v>
      </c>
      <c r="B382">
        <v>47</v>
      </c>
      <c r="C382" s="1">
        <v>45325</v>
      </c>
      <c r="D382">
        <v>3</v>
      </c>
      <c r="E382">
        <v>4</v>
      </c>
      <c r="F382" s="11">
        <v>3277.0367999999999</v>
      </c>
    </row>
    <row r="383" spans="1:6" x14ac:dyDescent="0.2">
      <c r="A383">
        <v>382</v>
      </c>
      <c r="B383">
        <v>68</v>
      </c>
      <c r="C383" s="1">
        <v>45733</v>
      </c>
      <c r="D383">
        <v>39</v>
      </c>
      <c r="E383">
        <v>10</v>
      </c>
      <c r="F383" s="11">
        <v>5439.1409999999996</v>
      </c>
    </row>
    <row r="384" spans="1:6" x14ac:dyDescent="0.2">
      <c r="A384">
        <v>383</v>
      </c>
      <c r="B384">
        <v>52</v>
      </c>
      <c r="C384" s="1">
        <v>45971</v>
      </c>
      <c r="D384">
        <v>27</v>
      </c>
      <c r="E384">
        <v>7</v>
      </c>
      <c r="F384" s="11">
        <v>4147.0374000000002</v>
      </c>
    </row>
    <row r="385" spans="1:6" x14ac:dyDescent="0.2">
      <c r="A385">
        <v>384</v>
      </c>
      <c r="B385">
        <v>8</v>
      </c>
      <c r="C385" s="1">
        <v>45134</v>
      </c>
      <c r="D385">
        <v>44</v>
      </c>
      <c r="E385">
        <v>2</v>
      </c>
      <c r="F385" s="11">
        <v>5531.0611999999992</v>
      </c>
    </row>
    <row r="386" spans="1:6" x14ac:dyDescent="0.2">
      <c r="A386">
        <v>385</v>
      </c>
      <c r="B386">
        <v>107</v>
      </c>
      <c r="C386" s="1">
        <v>44973</v>
      </c>
      <c r="D386">
        <v>4</v>
      </c>
      <c r="E386">
        <v>3</v>
      </c>
      <c r="F386" s="11">
        <v>1520.8630000000001</v>
      </c>
    </row>
    <row r="387" spans="1:6" x14ac:dyDescent="0.2">
      <c r="A387">
        <v>386</v>
      </c>
      <c r="B387">
        <v>50</v>
      </c>
      <c r="C387" s="1">
        <v>45523</v>
      </c>
      <c r="D387">
        <v>50</v>
      </c>
      <c r="E387">
        <v>2</v>
      </c>
      <c r="F387" s="11">
        <v>1329.566</v>
      </c>
    </row>
    <row r="388" spans="1:6" x14ac:dyDescent="0.2">
      <c r="A388">
        <v>387</v>
      </c>
      <c r="B388">
        <v>4</v>
      </c>
      <c r="C388" s="1">
        <v>45367</v>
      </c>
      <c r="D388">
        <v>18</v>
      </c>
      <c r="E388">
        <v>10</v>
      </c>
      <c r="F388" s="11">
        <v>6376.8420000000006</v>
      </c>
    </row>
    <row r="389" spans="1:6" x14ac:dyDescent="0.2">
      <c r="A389">
        <v>388</v>
      </c>
      <c r="B389">
        <v>14</v>
      </c>
      <c r="C389" s="1">
        <v>45116</v>
      </c>
      <c r="D389">
        <v>6</v>
      </c>
      <c r="E389">
        <v>7</v>
      </c>
      <c r="F389" s="11">
        <v>5599.1765999999998</v>
      </c>
    </row>
    <row r="390" spans="1:6" x14ac:dyDescent="0.2">
      <c r="A390">
        <v>389</v>
      </c>
      <c r="B390">
        <v>119</v>
      </c>
      <c r="C390" s="1">
        <v>45815</v>
      </c>
      <c r="D390">
        <v>22</v>
      </c>
      <c r="E390">
        <v>6</v>
      </c>
      <c r="F390" s="11">
        <v>1825.3953999999999</v>
      </c>
    </row>
    <row r="391" spans="1:6" x14ac:dyDescent="0.2">
      <c r="A391">
        <v>390</v>
      </c>
      <c r="B391">
        <v>52</v>
      </c>
      <c r="C391" s="1">
        <v>45306</v>
      </c>
      <c r="D391">
        <v>25</v>
      </c>
      <c r="E391">
        <v>10</v>
      </c>
      <c r="F391" s="11">
        <v>4013.2620000000002</v>
      </c>
    </row>
    <row r="392" spans="1:6" x14ac:dyDescent="0.2">
      <c r="A392">
        <v>391</v>
      </c>
      <c r="B392">
        <v>41</v>
      </c>
      <c r="C392" s="1">
        <v>45944</v>
      </c>
      <c r="D392">
        <v>8</v>
      </c>
      <c r="E392">
        <v>5</v>
      </c>
      <c r="F392" s="11">
        <v>2927.3964999999998</v>
      </c>
    </row>
    <row r="393" spans="1:6" x14ac:dyDescent="0.2">
      <c r="A393">
        <v>392</v>
      </c>
      <c r="B393">
        <v>9</v>
      </c>
      <c r="C393" s="1">
        <v>45053</v>
      </c>
      <c r="D393">
        <v>2</v>
      </c>
      <c r="E393">
        <v>5</v>
      </c>
      <c r="F393" s="11">
        <v>2720.6574999999998</v>
      </c>
    </row>
    <row r="394" spans="1:6" x14ac:dyDescent="0.2">
      <c r="A394">
        <v>393</v>
      </c>
      <c r="B394">
        <v>84</v>
      </c>
      <c r="C394" s="1">
        <v>46006</v>
      </c>
      <c r="D394">
        <v>33</v>
      </c>
      <c r="E394">
        <v>7</v>
      </c>
      <c r="F394" s="11">
        <v>7216.9487999999992</v>
      </c>
    </row>
    <row r="395" spans="1:6" x14ac:dyDescent="0.2">
      <c r="A395">
        <v>394</v>
      </c>
      <c r="B395">
        <v>110</v>
      </c>
      <c r="C395" s="1">
        <v>44959</v>
      </c>
      <c r="D395">
        <v>35</v>
      </c>
      <c r="E395">
        <v>9</v>
      </c>
      <c r="F395" s="11">
        <v>1414.3311000000001</v>
      </c>
    </row>
    <row r="396" spans="1:6" x14ac:dyDescent="0.2">
      <c r="A396">
        <v>395</v>
      </c>
      <c r="B396">
        <v>21</v>
      </c>
      <c r="C396" s="1">
        <v>45995</v>
      </c>
      <c r="D396">
        <v>12</v>
      </c>
      <c r="E396">
        <v>10</v>
      </c>
      <c r="F396" s="11">
        <v>2591.3700000000003</v>
      </c>
    </row>
    <row r="397" spans="1:6" x14ac:dyDescent="0.2">
      <c r="A397">
        <v>396</v>
      </c>
      <c r="B397">
        <v>2</v>
      </c>
      <c r="C397" s="1">
        <v>45992</v>
      </c>
      <c r="D397">
        <v>39</v>
      </c>
      <c r="E397">
        <v>10</v>
      </c>
      <c r="F397" s="11">
        <v>3982.3019999999997</v>
      </c>
    </row>
    <row r="398" spans="1:6" x14ac:dyDescent="0.2">
      <c r="A398">
        <v>397</v>
      </c>
      <c r="B398">
        <v>30</v>
      </c>
      <c r="C398" s="1">
        <v>45599</v>
      </c>
      <c r="D398">
        <v>14</v>
      </c>
      <c r="E398">
        <v>8</v>
      </c>
      <c r="F398" s="11">
        <v>1884.4728000000002</v>
      </c>
    </row>
    <row r="399" spans="1:6" x14ac:dyDescent="0.2">
      <c r="A399">
        <v>398</v>
      </c>
      <c r="B399">
        <v>23</v>
      </c>
      <c r="C399" s="1">
        <v>45455</v>
      </c>
      <c r="D399">
        <v>46</v>
      </c>
      <c r="E399">
        <v>8</v>
      </c>
      <c r="F399" s="11">
        <v>3646.3280000000004</v>
      </c>
    </row>
    <row r="400" spans="1:6" x14ac:dyDescent="0.2">
      <c r="A400">
        <v>399</v>
      </c>
      <c r="B400">
        <v>143</v>
      </c>
      <c r="C400" s="1">
        <v>45425</v>
      </c>
      <c r="D400">
        <v>5</v>
      </c>
      <c r="E400">
        <v>5</v>
      </c>
      <c r="F400" s="11">
        <v>285.27550000000002</v>
      </c>
    </row>
    <row r="401" spans="1:6" x14ac:dyDescent="0.2">
      <c r="A401">
        <v>400</v>
      </c>
      <c r="B401">
        <v>85</v>
      </c>
      <c r="C401" s="1">
        <v>45130</v>
      </c>
      <c r="D401">
        <v>5</v>
      </c>
      <c r="E401">
        <v>5</v>
      </c>
      <c r="F401" s="11">
        <v>3565.3784999999998</v>
      </c>
    </row>
    <row r="402" spans="1:6" x14ac:dyDescent="0.2">
      <c r="A402">
        <v>401</v>
      </c>
      <c r="B402">
        <v>150</v>
      </c>
      <c r="C402" s="1">
        <v>45029</v>
      </c>
      <c r="D402">
        <v>7</v>
      </c>
      <c r="E402">
        <v>2</v>
      </c>
      <c r="F402" s="11">
        <v>2243.9255999999996</v>
      </c>
    </row>
    <row r="403" spans="1:6" x14ac:dyDescent="0.2">
      <c r="A403">
        <v>402</v>
      </c>
      <c r="B403">
        <v>63</v>
      </c>
      <c r="C403" s="1">
        <v>45842</v>
      </c>
      <c r="D403">
        <v>50</v>
      </c>
      <c r="E403">
        <v>4</v>
      </c>
      <c r="F403" s="11">
        <v>6721.6992</v>
      </c>
    </row>
    <row r="404" spans="1:6" x14ac:dyDescent="0.2">
      <c r="A404">
        <v>403</v>
      </c>
      <c r="B404">
        <v>134</v>
      </c>
      <c r="C404" s="1">
        <v>45885</v>
      </c>
      <c r="D404">
        <v>5</v>
      </c>
      <c r="E404">
        <v>2</v>
      </c>
      <c r="F404" s="11">
        <v>658.76580000000001</v>
      </c>
    </row>
    <row r="405" spans="1:6" x14ac:dyDescent="0.2">
      <c r="A405">
        <v>404</v>
      </c>
      <c r="B405">
        <v>7</v>
      </c>
      <c r="C405" s="1">
        <v>45957</v>
      </c>
      <c r="D405">
        <v>20</v>
      </c>
      <c r="E405">
        <v>9</v>
      </c>
      <c r="F405" s="11">
        <v>7611.9679999999998</v>
      </c>
    </row>
    <row r="406" spans="1:6" x14ac:dyDescent="0.2">
      <c r="A406">
        <v>405</v>
      </c>
      <c r="B406">
        <v>88</v>
      </c>
      <c r="C406" s="1">
        <v>45381</v>
      </c>
      <c r="D406">
        <v>17</v>
      </c>
      <c r="E406">
        <v>6</v>
      </c>
      <c r="F406" s="11">
        <v>5862.1502</v>
      </c>
    </row>
    <row r="407" spans="1:6" x14ac:dyDescent="0.2">
      <c r="A407">
        <v>406</v>
      </c>
      <c r="B407">
        <v>24</v>
      </c>
      <c r="C407" s="1">
        <v>45748</v>
      </c>
      <c r="D407">
        <v>6</v>
      </c>
      <c r="E407">
        <v>10</v>
      </c>
      <c r="F407" s="11">
        <v>3596.8679999999999</v>
      </c>
    </row>
    <row r="408" spans="1:6" x14ac:dyDescent="0.2">
      <c r="A408">
        <v>407</v>
      </c>
      <c r="B408">
        <v>6</v>
      </c>
      <c r="C408" s="1">
        <v>45884</v>
      </c>
      <c r="D408">
        <v>33</v>
      </c>
      <c r="E408">
        <v>8</v>
      </c>
      <c r="F408" s="11">
        <v>3795.1656000000003</v>
      </c>
    </row>
    <row r="409" spans="1:6" x14ac:dyDescent="0.2">
      <c r="A409">
        <v>408</v>
      </c>
      <c r="B409">
        <v>11</v>
      </c>
      <c r="C409" s="1">
        <v>45640</v>
      </c>
      <c r="D409">
        <v>3</v>
      </c>
      <c r="E409">
        <v>4</v>
      </c>
      <c r="F409" s="11">
        <v>3072.1919999999996</v>
      </c>
    </row>
    <row r="410" spans="1:6" x14ac:dyDescent="0.2">
      <c r="A410">
        <v>409</v>
      </c>
      <c r="B410">
        <v>96</v>
      </c>
      <c r="C410" s="1">
        <v>45581</v>
      </c>
      <c r="D410">
        <v>23</v>
      </c>
      <c r="E410">
        <v>9</v>
      </c>
      <c r="F410" s="11">
        <v>4899.8404</v>
      </c>
    </row>
    <row r="411" spans="1:6" x14ac:dyDescent="0.2">
      <c r="A411">
        <v>410</v>
      </c>
      <c r="B411">
        <v>115</v>
      </c>
      <c r="C411" s="1">
        <v>45247</v>
      </c>
      <c r="D411">
        <v>11</v>
      </c>
      <c r="E411">
        <v>4</v>
      </c>
      <c r="F411" s="11">
        <v>4503.6287999999995</v>
      </c>
    </row>
    <row r="412" spans="1:6" x14ac:dyDescent="0.2">
      <c r="A412">
        <v>411</v>
      </c>
      <c r="B412">
        <v>135</v>
      </c>
      <c r="C412" s="1">
        <v>45157</v>
      </c>
      <c r="D412">
        <v>19</v>
      </c>
      <c r="E412">
        <v>7</v>
      </c>
      <c r="F412" s="11">
        <v>7235.1302999999998</v>
      </c>
    </row>
    <row r="413" spans="1:6" x14ac:dyDescent="0.2">
      <c r="A413">
        <v>412</v>
      </c>
      <c r="B413">
        <v>147</v>
      </c>
      <c r="C413" s="1">
        <v>45028</v>
      </c>
      <c r="D413">
        <v>15</v>
      </c>
      <c r="E413">
        <v>6</v>
      </c>
      <c r="F413" s="11">
        <v>4309.2607999999991</v>
      </c>
    </row>
    <row r="414" spans="1:6" x14ac:dyDescent="0.2">
      <c r="A414">
        <v>413</v>
      </c>
      <c r="B414">
        <v>118</v>
      </c>
      <c r="C414" s="1">
        <v>45827</v>
      </c>
      <c r="D414">
        <v>35</v>
      </c>
      <c r="E414">
        <v>10</v>
      </c>
      <c r="F414" s="11">
        <v>2834.3250000000003</v>
      </c>
    </row>
    <row r="415" spans="1:6" x14ac:dyDescent="0.2">
      <c r="A415">
        <v>414</v>
      </c>
      <c r="B415">
        <v>110</v>
      </c>
      <c r="C415" s="1">
        <v>45124</v>
      </c>
      <c r="D415">
        <v>33</v>
      </c>
      <c r="E415">
        <v>8</v>
      </c>
      <c r="F415" s="11">
        <v>1429.8732</v>
      </c>
    </row>
    <row r="416" spans="1:6" x14ac:dyDescent="0.2">
      <c r="A416">
        <v>415</v>
      </c>
      <c r="B416">
        <v>64</v>
      </c>
      <c r="C416" s="1">
        <v>45382</v>
      </c>
      <c r="D416">
        <v>36</v>
      </c>
      <c r="E416">
        <v>4</v>
      </c>
      <c r="F416" s="11">
        <v>3072</v>
      </c>
    </row>
    <row r="417" spans="1:6" x14ac:dyDescent="0.2">
      <c r="A417">
        <v>416</v>
      </c>
      <c r="B417">
        <v>54</v>
      </c>
      <c r="C417" s="1">
        <v>45075</v>
      </c>
      <c r="D417">
        <v>4</v>
      </c>
      <c r="E417">
        <v>7</v>
      </c>
      <c r="F417" s="11">
        <v>864.48149999999987</v>
      </c>
    </row>
    <row r="418" spans="1:6" x14ac:dyDescent="0.2">
      <c r="A418">
        <v>417</v>
      </c>
      <c r="B418">
        <v>149</v>
      </c>
      <c r="C418" s="1">
        <v>46002</v>
      </c>
      <c r="D418">
        <v>15</v>
      </c>
      <c r="E418">
        <v>9</v>
      </c>
      <c r="F418" s="11">
        <v>5576.2798000000003</v>
      </c>
    </row>
    <row r="419" spans="1:6" x14ac:dyDescent="0.2">
      <c r="A419">
        <v>418</v>
      </c>
      <c r="B419">
        <v>128</v>
      </c>
      <c r="C419" s="1">
        <v>45572</v>
      </c>
      <c r="D419">
        <v>1</v>
      </c>
      <c r="E419">
        <v>4</v>
      </c>
      <c r="F419" s="11">
        <v>5052.0960000000005</v>
      </c>
    </row>
    <row r="420" spans="1:6" x14ac:dyDescent="0.2">
      <c r="A420">
        <v>419</v>
      </c>
      <c r="B420">
        <v>70</v>
      </c>
      <c r="C420" s="1">
        <v>45176</v>
      </c>
      <c r="D420">
        <v>48</v>
      </c>
      <c r="E420">
        <v>5</v>
      </c>
      <c r="F420" s="11">
        <v>3828.2624999999998</v>
      </c>
    </row>
    <row r="421" spans="1:6" x14ac:dyDescent="0.2">
      <c r="A421">
        <v>420</v>
      </c>
      <c r="B421">
        <v>142</v>
      </c>
      <c r="C421" s="1">
        <v>45427</v>
      </c>
      <c r="D421">
        <v>1</v>
      </c>
      <c r="E421">
        <v>10</v>
      </c>
      <c r="F421" s="11">
        <v>2684.1060000000002</v>
      </c>
    </row>
    <row r="422" spans="1:6" x14ac:dyDescent="0.2">
      <c r="A422">
        <v>421</v>
      </c>
      <c r="B422">
        <v>57</v>
      </c>
      <c r="C422" s="1">
        <v>45361</v>
      </c>
      <c r="D422">
        <v>30</v>
      </c>
      <c r="E422">
        <v>7</v>
      </c>
      <c r="F422" s="11">
        <v>6334.9274999999998</v>
      </c>
    </row>
    <row r="423" spans="1:6" x14ac:dyDescent="0.2">
      <c r="A423">
        <v>422</v>
      </c>
      <c r="B423">
        <v>101</v>
      </c>
      <c r="C423" s="1">
        <v>45949</v>
      </c>
      <c r="D423">
        <v>43</v>
      </c>
      <c r="E423">
        <v>2</v>
      </c>
      <c r="F423" s="11">
        <v>4625.8841999999995</v>
      </c>
    </row>
    <row r="424" spans="1:6" x14ac:dyDescent="0.2">
      <c r="A424">
        <v>423</v>
      </c>
      <c r="B424">
        <v>29</v>
      </c>
      <c r="C424" s="1">
        <v>45328</v>
      </c>
      <c r="D424">
        <v>41</v>
      </c>
      <c r="E424">
        <v>4</v>
      </c>
      <c r="F424" s="11">
        <v>7174.08</v>
      </c>
    </row>
    <row r="425" spans="1:6" x14ac:dyDescent="0.2">
      <c r="A425">
        <v>424</v>
      </c>
      <c r="B425">
        <v>16</v>
      </c>
      <c r="C425" s="1">
        <v>45505</v>
      </c>
      <c r="D425">
        <v>8</v>
      </c>
      <c r="E425">
        <v>6</v>
      </c>
      <c r="F425" s="11">
        <v>6346.692</v>
      </c>
    </row>
    <row r="426" spans="1:6" x14ac:dyDescent="0.2">
      <c r="A426">
        <v>425</v>
      </c>
      <c r="B426">
        <v>53</v>
      </c>
      <c r="C426" s="1">
        <v>45458</v>
      </c>
      <c r="D426">
        <v>42</v>
      </c>
      <c r="E426">
        <v>3</v>
      </c>
      <c r="F426" s="11">
        <v>3360.4776999999999</v>
      </c>
    </row>
    <row r="427" spans="1:6" x14ac:dyDescent="0.2">
      <c r="A427">
        <v>426</v>
      </c>
      <c r="B427">
        <v>36</v>
      </c>
      <c r="C427" s="1">
        <v>45147</v>
      </c>
      <c r="D427">
        <v>41</v>
      </c>
      <c r="E427">
        <v>4</v>
      </c>
      <c r="F427" s="11">
        <v>141.50399999999999</v>
      </c>
    </row>
    <row r="428" spans="1:6" x14ac:dyDescent="0.2">
      <c r="A428">
        <v>427</v>
      </c>
      <c r="B428">
        <v>147</v>
      </c>
      <c r="C428" s="1">
        <v>45938</v>
      </c>
      <c r="D428">
        <v>2</v>
      </c>
      <c r="E428">
        <v>10</v>
      </c>
      <c r="F428" s="11">
        <v>4125.8879999999999</v>
      </c>
    </row>
    <row r="429" spans="1:6" x14ac:dyDescent="0.2">
      <c r="A429">
        <v>428</v>
      </c>
      <c r="B429">
        <v>53</v>
      </c>
      <c r="C429" s="1">
        <v>45514</v>
      </c>
      <c r="D429">
        <v>40</v>
      </c>
      <c r="E429">
        <v>4</v>
      </c>
      <c r="F429" s="11">
        <v>3325.8335999999999</v>
      </c>
    </row>
    <row r="430" spans="1:6" x14ac:dyDescent="0.2">
      <c r="A430">
        <v>429</v>
      </c>
      <c r="B430">
        <v>77</v>
      </c>
      <c r="C430" s="1">
        <v>45105</v>
      </c>
      <c r="D430">
        <v>33</v>
      </c>
      <c r="E430">
        <v>6</v>
      </c>
      <c r="F430" s="11">
        <v>1885.6211999999998</v>
      </c>
    </row>
    <row r="431" spans="1:6" x14ac:dyDescent="0.2">
      <c r="A431">
        <v>430</v>
      </c>
      <c r="B431">
        <v>14</v>
      </c>
      <c r="C431" s="1">
        <v>44940</v>
      </c>
      <c r="D431">
        <v>45</v>
      </c>
      <c r="E431">
        <v>7</v>
      </c>
      <c r="F431" s="11">
        <v>5599.1765999999998</v>
      </c>
    </row>
    <row r="432" spans="1:6" x14ac:dyDescent="0.2">
      <c r="A432">
        <v>431</v>
      </c>
      <c r="B432">
        <v>15</v>
      </c>
      <c r="C432" s="1">
        <v>45457</v>
      </c>
      <c r="D432">
        <v>3</v>
      </c>
      <c r="E432">
        <v>8</v>
      </c>
      <c r="F432" s="11">
        <v>4454.1615999999995</v>
      </c>
    </row>
    <row r="433" spans="1:6" x14ac:dyDescent="0.2">
      <c r="A433">
        <v>432</v>
      </c>
      <c r="B433">
        <v>138</v>
      </c>
      <c r="C433" s="1">
        <v>45617</v>
      </c>
      <c r="D433">
        <v>42</v>
      </c>
      <c r="E433">
        <v>5</v>
      </c>
      <c r="F433" s="11">
        <v>2936.9154999999996</v>
      </c>
    </row>
    <row r="434" spans="1:6" x14ac:dyDescent="0.2">
      <c r="A434">
        <v>433</v>
      </c>
      <c r="B434">
        <v>23</v>
      </c>
      <c r="C434" s="1">
        <v>45944</v>
      </c>
      <c r="D434">
        <v>44</v>
      </c>
      <c r="E434">
        <v>2</v>
      </c>
      <c r="F434" s="11">
        <v>3884.1320000000001</v>
      </c>
    </row>
    <row r="435" spans="1:6" x14ac:dyDescent="0.2">
      <c r="A435">
        <v>434</v>
      </c>
      <c r="B435">
        <v>88</v>
      </c>
      <c r="C435" s="1">
        <v>45400</v>
      </c>
      <c r="D435">
        <v>26</v>
      </c>
      <c r="E435">
        <v>9</v>
      </c>
      <c r="F435" s="11">
        <v>5675.0603000000001</v>
      </c>
    </row>
    <row r="436" spans="1:6" x14ac:dyDescent="0.2">
      <c r="A436">
        <v>435</v>
      </c>
      <c r="B436">
        <v>141</v>
      </c>
      <c r="C436" s="1">
        <v>45374</v>
      </c>
      <c r="D436">
        <v>18</v>
      </c>
      <c r="E436">
        <v>7</v>
      </c>
      <c r="F436" s="11">
        <v>7314.6266999999989</v>
      </c>
    </row>
    <row r="437" spans="1:6" x14ac:dyDescent="0.2">
      <c r="A437">
        <v>436</v>
      </c>
      <c r="B437">
        <v>47</v>
      </c>
      <c r="C437" s="1">
        <v>45812</v>
      </c>
      <c r="D437">
        <v>1</v>
      </c>
      <c r="E437">
        <v>4</v>
      </c>
      <c r="F437" s="11">
        <v>3277.0367999999999</v>
      </c>
    </row>
    <row r="438" spans="1:6" x14ac:dyDescent="0.2">
      <c r="A438">
        <v>437</v>
      </c>
      <c r="B438">
        <v>67</v>
      </c>
      <c r="C438" s="1">
        <v>45418</v>
      </c>
      <c r="D438">
        <v>47</v>
      </c>
      <c r="E438">
        <v>8</v>
      </c>
      <c r="F438" s="11">
        <v>1058.6532</v>
      </c>
    </row>
    <row r="439" spans="1:6" x14ac:dyDescent="0.2">
      <c r="A439">
        <v>438</v>
      </c>
      <c r="B439">
        <v>4</v>
      </c>
      <c r="C439" s="1">
        <v>45267</v>
      </c>
      <c r="D439">
        <v>9</v>
      </c>
      <c r="E439">
        <v>10</v>
      </c>
      <c r="F439" s="11">
        <v>6376.8420000000006</v>
      </c>
    </row>
    <row r="440" spans="1:6" x14ac:dyDescent="0.2">
      <c r="A440">
        <v>439</v>
      </c>
      <c r="B440">
        <v>66</v>
      </c>
      <c r="C440" s="1">
        <v>45504</v>
      </c>
      <c r="D440">
        <v>30</v>
      </c>
      <c r="E440">
        <v>4</v>
      </c>
      <c r="F440" s="11">
        <v>5592.0096000000003</v>
      </c>
    </row>
    <row r="441" spans="1:6" x14ac:dyDescent="0.2">
      <c r="A441">
        <v>440</v>
      </c>
      <c r="B441">
        <v>95</v>
      </c>
      <c r="C441" s="1">
        <v>45460</v>
      </c>
      <c r="D441">
        <v>49</v>
      </c>
      <c r="E441">
        <v>5</v>
      </c>
      <c r="F441" s="11">
        <v>6620.2365</v>
      </c>
    </row>
    <row r="442" spans="1:6" x14ac:dyDescent="0.2">
      <c r="A442">
        <v>441</v>
      </c>
      <c r="B442">
        <v>102</v>
      </c>
      <c r="C442" s="1">
        <v>45977</v>
      </c>
      <c r="D442">
        <v>1</v>
      </c>
      <c r="E442">
        <v>4</v>
      </c>
      <c r="F442" s="11">
        <v>3978.1823999999997</v>
      </c>
    </row>
    <row r="443" spans="1:6" x14ac:dyDescent="0.2">
      <c r="A443">
        <v>442</v>
      </c>
      <c r="B443">
        <v>114</v>
      </c>
      <c r="C443" s="1">
        <v>45471</v>
      </c>
      <c r="D443">
        <v>31</v>
      </c>
      <c r="E443">
        <v>8</v>
      </c>
      <c r="F443" s="11">
        <v>7032.8572000000004</v>
      </c>
    </row>
    <row r="444" spans="1:6" x14ac:dyDescent="0.2">
      <c r="A444">
        <v>443</v>
      </c>
      <c r="B444">
        <v>38</v>
      </c>
      <c r="C444" s="1">
        <v>46009</v>
      </c>
      <c r="D444">
        <v>47</v>
      </c>
      <c r="E444">
        <v>6</v>
      </c>
      <c r="F444" s="11">
        <v>6199.7605999999996</v>
      </c>
    </row>
    <row r="445" spans="1:6" x14ac:dyDescent="0.2">
      <c r="A445">
        <v>444</v>
      </c>
      <c r="B445">
        <v>140</v>
      </c>
      <c r="C445" s="1">
        <v>45752</v>
      </c>
      <c r="D445">
        <v>47</v>
      </c>
      <c r="E445">
        <v>7</v>
      </c>
      <c r="F445" s="11">
        <v>831.19679999999994</v>
      </c>
    </row>
    <row r="446" spans="1:6" x14ac:dyDescent="0.2">
      <c r="A446">
        <v>445</v>
      </c>
      <c r="B446">
        <v>48</v>
      </c>
      <c r="C446" s="1">
        <v>45206</v>
      </c>
      <c r="D446">
        <v>40</v>
      </c>
      <c r="E446">
        <v>2</v>
      </c>
      <c r="F446" s="11">
        <v>3614.5045999999998</v>
      </c>
    </row>
    <row r="447" spans="1:6" x14ac:dyDescent="0.2">
      <c r="A447">
        <v>446</v>
      </c>
      <c r="B447">
        <v>147</v>
      </c>
      <c r="C447" s="1">
        <v>45746</v>
      </c>
      <c r="D447">
        <v>3</v>
      </c>
      <c r="E447">
        <v>3</v>
      </c>
      <c r="F447" s="11">
        <v>4446.7903999999999</v>
      </c>
    </row>
    <row r="448" spans="1:6" x14ac:dyDescent="0.2">
      <c r="A448">
        <v>447</v>
      </c>
      <c r="B448">
        <v>66</v>
      </c>
      <c r="C448" s="1">
        <v>45840</v>
      </c>
      <c r="D448">
        <v>10</v>
      </c>
      <c r="E448">
        <v>9</v>
      </c>
      <c r="F448" s="11">
        <v>5300.7591000000002</v>
      </c>
    </row>
    <row r="449" spans="1:6" x14ac:dyDescent="0.2">
      <c r="A449">
        <v>448</v>
      </c>
      <c r="B449">
        <v>146</v>
      </c>
      <c r="C449" s="1">
        <v>44993</v>
      </c>
      <c r="D449">
        <v>30</v>
      </c>
      <c r="E449">
        <v>3</v>
      </c>
      <c r="F449" s="11">
        <v>4590.9032999999999</v>
      </c>
    </row>
    <row r="450" spans="1:6" x14ac:dyDescent="0.2">
      <c r="A450">
        <v>449</v>
      </c>
      <c r="B450">
        <v>87</v>
      </c>
      <c r="C450" s="1">
        <v>45228</v>
      </c>
      <c r="D450">
        <v>48</v>
      </c>
      <c r="E450">
        <v>2</v>
      </c>
      <c r="F450" s="11">
        <v>4012.2375999999999</v>
      </c>
    </row>
    <row r="451" spans="1:6" x14ac:dyDescent="0.2">
      <c r="A451">
        <v>450</v>
      </c>
      <c r="B451">
        <v>70</v>
      </c>
      <c r="C451" s="1">
        <v>45719</v>
      </c>
      <c r="D451">
        <v>10</v>
      </c>
      <c r="E451">
        <v>5</v>
      </c>
      <c r="F451" s="11">
        <v>3828.2624999999998</v>
      </c>
    </row>
    <row r="452" spans="1:6" x14ac:dyDescent="0.2">
      <c r="A452">
        <v>451</v>
      </c>
      <c r="B452">
        <v>122</v>
      </c>
      <c r="C452" s="1">
        <v>45834</v>
      </c>
      <c r="D452">
        <v>29</v>
      </c>
      <c r="E452">
        <v>6</v>
      </c>
      <c r="F452" s="11">
        <v>4838.8755999999994</v>
      </c>
    </row>
    <row r="453" spans="1:6" x14ac:dyDescent="0.2">
      <c r="A453">
        <v>452</v>
      </c>
      <c r="B453">
        <v>29</v>
      </c>
      <c r="C453" s="1">
        <v>45714</v>
      </c>
      <c r="D453">
        <v>31</v>
      </c>
      <c r="E453">
        <v>7</v>
      </c>
      <c r="F453" s="11">
        <v>6949.8899999999994</v>
      </c>
    </row>
    <row r="454" spans="1:6" x14ac:dyDescent="0.2">
      <c r="A454">
        <v>453</v>
      </c>
      <c r="B454">
        <v>44</v>
      </c>
      <c r="C454" s="1">
        <v>45858</v>
      </c>
      <c r="D454">
        <v>12</v>
      </c>
      <c r="E454">
        <v>2</v>
      </c>
      <c r="F454" s="11">
        <v>346.52800000000002</v>
      </c>
    </row>
    <row r="455" spans="1:6" x14ac:dyDescent="0.2">
      <c r="A455">
        <v>454</v>
      </c>
      <c r="B455">
        <v>63</v>
      </c>
      <c r="C455" s="1">
        <v>45617</v>
      </c>
      <c r="D455">
        <v>42</v>
      </c>
      <c r="E455">
        <v>8</v>
      </c>
      <c r="F455" s="11">
        <v>6441.6284000000005</v>
      </c>
    </row>
    <row r="456" spans="1:6" x14ac:dyDescent="0.2">
      <c r="A456">
        <v>455</v>
      </c>
      <c r="B456">
        <v>33</v>
      </c>
      <c r="C456" s="1">
        <v>45934</v>
      </c>
      <c r="D456">
        <v>18</v>
      </c>
      <c r="E456">
        <v>8</v>
      </c>
      <c r="F456" s="11">
        <v>4648.7507999999998</v>
      </c>
    </row>
    <row r="457" spans="1:6" x14ac:dyDescent="0.2">
      <c r="A457">
        <v>456</v>
      </c>
      <c r="B457">
        <v>92</v>
      </c>
      <c r="C457" s="1">
        <v>45371</v>
      </c>
      <c r="D457">
        <v>22</v>
      </c>
      <c r="E457">
        <v>8</v>
      </c>
      <c r="F457" s="11">
        <v>3291.7784000000001</v>
      </c>
    </row>
    <row r="458" spans="1:6" x14ac:dyDescent="0.2">
      <c r="A458">
        <v>457</v>
      </c>
      <c r="B458">
        <v>35</v>
      </c>
      <c r="C458" s="1">
        <v>45865</v>
      </c>
      <c r="D458">
        <v>2</v>
      </c>
      <c r="E458">
        <v>3</v>
      </c>
      <c r="F458" s="11">
        <v>131.1343</v>
      </c>
    </row>
    <row r="459" spans="1:6" x14ac:dyDescent="0.2">
      <c r="A459">
        <v>458</v>
      </c>
      <c r="B459">
        <v>138</v>
      </c>
      <c r="C459" s="1">
        <v>46021</v>
      </c>
      <c r="D459">
        <v>8</v>
      </c>
      <c r="E459">
        <v>5</v>
      </c>
      <c r="F459" s="11">
        <v>2936.9154999999996</v>
      </c>
    </row>
    <row r="460" spans="1:6" x14ac:dyDescent="0.2">
      <c r="A460">
        <v>459</v>
      </c>
      <c r="B460">
        <v>87</v>
      </c>
      <c r="C460" s="1">
        <v>45810</v>
      </c>
      <c r="D460">
        <v>35</v>
      </c>
      <c r="E460">
        <v>10</v>
      </c>
      <c r="F460" s="11">
        <v>3684.7080000000001</v>
      </c>
    </row>
    <row r="461" spans="1:6" x14ac:dyDescent="0.2">
      <c r="A461">
        <v>460</v>
      </c>
      <c r="B461">
        <v>56</v>
      </c>
      <c r="C461" s="1">
        <v>45088</v>
      </c>
      <c r="D461">
        <v>2</v>
      </c>
      <c r="E461">
        <v>9</v>
      </c>
      <c r="F461" s="11">
        <v>7263.4380000000001</v>
      </c>
    </row>
    <row r="462" spans="1:6" x14ac:dyDescent="0.2">
      <c r="A462">
        <v>461</v>
      </c>
      <c r="B462">
        <v>79</v>
      </c>
      <c r="C462" s="1">
        <v>44950</v>
      </c>
      <c r="D462">
        <v>26</v>
      </c>
      <c r="E462">
        <v>7</v>
      </c>
      <c r="F462" s="11">
        <v>2053.3748999999998</v>
      </c>
    </row>
    <row r="463" spans="1:6" x14ac:dyDescent="0.2">
      <c r="A463">
        <v>462</v>
      </c>
      <c r="B463">
        <v>72</v>
      </c>
      <c r="C463" s="1">
        <v>45426</v>
      </c>
      <c r="D463">
        <v>47</v>
      </c>
      <c r="E463">
        <v>4</v>
      </c>
      <c r="F463" s="11">
        <v>5569.3439999999991</v>
      </c>
    </row>
    <row r="464" spans="1:6" x14ac:dyDescent="0.2">
      <c r="A464">
        <v>463</v>
      </c>
      <c r="B464">
        <v>117</v>
      </c>
      <c r="C464" s="1">
        <v>45402</v>
      </c>
      <c r="D464">
        <v>38</v>
      </c>
      <c r="E464">
        <v>10</v>
      </c>
      <c r="F464" s="11">
        <v>1914.462</v>
      </c>
    </row>
    <row r="465" spans="1:6" x14ac:dyDescent="0.2">
      <c r="A465">
        <v>464</v>
      </c>
      <c r="B465">
        <v>132</v>
      </c>
      <c r="C465" s="1">
        <v>45044</v>
      </c>
      <c r="D465">
        <v>32</v>
      </c>
      <c r="E465">
        <v>7</v>
      </c>
      <c r="F465" s="11">
        <v>5104.1468999999997</v>
      </c>
    </row>
    <row r="466" spans="1:6" x14ac:dyDescent="0.2">
      <c r="A466">
        <v>465</v>
      </c>
      <c r="B466">
        <v>113</v>
      </c>
      <c r="C466" s="1">
        <v>45241</v>
      </c>
      <c r="D466">
        <v>45</v>
      </c>
      <c r="E466">
        <v>7</v>
      </c>
      <c r="F466" s="11">
        <v>4491.1187999999993</v>
      </c>
    </row>
    <row r="467" spans="1:6" x14ac:dyDescent="0.2">
      <c r="A467">
        <v>466</v>
      </c>
      <c r="B467">
        <v>114</v>
      </c>
      <c r="C467" s="1">
        <v>45330</v>
      </c>
      <c r="D467">
        <v>44</v>
      </c>
      <c r="E467">
        <v>3</v>
      </c>
      <c r="F467" s="11">
        <v>7415.0776999999998</v>
      </c>
    </row>
    <row r="468" spans="1:6" x14ac:dyDescent="0.2">
      <c r="A468">
        <v>467</v>
      </c>
      <c r="B468">
        <v>149</v>
      </c>
      <c r="C468" s="1">
        <v>45992</v>
      </c>
      <c r="D468">
        <v>20</v>
      </c>
      <c r="E468">
        <v>3</v>
      </c>
      <c r="F468" s="11">
        <v>5943.9465999999993</v>
      </c>
    </row>
    <row r="469" spans="1:6" x14ac:dyDescent="0.2">
      <c r="A469">
        <v>468</v>
      </c>
      <c r="B469">
        <v>149</v>
      </c>
      <c r="C469" s="1">
        <v>45470</v>
      </c>
      <c r="D469">
        <v>25</v>
      </c>
      <c r="E469">
        <v>3</v>
      </c>
      <c r="F469" s="11">
        <v>5943.9465999999993</v>
      </c>
    </row>
    <row r="470" spans="1:6" x14ac:dyDescent="0.2">
      <c r="A470">
        <v>469</v>
      </c>
      <c r="B470">
        <v>135</v>
      </c>
      <c r="C470" s="1">
        <v>45735</v>
      </c>
      <c r="D470">
        <v>39</v>
      </c>
      <c r="E470">
        <v>5</v>
      </c>
      <c r="F470" s="11">
        <v>7390.7244999999994</v>
      </c>
    </row>
    <row r="471" spans="1:6" x14ac:dyDescent="0.2">
      <c r="A471">
        <v>470</v>
      </c>
      <c r="B471">
        <v>105</v>
      </c>
      <c r="C471" s="1">
        <v>45846</v>
      </c>
      <c r="D471">
        <v>38</v>
      </c>
      <c r="E471">
        <v>5</v>
      </c>
      <c r="F471" s="11">
        <v>3935.9259999999999</v>
      </c>
    </row>
    <row r="472" spans="1:6" x14ac:dyDescent="0.2">
      <c r="A472">
        <v>471</v>
      </c>
      <c r="B472">
        <v>18</v>
      </c>
      <c r="C472" s="1">
        <v>45054</v>
      </c>
      <c r="D472">
        <v>30</v>
      </c>
      <c r="E472">
        <v>3</v>
      </c>
      <c r="F472" s="11">
        <v>8182.8715000000002</v>
      </c>
    </row>
    <row r="473" spans="1:6" x14ac:dyDescent="0.2">
      <c r="A473">
        <v>472</v>
      </c>
      <c r="B473">
        <v>68</v>
      </c>
      <c r="C473" s="1">
        <v>45568</v>
      </c>
      <c r="D473">
        <v>7</v>
      </c>
      <c r="E473">
        <v>6</v>
      </c>
      <c r="F473" s="11">
        <v>5680.8805999999995</v>
      </c>
    </row>
    <row r="474" spans="1:6" x14ac:dyDescent="0.2">
      <c r="A474">
        <v>473</v>
      </c>
      <c r="B474">
        <v>26</v>
      </c>
      <c r="C474" s="1">
        <v>45274</v>
      </c>
      <c r="D474">
        <v>40</v>
      </c>
      <c r="E474">
        <v>5</v>
      </c>
      <c r="F474" s="11">
        <v>5355.0739999999996</v>
      </c>
    </row>
    <row r="475" spans="1:6" x14ac:dyDescent="0.2">
      <c r="A475">
        <v>474</v>
      </c>
      <c r="B475">
        <v>3</v>
      </c>
      <c r="C475" s="1">
        <v>45658</v>
      </c>
      <c r="D475">
        <v>8</v>
      </c>
      <c r="E475">
        <v>9</v>
      </c>
      <c r="F475" s="11">
        <v>4701.7698</v>
      </c>
    </row>
    <row r="476" spans="1:6" x14ac:dyDescent="0.2">
      <c r="A476">
        <v>475</v>
      </c>
      <c r="B476">
        <v>51</v>
      </c>
      <c r="C476" s="1">
        <v>45111</v>
      </c>
      <c r="D476">
        <v>5</v>
      </c>
      <c r="E476">
        <v>8</v>
      </c>
      <c r="F476" s="11">
        <v>968.64039999999989</v>
      </c>
    </row>
    <row r="477" spans="1:6" x14ac:dyDescent="0.2">
      <c r="A477">
        <v>476</v>
      </c>
      <c r="B477">
        <v>90</v>
      </c>
      <c r="C477" s="1">
        <v>45440</v>
      </c>
      <c r="D477">
        <v>20</v>
      </c>
      <c r="E477">
        <v>10</v>
      </c>
      <c r="F477" s="11">
        <v>1239.039</v>
      </c>
    </row>
    <row r="478" spans="1:6" x14ac:dyDescent="0.2">
      <c r="A478">
        <v>477</v>
      </c>
      <c r="B478">
        <v>130</v>
      </c>
      <c r="C478" s="1">
        <v>44940</v>
      </c>
      <c r="D478">
        <v>12</v>
      </c>
      <c r="E478">
        <v>8</v>
      </c>
      <c r="F478" s="11">
        <v>2930.6507999999999</v>
      </c>
    </row>
    <row r="479" spans="1:6" x14ac:dyDescent="0.2">
      <c r="A479">
        <v>478</v>
      </c>
      <c r="B479">
        <v>80</v>
      </c>
      <c r="C479" s="1">
        <v>44979</v>
      </c>
      <c r="D479">
        <v>41</v>
      </c>
      <c r="E479">
        <v>9</v>
      </c>
      <c r="F479" s="11">
        <v>909.15370000000007</v>
      </c>
    </row>
    <row r="480" spans="1:6" x14ac:dyDescent="0.2">
      <c r="A480">
        <v>479</v>
      </c>
      <c r="B480">
        <v>4</v>
      </c>
      <c r="C480" s="1">
        <v>45850</v>
      </c>
      <c r="D480">
        <v>48</v>
      </c>
      <c r="E480">
        <v>9</v>
      </c>
      <c r="F480" s="11">
        <v>6447.6958000000004</v>
      </c>
    </row>
    <row r="481" spans="1:6" x14ac:dyDescent="0.2">
      <c r="A481">
        <v>480</v>
      </c>
      <c r="B481">
        <v>130</v>
      </c>
      <c r="C481" s="1">
        <v>45157</v>
      </c>
      <c r="D481">
        <v>10</v>
      </c>
      <c r="E481">
        <v>9</v>
      </c>
      <c r="F481" s="11">
        <v>2898.7959000000001</v>
      </c>
    </row>
    <row r="482" spans="1:6" x14ac:dyDescent="0.2">
      <c r="A482">
        <v>481</v>
      </c>
      <c r="B482">
        <v>101</v>
      </c>
      <c r="C482" s="1">
        <v>45416</v>
      </c>
      <c r="D482">
        <v>30</v>
      </c>
      <c r="E482">
        <v>9</v>
      </c>
      <c r="F482" s="11">
        <v>4295.4638999999997</v>
      </c>
    </row>
    <row r="483" spans="1:6" x14ac:dyDescent="0.2">
      <c r="A483">
        <v>482</v>
      </c>
      <c r="B483">
        <v>80</v>
      </c>
      <c r="C483" s="1">
        <v>45991</v>
      </c>
      <c r="D483">
        <v>39</v>
      </c>
      <c r="E483">
        <v>2</v>
      </c>
      <c r="F483" s="11">
        <v>979.08860000000004</v>
      </c>
    </row>
    <row r="484" spans="1:6" x14ac:dyDescent="0.2">
      <c r="A484">
        <v>483</v>
      </c>
      <c r="B484">
        <v>93</v>
      </c>
      <c r="C484" s="1">
        <v>45771</v>
      </c>
      <c r="D484">
        <v>2</v>
      </c>
      <c r="E484">
        <v>2</v>
      </c>
      <c r="F484" s="11">
        <v>7509.3185999999996</v>
      </c>
    </row>
    <row r="485" spans="1:6" x14ac:dyDescent="0.2">
      <c r="A485">
        <v>484</v>
      </c>
      <c r="B485">
        <v>61</v>
      </c>
      <c r="C485" s="1">
        <v>45525</v>
      </c>
      <c r="D485">
        <v>44</v>
      </c>
      <c r="E485">
        <v>2</v>
      </c>
      <c r="F485" s="11">
        <v>2393.3951999999999</v>
      </c>
    </row>
    <row r="486" spans="1:6" x14ac:dyDescent="0.2">
      <c r="A486">
        <v>485</v>
      </c>
      <c r="B486">
        <v>100</v>
      </c>
      <c r="C486" s="1">
        <v>45325</v>
      </c>
      <c r="D486">
        <v>27</v>
      </c>
      <c r="E486">
        <v>6</v>
      </c>
      <c r="F486" s="11">
        <v>3838.8283999999999</v>
      </c>
    </row>
    <row r="487" spans="1:6" x14ac:dyDescent="0.2">
      <c r="A487">
        <v>486</v>
      </c>
      <c r="B487">
        <v>45</v>
      </c>
      <c r="C487" s="1">
        <v>45810</v>
      </c>
      <c r="D487">
        <v>25</v>
      </c>
      <c r="E487">
        <v>2</v>
      </c>
      <c r="F487" s="11">
        <v>5219.8622000000005</v>
      </c>
    </row>
    <row r="488" spans="1:6" x14ac:dyDescent="0.2">
      <c r="A488">
        <v>487</v>
      </c>
      <c r="B488">
        <v>81</v>
      </c>
      <c r="C488" s="1">
        <v>44972</v>
      </c>
      <c r="D488">
        <v>36</v>
      </c>
      <c r="E488">
        <v>9</v>
      </c>
      <c r="F488" s="11">
        <v>7064.7030999999997</v>
      </c>
    </row>
    <row r="489" spans="1:6" x14ac:dyDescent="0.2">
      <c r="A489">
        <v>488</v>
      </c>
      <c r="B489">
        <v>88</v>
      </c>
      <c r="C489" s="1">
        <v>45672</v>
      </c>
      <c r="D489">
        <v>9</v>
      </c>
      <c r="E489">
        <v>8</v>
      </c>
      <c r="F489" s="11">
        <v>5737.4236000000001</v>
      </c>
    </row>
    <row r="490" spans="1:6" x14ac:dyDescent="0.2">
      <c r="A490">
        <v>489</v>
      </c>
      <c r="B490">
        <v>52</v>
      </c>
      <c r="C490" s="1">
        <v>45619</v>
      </c>
      <c r="D490">
        <v>1</v>
      </c>
      <c r="E490">
        <v>5</v>
      </c>
      <c r="F490" s="11">
        <v>4236.2210000000005</v>
      </c>
    </row>
    <row r="491" spans="1:6" x14ac:dyDescent="0.2">
      <c r="A491">
        <v>490</v>
      </c>
      <c r="B491">
        <v>84</v>
      </c>
      <c r="C491" s="1">
        <v>45368</v>
      </c>
      <c r="D491">
        <v>5</v>
      </c>
      <c r="E491">
        <v>9</v>
      </c>
      <c r="F491" s="11">
        <v>7061.7456000000002</v>
      </c>
    </row>
    <row r="492" spans="1:6" x14ac:dyDescent="0.2">
      <c r="A492">
        <v>491</v>
      </c>
      <c r="B492">
        <v>41</v>
      </c>
      <c r="C492" s="1">
        <v>45105</v>
      </c>
      <c r="D492">
        <v>35</v>
      </c>
      <c r="E492">
        <v>7</v>
      </c>
      <c r="F492" s="11">
        <v>2865.7670999999996</v>
      </c>
    </row>
    <row r="493" spans="1:6" x14ac:dyDescent="0.2">
      <c r="A493">
        <v>492</v>
      </c>
      <c r="B493">
        <v>127</v>
      </c>
      <c r="C493" s="1">
        <v>44994</v>
      </c>
      <c r="D493">
        <v>39</v>
      </c>
      <c r="E493">
        <v>8</v>
      </c>
      <c r="F493" s="11">
        <v>5051.3152000000009</v>
      </c>
    </row>
    <row r="494" spans="1:6" x14ac:dyDescent="0.2">
      <c r="A494">
        <v>493</v>
      </c>
      <c r="B494">
        <v>6</v>
      </c>
      <c r="C494" s="1">
        <v>45736</v>
      </c>
      <c r="D494">
        <v>43</v>
      </c>
      <c r="E494">
        <v>9</v>
      </c>
      <c r="F494" s="11">
        <v>3753.9138000000003</v>
      </c>
    </row>
    <row r="495" spans="1:6" x14ac:dyDescent="0.2">
      <c r="A495">
        <v>494</v>
      </c>
      <c r="B495">
        <v>144</v>
      </c>
      <c r="C495" s="1">
        <v>45992</v>
      </c>
      <c r="D495">
        <v>20</v>
      </c>
      <c r="E495">
        <v>8</v>
      </c>
      <c r="F495" s="11">
        <v>1451.9624000000001</v>
      </c>
    </row>
    <row r="496" spans="1:6" x14ac:dyDescent="0.2">
      <c r="A496">
        <v>495</v>
      </c>
      <c r="B496">
        <v>120</v>
      </c>
      <c r="C496" s="1">
        <v>45240</v>
      </c>
      <c r="D496">
        <v>24</v>
      </c>
      <c r="E496">
        <v>3</v>
      </c>
      <c r="F496" s="11">
        <v>1917.3019999999999</v>
      </c>
    </row>
    <row r="497" spans="1:6" x14ac:dyDescent="0.2">
      <c r="A497">
        <v>496</v>
      </c>
      <c r="B497">
        <v>103</v>
      </c>
      <c r="C497" s="1">
        <v>45180</v>
      </c>
      <c r="D497">
        <v>8</v>
      </c>
      <c r="E497">
        <v>5</v>
      </c>
      <c r="F497" s="11">
        <v>6093.3474999999999</v>
      </c>
    </row>
    <row r="498" spans="1:6" x14ac:dyDescent="0.2">
      <c r="A498">
        <v>497</v>
      </c>
      <c r="B498">
        <v>36</v>
      </c>
      <c r="C498" s="1">
        <v>45346</v>
      </c>
      <c r="D498">
        <v>30</v>
      </c>
      <c r="E498">
        <v>3</v>
      </c>
      <c r="F498" s="11">
        <v>142.97800000000001</v>
      </c>
    </row>
    <row r="499" spans="1:6" x14ac:dyDescent="0.2">
      <c r="A499">
        <v>498</v>
      </c>
      <c r="B499">
        <v>52</v>
      </c>
      <c r="C499" s="1">
        <v>45996</v>
      </c>
      <c r="D499">
        <v>25</v>
      </c>
      <c r="E499">
        <v>2</v>
      </c>
      <c r="F499" s="11">
        <v>4369.9964</v>
      </c>
    </row>
    <row r="500" spans="1:6" x14ac:dyDescent="0.2">
      <c r="A500">
        <v>499</v>
      </c>
      <c r="B500">
        <v>123</v>
      </c>
      <c r="C500" s="1">
        <v>45541</v>
      </c>
      <c r="D500">
        <v>13</v>
      </c>
      <c r="E500">
        <v>9</v>
      </c>
      <c r="F500" s="11">
        <v>4211.1342000000004</v>
      </c>
    </row>
    <row r="501" spans="1:6" x14ac:dyDescent="0.2">
      <c r="A501">
        <v>500</v>
      </c>
      <c r="B501">
        <v>58</v>
      </c>
      <c r="C501" s="1">
        <v>45225</v>
      </c>
      <c r="D501">
        <v>12</v>
      </c>
      <c r="E501">
        <v>3</v>
      </c>
      <c r="F501" s="11">
        <v>1104.4225999999999</v>
      </c>
    </row>
    <row r="502" spans="1:6" x14ac:dyDescent="0.2">
      <c r="A502">
        <v>501</v>
      </c>
      <c r="B502">
        <v>115</v>
      </c>
      <c r="C502" s="1">
        <v>45224</v>
      </c>
      <c r="D502">
        <v>28</v>
      </c>
      <c r="E502">
        <v>8</v>
      </c>
      <c r="F502" s="11">
        <v>4315.9776000000002</v>
      </c>
    </row>
    <row r="503" spans="1:6" x14ac:dyDescent="0.2">
      <c r="A503">
        <v>502</v>
      </c>
      <c r="B503">
        <v>60</v>
      </c>
      <c r="C503" s="1">
        <v>44939</v>
      </c>
      <c r="D503">
        <v>13</v>
      </c>
      <c r="E503">
        <v>7</v>
      </c>
      <c r="F503" s="11">
        <v>2578.5272999999997</v>
      </c>
    </row>
    <row r="504" spans="1:6" x14ac:dyDescent="0.2">
      <c r="A504">
        <v>503</v>
      </c>
      <c r="B504">
        <v>83</v>
      </c>
      <c r="C504" s="1">
        <v>44968</v>
      </c>
      <c r="D504">
        <v>19</v>
      </c>
      <c r="E504">
        <v>4</v>
      </c>
      <c r="F504" s="11">
        <v>3663.7727999999997</v>
      </c>
    </row>
    <row r="505" spans="1:6" x14ac:dyDescent="0.2">
      <c r="A505">
        <v>504</v>
      </c>
      <c r="B505">
        <v>134</v>
      </c>
      <c r="C505" s="1">
        <v>45787</v>
      </c>
      <c r="D505">
        <v>18</v>
      </c>
      <c r="E505">
        <v>6</v>
      </c>
      <c r="F505" s="11">
        <v>631.87739999999997</v>
      </c>
    </row>
    <row r="506" spans="1:6" x14ac:dyDescent="0.2">
      <c r="A506">
        <v>505</v>
      </c>
      <c r="B506">
        <v>66</v>
      </c>
      <c r="C506" s="1">
        <v>45517</v>
      </c>
      <c r="D506">
        <v>14</v>
      </c>
      <c r="E506">
        <v>5</v>
      </c>
      <c r="F506" s="11">
        <v>5533.7595000000001</v>
      </c>
    </row>
    <row r="507" spans="1:6" x14ac:dyDescent="0.2">
      <c r="A507">
        <v>506</v>
      </c>
      <c r="B507">
        <v>46</v>
      </c>
      <c r="C507" s="1">
        <v>45631</v>
      </c>
      <c r="D507">
        <v>32</v>
      </c>
      <c r="E507">
        <v>10</v>
      </c>
      <c r="F507" s="11">
        <v>1456.7940000000001</v>
      </c>
    </row>
    <row r="508" spans="1:6" x14ac:dyDescent="0.2">
      <c r="A508">
        <v>507</v>
      </c>
      <c r="B508">
        <v>124</v>
      </c>
      <c r="C508" s="1">
        <v>45924</v>
      </c>
      <c r="D508">
        <v>25</v>
      </c>
      <c r="E508">
        <v>2</v>
      </c>
      <c r="F508" s="11">
        <v>4063.6091999999999</v>
      </c>
    </row>
    <row r="509" spans="1:6" x14ac:dyDescent="0.2">
      <c r="A509">
        <v>508</v>
      </c>
      <c r="B509">
        <v>88</v>
      </c>
      <c r="C509" s="1">
        <v>45113</v>
      </c>
      <c r="D509">
        <v>49</v>
      </c>
      <c r="E509">
        <v>6</v>
      </c>
      <c r="F509" s="11">
        <v>5862.1502</v>
      </c>
    </row>
    <row r="510" spans="1:6" x14ac:dyDescent="0.2">
      <c r="A510">
        <v>509</v>
      </c>
      <c r="B510">
        <v>30</v>
      </c>
      <c r="C510" s="1">
        <v>45140</v>
      </c>
      <c r="D510">
        <v>12</v>
      </c>
      <c r="E510">
        <v>9</v>
      </c>
      <c r="F510" s="11">
        <v>1863.9894000000002</v>
      </c>
    </row>
    <row r="511" spans="1:6" x14ac:dyDescent="0.2">
      <c r="A511">
        <v>510</v>
      </c>
      <c r="B511">
        <v>123</v>
      </c>
      <c r="C511" s="1">
        <v>45797</v>
      </c>
      <c r="D511">
        <v>12</v>
      </c>
      <c r="E511">
        <v>6</v>
      </c>
      <c r="F511" s="11">
        <v>4349.9627999999993</v>
      </c>
    </row>
    <row r="512" spans="1:6" x14ac:dyDescent="0.2">
      <c r="A512">
        <v>511</v>
      </c>
      <c r="B512">
        <v>143</v>
      </c>
      <c r="C512" s="1">
        <v>45563</v>
      </c>
      <c r="D512">
        <v>23</v>
      </c>
      <c r="E512">
        <v>10</v>
      </c>
      <c r="F512" s="11">
        <v>270.26100000000002</v>
      </c>
    </row>
    <row r="513" spans="1:6" x14ac:dyDescent="0.2">
      <c r="A513">
        <v>512</v>
      </c>
      <c r="B513">
        <v>30</v>
      </c>
      <c r="C513" s="1">
        <v>45323</v>
      </c>
      <c r="D513">
        <v>26</v>
      </c>
      <c r="E513">
        <v>7</v>
      </c>
      <c r="F513" s="11">
        <v>1904.9562000000001</v>
      </c>
    </row>
    <row r="514" spans="1:6" x14ac:dyDescent="0.2">
      <c r="A514">
        <v>513</v>
      </c>
      <c r="B514">
        <v>33</v>
      </c>
      <c r="C514" s="1">
        <v>45093</v>
      </c>
      <c r="D514">
        <v>33</v>
      </c>
      <c r="E514">
        <v>10</v>
      </c>
      <c r="F514" s="11">
        <v>4547.6909999999998</v>
      </c>
    </row>
    <row r="515" spans="1:6" x14ac:dyDescent="0.2">
      <c r="A515">
        <v>514</v>
      </c>
      <c r="B515">
        <v>87</v>
      </c>
      <c r="C515" s="1">
        <v>45709</v>
      </c>
      <c r="D515">
        <v>31</v>
      </c>
      <c r="E515">
        <v>6</v>
      </c>
      <c r="F515" s="11">
        <v>3848.4727999999996</v>
      </c>
    </row>
    <row r="516" spans="1:6" x14ac:dyDescent="0.2">
      <c r="A516">
        <v>515</v>
      </c>
      <c r="B516">
        <v>138</v>
      </c>
      <c r="C516" s="1">
        <v>44937</v>
      </c>
      <c r="D516">
        <v>21</v>
      </c>
      <c r="E516">
        <v>7</v>
      </c>
      <c r="F516" s="11">
        <v>2875.0856999999996</v>
      </c>
    </row>
    <row r="517" spans="1:6" x14ac:dyDescent="0.2">
      <c r="A517">
        <v>516</v>
      </c>
      <c r="B517">
        <v>74</v>
      </c>
      <c r="C517" s="1">
        <v>45509</v>
      </c>
      <c r="D517">
        <v>46</v>
      </c>
      <c r="E517">
        <v>6</v>
      </c>
      <c r="F517" s="11">
        <v>1790.8973999999998</v>
      </c>
    </row>
    <row r="518" spans="1:6" x14ac:dyDescent="0.2">
      <c r="A518">
        <v>517</v>
      </c>
      <c r="B518">
        <v>131</v>
      </c>
      <c r="C518" s="1">
        <v>45137</v>
      </c>
      <c r="D518">
        <v>15</v>
      </c>
      <c r="E518">
        <v>6</v>
      </c>
      <c r="F518" s="11">
        <v>5821.0252</v>
      </c>
    </row>
    <row r="519" spans="1:6" x14ac:dyDescent="0.2">
      <c r="A519">
        <v>518</v>
      </c>
      <c r="B519">
        <v>54</v>
      </c>
      <c r="C519" s="1">
        <v>45531</v>
      </c>
      <c r="D519">
        <v>41</v>
      </c>
      <c r="E519">
        <v>8</v>
      </c>
      <c r="F519" s="11">
        <v>855.18600000000004</v>
      </c>
    </row>
    <row r="520" spans="1:6" x14ac:dyDescent="0.2">
      <c r="A520">
        <v>519</v>
      </c>
      <c r="B520">
        <v>5</v>
      </c>
      <c r="C520" s="1">
        <v>45517</v>
      </c>
      <c r="D520">
        <v>26</v>
      </c>
      <c r="E520">
        <v>4</v>
      </c>
      <c r="F520" s="11">
        <v>797.04</v>
      </c>
    </row>
    <row r="521" spans="1:6" x14ac:dyDescent="0.2">
      <c r="A521">
        <v>520</v>
      </c>
      <c r="B521">
        <v>19</v>
      </c>
      <c r="C521" s="1">
        <v>45373</v>
      </c>
      <c r="D521">
        <v>4</v>
      </c>
      <c r="E521">
        <v>9</v>
      </c>
      <c r="F521" s="11">
        <v>3103.8553000000002</v>
      </c>
    </row>
    <row r="522" spans="1:6" x14ac:dyDescent="0.2">
      <c r="A522">
        <v>521</v>
      </c>
      <c r="B522">
        <v>142</v>
      </c>
      <c r="C522" s="1">
        <v>46002</v>
      </c>
      <c r="D522">
        <v>25</v>
      </c>
      <c r="E522">
        <v>8</v>
      </c>
      <c r="F522" s="11">
        <v>2743.7528000000002</v>
      </c>
    </row>
    <row r="523" spans="1:6" x14ac:dyDescent="0.2">
      <c r="A523">
        <v>522</v>
      </c>
      <c r="B523">
        <v>75</v>
      </c>
      <c r="C523" s="1">
        <v>45786</v>
      </c>
      <c r="D523">
        <v>16</v>
      </c>
      <c r="E523">
        <v>7</v>
      </c>
      <c r="F523" s="11">
        <v>3509.2991999999999</v>
      </c>
    </row>
    <row r="524" spans="1:6" x14ac:dyDescent="0.2">
      <c r="A524">
        <v>523</v>
      </c>
      <c r="B524">
        <v>36</v>
      </c>
      <c r="C524" s="1">
        <v>45817</v>
      </c>
      <c r="D524">
        <v>50</v>
      </c>
      <c r="E524">
        <v>10</v>
      </c>
      <c r="F524" s="11">
        <v>132.66</v>
      </c>
    </row>
    <row r="525" spans="1:6" x14ac:dyDescent="0.2">
      <c r="A525">
        <v>524</v>
      </c>
      <c r="B525">
        <v>87</v>
      </c>
      <c r="C525" s="1">
        <v>45252</v>
      </c>
      <c r="D525">
        <v>18</v>
      </c>
      <c r="E525">
        <v>4</v>
      </c>
      <c r="F525" s="11">
        <v>3930.3552</v>
      </c>
    </row>
    <row r="526" spans="1:6" x14ac:dyDescent="0.2">
      <c r="A526">
        <v>525</v>
      </c>
      <c r="B526">
        <v>82</v>
      </c>
      <c r="C526" s="1">
        <v>45880</v>
      </c>
      <c r="D526">
        <v>5</v>
      </c>
      <c r="E526">
        <v>4</v>
      </c>
      <c r="F526" s="11">
        <v>1220.3712</v>
      </c>
    </row>
    <row r="527" spans="1:6" x14ac:dyDescent="0.2">
      <c r="A527">
        <v>526</v>
      </c>
      <c r="B527">
        <v>77</v>
      </c>
      <c r="C527" s="1">
        <v>45888</v>
      </c>
      <c r="D527">
        <v>41</v>
      </c>
      <c r="E527">
        <v>2</v>
      </c>
      <c r="F527" s="11">
        <v>1965.8604</v>
      </c>
    </row>
    <row r="528" spans="1:6" x14ac:dyDescent="0.2">
      <c r="A528">
        <v>527</v>
      </c>
      <c r="B528">
        <v>80</v>
      </c>
      <c r="C528" s="1">
        <v>45257</v>
      </c>
      <c r="D528">
        <v>34</v>
      </c>
      <c r="E528">
        <v>4</v>
      </c>
      <c r="F528" s="11">
        <v>959.10720000000003</v>
      </c>
    </row>
    <row r="529" spans="1:6" x14ac:dyDescent="0.2">
      <c r="A529">
        <v>528</v>
      </c>
      <c r="B529">
        <v>41</v>
      </c>
      <c r="C529" s="1">
        <v>45952</v>
      </c>
      <c r="D529">
        <v>13</v>
      </c>
      <c r="E529">
        <v>5</v>
      </c>
      <c r="F529" s="11">
        <v>2927.3964999999998</v>
      </c>
    </row>
    <row r="530" spans="1:6" x14ac:dyDescent="0.2">
      <c r="A530">
        <v>529</v>
      </c>
      <c r="B530">
        <v>130</v>
      </c>
      <c r="C530" s="1">
        <v>45988</v>
      </c>
      <c r="D530">
        <v>4</v>
      </c>
      <c r="E530">
        <v>7</v>
      </c>
      <c r="F530" s="11">
        <v>2962.5056999999997</v>
      </c>
    </row>
    <row r="531" spans="1:6" x14ac:dyDescent="0.2">
      <c r="A531">
        <v>530</v>
      </c>
      <c r="B531">
        <v>39</v>
      </c>
      <c r="C531" s="1">
        <v>45424</v>
      </c>
      <c r="D531">
        <v>37</v>
      </c>
      <c r="E531">
        <v>2</v>
      </c>
      <c r="F531" s="11">
        <v>3143.4283999999998</v>
      </c>
    </row>
    <row r="532" spans="1:6" x14ac:dyDescent="0.2">
      <c r="A532">
        <v>531</v>
      </c>
      <c r="B532">
        <v>100</v>
      </c>
      <c r="C532" s="1">
        <v>45433</v>
      </c>
      <c r="D532">
        <v>15</v>
      </c>
      <c r="E532">
        <v>9</v>
      </c>
      <c r="F532" s="11">
        <v>3716.3126000000002</v>
      </c>
    </row>
    <row r="533" spans="1:6" x14ac:dyDescent="0.2">
      <c r="A533">
        <v>532</v>
      </c>
      <c r="B533">
        <v>17</v>
      </c>
      <c r="C533" s="1">
        <v>45648</v>
      </c>
      <c r="D533">
        <v>17</v>
      </c>
      <c r="E533">
        <v>9</v>
      </c>
      <c r="F533" s="11">
        <v>2711.0447000000004</v>
      </c>
    </row>
    <row r="534" spans="1:6" x14ac:dyDescent="0.2">
      <c r="A534">
        <v>533</v>
      </c>
      <c r="B534">
        <v>2</v>
      </c>
      <c r="C534" s="1">
        <v>45584</v>
      </c>
      <c r="D534">
        <v>50</v>
      </c>
      <c r="E534">
        <v>9</v>
      </c>
      <c r="F534" s="11">
        <v>4026.5497999999998</v>
      </c>
    </row>
    <row r="535" spans="1:6" x14ac:dyDescent="0.2">
      <c r="A535">
        <v>534</v>
      </c>
      <c r="B535">
        <v>36</v>
      </c>
      <c r="C535" s="1">
        <v>45998</v>
      </c>
      <c r="D535">
        <v>42</v>
      </c>
      <c r="E535">
        <v>5</v>
      </c>
      <c r="F535" s="11">
        <v>140.03</v>
      </c>
    </row>
    <row r="536" spans="1:6" x14ac:dyDescent="0.2">
      <c r="A536">
        <v>535</v>
      </c>
      <c r="B536">
        <v>88</v>
      </c>
      <c r="C536" s="1">
        <v>44952</v>
      </c>
      <c r="D536">
        <v>36</v>
      </c>
      <c r="E536">
        <v>8</v>
      </c>
      <c r="F536" s="11">
        <v>5737.4236000000001</v>
      </c>
    </row>
    <row r="537" spans="1:6" x14ac:dyDescent="0.2">
      <c r="A537">
        <v>536</v>
      </c>
      <c r="B537">
        <v>65</v>
      </c>
      <c r="C537" s="1">
        <v>45020</v>
      </c>
      <c r="D537">
        <v>30</v>
      </c>
      <c r="E537">
        <v>6</v>
      </c>
      <c r="F537" s="11">
        <v>4240.6783999999998</v>
      </c>
    </row>
    <row r="538" spans="1:6" x14ac:dyDescent="0.2">
      <c r="A538">
        <v>537</v>
      </c>
      <c r="B538">
        <v>92</v>
      </c>
      <c r="C538" s="1">
        <v>45326</v>
      </c>
      <c r="D538">
        <v>25</v>
      </c>
      <c r="E538">
        <v>4</v>
      </c>
      <c r="F538" s="11">
        <v>3434.8991999999998</v>
      </c>
    </row>
    <row r="539" spans="1:6" x14ac:dyDescent="0.2">
      <c r="A539">
        <v>538</v>
      </c>
      <c r="B539">
        <v>26</v>
      </c>
      <c r="C539" s="1">
        <v>45956</v>
      </c>
      <c r="D539">
        <v>37</v>
      </c>
      <c r="E539">
        <v>6</v>
      </c>
      <c r="F539" s="11">
        <v>5298.7047999999995</v>
      </c>
    </row>
    <row r="540" spans="1:6" x14ac:dyDescent="0.2">
      <c r="A540">
        <v>539</v>
      </c>
      <c r="B540">
        <v>118</v>
      </c>
      <c r="C540" s="1">
        <v>45025</v>
      </c>
      <c r="D540">
        <v>41</v>
      </c>
      <c r="E540">
        <v>2</v>
      </c>
      <c r="F540" s="11">
        <v>3086.2649999999999</v>
      </c>
    </row>
    <row r="541" spans="1:6" x14ac:dyDescent="0.2">
      <c r="A541">
        <v>540</v>
      </c>
      <c r="B541">
        <v>59</v>
      </c>
      <c r="C541" s="1">
        <v>46004</v>
      </c>
      <c r="D541">
        <v>36</v>
      </c>
      <c r="E541">
        <v>7</v>
      </c>
      <c r="F541" s="11">
        <v>3859.9742999999999</v>
      </c>
    </row>
    <row r="542" spans="1:6" x14ac:dyDescent="0.2">
      <c r="A542">
        <v>541</v>
      </c>
      <c r="B542">
        <v>98</v>
      </c>
      <c r="C542" s="1">
        <v>44929</v>
      </c>
      <c r="D542">
        <v>9</v>
      </c>
      <c r="E542">
        <v>10</v>
      </c>
      <c r="F542" s="11">
        <v>7026.9120000000003</v>
      </c>
    </row>
    <row r="543" spans="1:6" x14ac:dyDescent="0.2">
      <c r="A543">
        <v>542</v>
      </c>
      <c r="B543">
        <v>78</v>
      </c>
      <c r="C543" s="1">
        <v>45534</v>
      </c>
      <c r="D543">
        <v>8</v>
      </c>
      <c r="E543">
        <v>5</v>
      </c>
      <c r="F543" s="11">
        <v>822.45299999999997</v>
      </c>
    </row>
    <row r="544" spans="1:6" x14ac:dyDescent="0.2">
      <c r="A544">
        <v>543</v>
      </c>
      <c r="B544">
        <v>42</v>
      </c>
      <c r="C544" s="1">
        <v>45508</v>
      </c>
      <c r="D544">
        <v>31</v>
      </c>
      <c r="E544">
        <v>5</v>
      </c>
      <c r="F544" s="11">
        <v>406.22</v>
      </c>
    </row>
    <row r="545" spans="1:6" x14ac:dyDescent="0.2">
      <c r="A545">
        <v>544</v>
      </c>
      <c r="B545">
        <v>149</v>
      </c>
      <c r="C545" s="1">
        <v>45908</v>
      </c>
      <c r="D545">
        <v>43</v>
      </c>
      <c r="E545">
        <v>10</v>
      </c>
      <c r="F545" s="11">
        <v>5515.0019999999995</v>
      </c>
    </row>
    <row r="546" spans="1:6" x14ac:dyDescent="0.2">
      <c r="A546">
        <v>545</v>
      </c>
      <c r="B546">
        <v>150</v>
      </c>
      <c r="C546" s="1">
        <v>45435</v>
      </c>
      <c r="D546">
        <v>10</v>
      </c>
      <c r="E546">
        <v>5</v>
      </c>
      <c r="F546" s="11">
        <v>2175.2339999999999</v>
      </c>
    </row>
    <row r="547" spans="1:6" x14ac:dyDescent="0.2">
      <c r="A547">
        <v>546</v>
      </c>
      <c r="B547">
        <v>91</v>
      </c>
      <c r="C547" s="1">
        <v>45707</v>
      </c>
      <c r="D547">
        <v>45</v>
      </c>
      <c r="E547">
        <v>7</v>
      </c>
      <c r="F547" s="11">
        <v>2941.5899999999997</v>
      </c>
    </row>
    <row r="548" spans="1:6" x14ac:dyDescent="0.2">
      <c r="A548">
        <v>547</v>
      </c>
      <c r="B548">
        <v>31</v>
      </c>
      <c r="C548" s="1">
        <v>45466</v>
      </c>
      <c r="D548">
        <v>45</v>
      </c>
      <c r="E548">
        <v>9</v>
      </c>
      <c r="F548" s="11">
        <v>931.14840000000004</v>
      </c>
    </row>
    <row r="549" spans="1:6" x14ac:dyDescent="0.2">
      <c r="A549">
        <v>548</v>
      </c>
      <c r="B549">
        <v>24</v>
      </c>
      <c r="C549" s="1">
        <v>45816</v>
      </c>
      <c r="D549">
        <v>45</v>
      </c>
      <c r="E549">
        <v>9</v>
      </c>
      <c r="F549" s="11">
        <v>3636.8332</v>
      </c>
    </row>
    <row r="550" spans="1:6" x14ac:dyDescent="0.2">
      <c r="A550">
        <v>549</v>
      </c>
      <c r="B550">
        <v>102</v>
      </c>
      <c r="C550" s="1">
        <v>45521</v>
      </c>
      <c r="D550">
        <v>50</v>
      </c>
      <c r="E550">
        <v>8</v>
      </c>
      <c r="F550" s="11">
        <v>3812.4247999999998</v>
      </c>
    </row>
    <row r="551" spans="1:6" x14ac:dyDescent="0.2">
      <c r="A551">
        <v>550</v>
      </c>
      <c r="B551">
        <v>99</v>
      </c>
      <c r="C551" s="1">
        <v>45123</v>
      </c>
      <c r="D551">
        <v>19</v>
      </c>
      <c r="E551">
        <v>5</v>
      </c>
      <c r="F551" s="11">
        <v>1941.7809999999999</v>
      </c>
    </row>
    <row r="552" spans="1:6" x14ac:dyDescent="0.2">
      <c r="A552">
        <v>551</v>
      </c>
      <c r="B552">
        <v>86</v>
      </c>
      <c r="C552" s="1">
        <v>45740</v>
      </c>
      <c r="D552">
        <v>29</v>
      </c>
      <c r="E552">
        <v>9</v>
      </c>
      <c r="F552" s="11">
        <v>2841.8481000000002</v>
      </c>
    </row>
    <row r="553" spans="1:6" x14ac:dyDescent="0.2">
      <c r="A553">
        <v>552</v>
      </c>
      <c r="B553">
        <v>47</v>
      </c>
      <c r="C553" s="1">
        <v>45336</v>
      </c>
      <c r="D553">
        <v>23</v>
      </c>
      <c r="E553">
        <v>5</v>
      </c>
      <c r="F553" s="11">
        <v>3242.9009999999998</v>
      </c>
    </row>
    <row r="554" spans="1:6" x14ac:dyDescent="0.2">
      <c r="A554">
        <v>553</v>
      </c>
      <c r="B554">
        <v>70</v>
      </c>
      <c r="C554" s="1">
        <v>45700</v>
      </c>
      <c r="D554">
        <v>22</v>
      </c>
      <c r="E554">
        <v>7</v>
      </c>
      <c r="F554" s="11">
        <v>3747.6674999999996</v>
      </c>
    </row>
    <row r="555" spans="1:6" x14ac:dyDescent="0.2">
      <c r="A555">
        <v>554</v>
      </c>
      <c r="B555">
        <v>59</v>
      </c>
      <c r="C555" s="1">
        <v>45187</v>
      </c>
      <c r="D555">
        <v>31</v>
      </c>
      <c r="E555">
        <v>9</v>
      </c>
      <c r="F555" s="11">
        <v>3776.9641000000001</v>
      </c>
    </row>
    <row r="556" spans="1:6" x14ac:dyDescent="0.2">
      <c r="A556">
        <v>555</v>
      </c>
      <c r="B556">
        <v>99</v>
      </c>
      <c r="C556" s="1">
        <v>45103</v>
      </c>
      <c r="D556">
        <v>28</v>
      </c>
      <c r="E556">
        <v>3</v>
      </c>
      <c r="F556" s="11">
        <v>1982.6605999999999</v>
      </c>
    </row>
    <row r="557" spans="1:6" x14ac:dyDescent="0.2">
      <c r="A557">
        <v>556</v>
      </c>
      <c r="B557">
        <v>117</v>
      </c>
      <c r="C557" s="1">
        <v>45661</v>
      </c>
      <c r="D557">
        <v>30</v>
      </c>
      <c r="E557">
        <v>8</v>
      </c>
      <c r="F557" s="11">
        <v>1957.0056</v>
      </c>
    </row>
    <row r="558" spans="1:6" x14ac:dyDescent="0.2">
      <c r="A558">
        <v>557</v>
      </c>
      <c r="B558">
        <v>88</v>
      </c>
      <c r="C558" s="1">
        <v>45409</v>
      </c>
      <c r="D558">
        <v>9</v>
      </c>
      <c r="E558">
        <v>3</v>
      </c>
      <c r="F558" s="11">
        <v>6049.2401</v>
      </c>
    </row>
    <row r="559" spans="1:6" x14ac:dyDescent="0.2">
      <c r="A559">
        <v>558</v>
      </c>
      <c r="B559">
        <v>62</v>
      </c>
      <c r="C559" s="1">
        <v>45271</v>
      </c>
      <c r="D559">
        <v>31</v>
      </c>
      <c r="E559">
        <v>5</v>
      </c>
      <c r="F559" s="11">
        <v>3285.0430000000001</v>
      </c>
    </row>
    <row r="560" spans="1:6" x14ac:dyDescent="0.2">
      <c r="A560">
        <v>559</v>
      </c>
      <c r="B560">
        <v>56</v>
      </c>
      <c r="C560" s="1">
        <v>45067</v>
      </c>
      <c r="D560">
        <v>29</v>
      </c>
      <c r="E560">
        <v>6</v>
      </c>
      <c r="F560" s="11">
        <v>7502.8919999999998</v>
      </c>
    </row>
    <row r="561" spans="1:6" x14ac:dyDescent="0.2">
      <c r="A561">
        <v>560</v>
      </c>
      <c r="B561">
        <v>26</v>
      </c>
      <c r="C561" s="1">
        <v>45508</v>
      </c>
      <c r="D561">
        <v>32</v>
      </c>
      <c r="E561">
        <v>6</v>
      </c>
      <c r="F561" s="11">
        <v>5298.7047999999995</v>
      </c>
    </row>
    <row r="562" spans="1:6" x14ac:dyDescent="0.2">
      <c r="A562">
        <v>561</v>
      </c>
      <c r="B562">
        <v>85</v>
      </c>
      <c r="C562" s="1">
        <v>45280</v>
      </c>
      <c r="D562">
        <v>36</v>
      </c>
      <c r="E562">
        <v>8</v>
      </c>
      <c r="F562" s="11">
        <v>3452.7876000000001</v>
      </c>
    </row>
    <row r="563" spans="1:6" x14ac:dyDescent="0.2">
      <c r="A563">
        <v>562</v>
      </c>
      <c r="B563">
        <v>87</v>
      </c>
      <c r="C563" s="1">
        <v>45878</v>
      </c>
      <c r="D563">
        <v>29</v>
      </c>
      <c r="E563">
        <v>4</v>
      </c>
      <c r="F563" s="11">
        <v>3930.3552</v>
      </c>
    </row>
    <row r="564" spans="1:6" x14ac:dyDescent="0.2">
      <c r="A564">
        <v>563</v>
      </c>
      <c r="B564">
        <v>58</v>
      </c>
      <c r="C564" s="1">
        <v>45080</v>
      </c>
      <c r="D564">
        <v>46</v>
      </c>
      <c r="E564">
        <v>7</v>
      </c>
      <c r="F564" s="11">
        <v>1058.8793999999998</v>
      </c>
    </row>
    <row r="565" spans="1:6" x14ac:dyDescent="0.2">
      <c r="A565">
        <v>564</v>
      </c>
      <c r="B565">
        <v>42</v>
      </c>
      <c r="C565" s="1">
        <v>44942</v>
      </c>
      <c r="D565">
        <v>1</v>
      </c>
      <c r="E565">
        <v>3</v>
      </c>
      <c r="F565" s="11">
        <v>414.77199999999999</v>
      </c>
    </row>
    <row r="566" spans="1:6" x14ac:dyDescent="0.2">
      <c r="A566">
        <v>565</v>
      </c>
      <c r="B566">
        <v>89</v>
      </c>
      <c r="C566" s="1">
        <v>45834</v>
      </c>
      <c r="D566">
        <v>41</v>
      </c>
      <c r="E566">
        <v>10</v>
      </c>
      <c r="F566" s="11">
        <v>907.53300000000002</v>
      </c>
    </row>
    <row r="567" spans="1:6" x14ac:dyDescent="0.2">
      <c r="A567">
        <v>566</v>
      </c>
      <c r="B567">
        <v>53</v>
      </c>
      <c r="C567" s="1">
        <v>45316</v>
      </c>
      <c r="D567">
        <v>49</v>
      </c>
      <c r="E567">
        <v>8</v>
      </c>
      <c r="F567" s="11">
        <v>3187.2572</v>
      </c>
    </row>
    <row r="568" spans="1:6" x14ac:dyDescent="0.2">
      <c r="A568">
        <v>567</v>
      </c>
      <c r="B568">
        <v>2</v>
      </c>
      <c r="C568" s="1">
        <v>45046</v>
      </c>
      <c r="D568">
        <v>35</v>
      </c>
      <c r="E568">
        <v>9</v>
      </c>
      <c r="F568" s="11">
        <v>4026.5497999999998</v>
      </c>
    </row>
    <row r="569" spans="1:6" x14ac:dyDescent="0.2">
      <c r="A569">
        <v>568</v>
      </c>
      <c r="B569">
        <v>36</v>
      </c>
      <c r="C569" s="1">
        <v>45703</v>
      </c>
      <c r="D569">
        <v>40</v>
      </c>
      <c r="E569">
        <v>5</v>
      </c>
      <c r="F569" s="11">
        <v>140.03</v>
      </c>
    </row>
    <row r="570" spans="1:6" x14ac:dyDescent="0.2">
      <c r="A570">
        <v>569</v>
      </c>
      <c r="B570">
        <v>133</v>
      </c>
      <c r="C570" s="1">
        <v>45114</v>
      </c>
      <c r="D570">
        <v>13</v>
      </c>
      <c r="E570">
        <v>8</v>
      </c>
      <c r="F570" s="11">
        <v>6076.5079999999998</v>
      </c>
    </row>
    <row r="571" spans="1:6" x14ac:dyDescent="0.2">
      <c r="A571">
        <v>570</v>
      </c>
      <c r="B571">
        <v>69</v>
      </c>
      <c r="C571" s="1">
        <v>45961</v>
      </c>
      <c r="D571">
        <v>37</v>
      </c>
      <c r="E571">
        <v>2</v>
      </c>
      <c r="F571" s="11">
        <v>7309.5259999999998</v>
      </c>
    </row>
    <row r="572" spans="1:6" x14ac:dyDescent="0.2">
      <c r="A572">
        <v>571</v>
      </c>
      <c r="B572">
        <v>79</v>
      </c>
      <c r="C572" s="1">
        <v>45587</v>
      </c>
      <c r="D572">
        <v>44</v>
      </c>
      <c r="E572">
        <v>4</v>
      </c>
      <c r="F572" s="11">
        <v>2119.6127999999999</v>
      </c>
    </row>
    <row r="573" spans="1:6" x14ac:dyDescent="0.2">
      <c r="A573">
        <v>572</v>
      </c>
      <c r="B573">
        <v>116</v>
      </c>
      <c r="C573" s="1">
        <v>44927</v>
      </c>
      <c r="D573">
        <v>1</v>
      </c>
      <c r="E573">
        <v>7</v>
      </c>
      <c r="F573" s="11">
        <v>2197.7294999999999</v>
      </c>
    </row>
    <row r="574" spans="1:6" x14ac:dyDescent="0.2">
      <c r="A574">
        <v>573</v>
      </c>
      <c r="B574">
        <v>141</v>
      </c>
      <c r="C574" s="1">
        <v>45459</v>
      </c>
      <c r="D574">
        <v>10</v>
      </c>
      <c r="E574">
        <v>3</v>
      </c>
      <c r="F574" s="11">
        <v>7629.2342999999992</v>
      </c>
    </row>
    <row r="575" spans="1:6" x14ac:dyDescent="0.2">
      <c r="A575">
        <v>574</v>
      </c>
      <c r="B575">
        <v>99</v>
      </c>
      <c r="C575" s="1">
        <v>45198</v>
      </c>
      <c r="D575">
        <v>18</v>
      </c>
      <c r="E575">
        <v>6</v>
      </c>
      <c r="F575" s="11">
        <v>1921.3411999999998</v>
      </c>
    </row>
    <row r="576" spans="1:6" x14ac:dyDescent="0.2">
      <c r="A576">
        <v>575</v>
      </c>
      <c r="B576">
        <v>67</v>
      </c>
      <c r="C576" s="1">
        <v>45668</v>
      </c>
      <c r="D576">
        <v>9</v>
      </c>
      <c r="E576">
        <v>4</v>
      </c>
      <c r="F576" s="11">
        <v>1104.6815999999999</v>
      </c>
    </row>
    <row r="577" spans="1:6" x14ac:dyDescent="0.2">
      <c r="A577">
        <v>576</v>
      </c>
      <c r="B577">
        <v>35</v>
      </c>
      <c r="C577" s="1">
        <v>45800</v>
      </c>
      <c r="D577">
        <v>40</v>
      </c>
      <c r="E577">
        <v>8</v>
      </c>
      <c r="F577" s="11">
        <v>124.37480000000001</v>
      </c>
    </row>
    <row r="578" spans="1:6" x14ac:dyDescent="0.2">
      <c r="A578">
        <v>577</v>
      </c>
      <c r="B578">
        <v>19</v>
      </c>
      <c r="C578" s="1">
        <v>45112</v>
      </c>
      <c r="D578">
        <v>45</v>
      </c>
      <c r="E578">
        <v>5</v>
      </c>
      <c r="F578" s="11">
        <v>3240.2884999999997</v>
      </c>
    </row>
    <row r="579" spans="1:6" x14ac:dyDescent="0.2">
      <c r="A579">
        <v>578</v>
      </c>
      <c r="B579">
        <v>34</v>
      </c>
      <c r="C579" s="1">
        <v>45030</v>
      </c>
      <c r="D579">
        <v>48</v>
      </c>
      <c r="E579">
        <v>7</v>
      </c>
      <c r="F579" s="11">
        <v>1212.1527000000001</v>
      </c>
    </row>
    <row r="580" spans="1:6" x14ac:dyDescent="0.2">
      <c r="A580">
        <v>579</v>
      </c>
      <c r="B580">
        <v>44</v>
      </c>
      <c r="C580" s="1">
        <v>45793</v>
      </c>
      <c r="D580">
        <v>41</v>
      </c>
      <c r="E580">
        <v>5</v>
      </c>
      <c r="F580" s="11">
        <v>335.92</v>
      </c>
    </row>
    <row r="581" spans="1:6" x14ac:dyDescent="0.2">
      <c r="A581">
        <v>580</v>
      </c>
      <c r="B581">
        <v>66</v>
      </c>
      <c r="C581" s="1">
        <v>45869</v>
      </c>
      <c r="D581">
        <v>5</v>
      </c>
      <c r="E581">
        <v>2</v>
      </c>
      <c r="F581" s="11">
        <v>5708.5097999999998</v>
      </c>
    </row>
    <row r="582" spans="1:6" x14ac:dyDescent="0.2">
      <c r="A582">
        <v>581</v>
      </c>
      <c r="B582">
        <v>44</v>
      </c>
      <c r="C582" s="1">
        <v>45952</v>
      </c>
      <c r="D582">
        <v>22</v>
      </c>
      <c r="E582">
        <v>10</v>
      </c>
      <c r="F582" s="11">
        <v>318.24</v>
      </c>
    </row>
    <row r="583" spans="1:6" x14ac:dyDescent="0.2">
      <c r="A583">
        <v>582</v>
      </c>
      <c r="B583">
        <v>116</v>
      </c>
      <c r="C583" s="1">
        <v>45726</v>
      </c>
      <c r="D583">
        <v>37</v>
      </c>
      <c r="E583">
        <v>7</v>
      </c>
      <c r="F583" s="11">
        <v>2197.7294999999999</v>
      </c>
    </row>
    <row r="584" spans="1:6" x14ac:dyDescent="0.2">
      <c r="A584">
        <v>583</v>
      </c>
      <c r="B584">
        <v>23</v>
      </c>
      <c r="C584" s="1">
        <v>45051</v>
      </c>
      <c r="D584">
        <v>8</v>
      </c>
      <c r="E584">
        <v>2</v>
      </c>
      <c r="F584" s="11">
        <v>3884.1320000000001</v>
      </c>
    </row>
    <row r="585" spans="1:6" x14ac:dyDescent="0.2">
      <c r="A585">
        <v>584</v>
      </c>
      <c r="B585">
        <v>84</v>
      </c>
      <c r="C585" s="1">
        <v>45571</v>
      </c>
      <c r="D585">
        <v>3</v>
      </c>
      <c r="E585">
        <v>2</v>
      </c>
      <c r="F585" s="11">
        <v>7604.9567999999999</v>
      </c>
    </row>
    <row r="586" spans="1:6" x14ac:dyDescent="0.2">
      <c r="A586">
        <v>585</v>
      </c>
      <c r="B586">
        <v>105</v>
      </c>
      <c r="C586" s="1">
        <v>45745</v>
      </c>
      <c r="D586">
        <v>39</v>
      </c>
      <c r="E586">
        <v>2</v>
      </c>
      <c r="F586" s="11">
        <v>4060.2183999999997</v>
      </c>
    </row>
    <row r="587" spans="1:6" x14ac:dyDescent="0.2">
      <c r="A587">
        <v>586</v>
      </c>
      <c r="B587">
        <v>99</v>
      </c>
      <c r="C587" s="1">
        <v>45042</v>
      </c>
      <c r="D587">
        <v>21</v>
      </c>
      <c r="E587">
        <v>4</v>
      </c>
      <c r="F587" s="11">
        <v>1962.2208000000001</v>
      </c>
    </row>
    <row r="588" spans="1:6" x14ac:dyDescent="0.2">
      <c r="A588">
        <v>587</v>
      </c>
      <c r="B588">
        <v>75</v>
      </c>
      <c r="C588" s="1">
        <v>45455</v>
      </c>
      <c r="D588">
        <v>35</v>
      </c>
      <c r="E588">
        <v>2</v>
      </c>
      <c r="F588" s="11">
        <v>3697.9712</v>
      </c>
    </row>
    <row r="589" spans="1:6" x14ac:dyDescent="0.2">
      <c r="A589">
        <v>588</v>
      </c>
      <c r="B589">
        <v>150</v>
      </c>
      <c r="C589" s="1">
        <v>46014</v>
      </c>
      <c r="D589">
        <v>6</v>
      </c>
      <c r="E589">
        <v>8</v>
      </c>
      <c r="F589" s="11">
        <v>2106.5423999999998</v>
      </c>
    </row>
    <row r="590" spans="1:6" x14ac:dyDescent="0.2">
      <c r="A590">
        <v>589</v>
      </c>
      <c r="B590">
        <v>68</v>
      </c>
      <c r="C590" s="1">
        <v>45978</v>
      </c>
      <c r="D590">
        <v>40</v>
      </c>
      <c r="E590">
        <v>5</v>
      </c>
      <c r="F590" s="11">
        <v>5741.3154999999997</v>
      </c>
    </row>
    <row r="591" spans="1:6" x14ac:dyDescent="0.2">
      <c r="A591">
        <v>590</v>
      </c>
      <c r="B591">
        <v>135</v>
      </c>
      <c r="C591" s="1">
        <v>45912</v>
      </c>
      <c r="D591">
        <v>6</v>
      </c>
      <c r="E591">
        <v>3</v>
      </c>
      <c r="F591" s="11">
        <v>7546.3186999999998</v>
      </c>
    </row>
    <row r="592" spans="1:6" x14ac:dyDescent="0.2">
      <c r="A592">
        <v>591</v>
      </c>
      <c r="B592">
        <v>8</v>
      </c>
      <c r="C592" s="1">
        <v>45667</v>
      </c>
      <c r="D592">
        <v>39</v>
      </c>
      <c r="E592">
        <v>9</v>
      </c>
      <c r="F592" s="11">
        <v>5135.9853999999996</v>
      </c>
    </row>
    <row r="593" spans="1:6" x14ac:dyDescent="0.2">
      <c r="A593">
        <v>592</v>
      </c>
      <c r="B593">
        <v>97</v>
      </c>
      <c r="C593" s="1">
        <v>45355</v>
      </c>
      <c r="D593">
        <v>47</v>
      </c>
      <c r="E593">
        <v>7</v>
      </c>
      <c r="F593" s="11">
        <v>857.12519999999995</v>
      </c>
    </row>
    <row r="594" spans="1:6" x14ac:dyDescent="0.2">
      <c r="A594">
        <v>593</v>
      </c>
      <c r="B594">
        <v>47</v>
      </c>
      <c r="C594" s="1">
        <v>45823</v>
      </c>
      <c r="D594">
        <v>18</v>
      </c>
      <c r="E594">
        <v>5</v>
      </c>
      <c r="F594" s="11">
        <v>3242.9009999999998</v>
      </c>
    </row>
    <row r="595" spans="1:6" x14ac:dyDescent="0.2">
      <c r="A595">
        <v>594</v>
      </c>
      <c r="B595">
        <v>144</v>
      </c>
      <c r="C595" s="1">
        <v>45620</v>
      </c>
      <c r="D595">
        <v>36</v>
      </c>
      <c r="E595">
        <v>6</v>
      </c>
      <c r="F595" s="11">
        <v>1483.5267999999999</v>
      </c>
    </row>
    <row r="596" spans="1:6" x14ac:dyDescent="0.2">
      <c r="A596">
        <v>595</v>
      </c>
      <c r="B596">
        <v>47</v>
      </c>
      <c r="C596" s="1">
        <v>45709</v>
      </c>
      <c r="D596">
        <v>34</v>
      </c>
      <c r="E596">
        <v>7</v>
      </c>
      <c r="F596" s="11">
        <v>3174.6293999999998</v>
      </c>
    </row>
    <row r="597" spans="1:6" x14ac:dyDescent="0.2">
      <c r="A597">
        <v>596</v>
      </c>
      <c r="B597">
        <v>94</v>
      </c>
      <c r="C597" s="1">
        <v>45147</v>
      </c>
      <c r="D597">
        <v>23</v>
      </c>
      <c r="E597">
        <v>2</v>
      </c>
      <c r="F597" s="11">
        <v>4559.7244000000001</v>
      </c>
    </row>
    <row r="598" spans="1:6" x14ac:dyDescent="0.2">
      <c r="A598">
        <v>597</v>
      </c>
      <c r="B598">
        <v>114</v>
      </c>
      <c r="C598" s="1">
        <v>45160</v>
      </c>
      <c r="D598">
        <v>33</v>
      </c>
      <c r="E598">
        <v>2</v>
      </c>
      <c r="F598" s="11">
        <v>7491.5217999999995</v>
      </c>
    </row>
    <row r="599" spans="1:6" x14ac:dyDescent="0.2">
      <c r="A599">
        <v>598</v>
      </c>
      <c r="B599">
        <v>139</v>
      </c>
      <c r="C599" s="1">
        <v>44980</v>
      </c>
      <c r="D599">
        <v>16</v>
      </c>
      <c r="E599">
        <v>8</v>
      </c>
      <c r="F599" s="11">
        <v>2383.7936</v>
      </c>
    </row>
    <row r="600" spans="1:6" x14ac:dyDescent="0.2">
      <c r="A600">
        <v>599</v>
      </c>
      <c r="B600">
        <v>82</v>
      </c>
      <c r="C600" s="1">
        <v>45180</v>
      </c>
      <c r="D600">
        <v>22</v>
      </c>
      <c r="E600">
        <v>4</v>
      </c>
      <c r="F600" s="11">
        <v>1220.3712</v>
      </c>
    </row>
    <row r="601" spans="1:6" x14ac:dyDescent="0.2">
      <c r="A601">
        <v>600</v>
      </c>
      <c r="B601">
        <v>26</v>
      </c>
      <c r="C601" s="1">
        <v>45726</v>
      </c>
      <c r="D601">
        <v>15</v>
      </c>
      <c r="E601">
        <v>9</v>
      </c>
      <c r="F601" s="11">
        <v>5129.5972000000002</v>
      </c>
    </row>
    <row r="602" spans="1:6" x14ac:dyDescent="0.2">
      <c r="A602">
        <v>601</v>
      </c>
      <c r="B602">
        <v>50</v>
      </c>
      <c r="C602" s="1">
        <v>45926</v>
      </c>
      <c r="D602">
        <v>36</v>
      </c>
      <c r="E602">
        <v>9</v>
      </c>
      <c r="F602" s="11">
        <v>1234.597</v>
      </c>
    </row>
    <row r="603" spans="1:6" x14ac:dyDescent="0.2">
      <c r="A603">
        <v>602</v>
      </c>
      <c r="B603">
        <v>49</v>
      </c>
      <c r="C603" s="1">
        <v>45523</v>
      </c>
      <c r="D603">
        <v>33</v>
      </c>
      <c r="E603">
        <v>7</v>
      </c>
      <c r="F603" s="11">
        <v>3130.6961999999999</v>
      </c>
    </row>
    <row r="604" spans="1:6" x14ac:dyDescent="0.2">
      <c r="A604">
        <v>603</v>
      </c>
      <c r="B604">
        <v>131</v>
      </c>
      <c r="C604" s="1">
        <v>45003</v>
      </c>
      <c r="D604">
        <v>7</v>
      </c>
      <c r="E604">
        <v>2</v>
      </c>
      <c r="F604" s="11">
        <v>6068.7284</v>
      </c>
    </row>
    <row r="605" spans="1:6" x14ac:dyDescent="0.2">
      <c r="A605">
        <v>604</v>
      </c>
      <c r="B605">
        <v>56</v>
      </c>
      <c r="C605" s="1">
        <v>45453</v>
      </c>
      <c r="D605">
        <v>48</v>
      </c>
      <c r="E605">
        <v>6</v>
      </c>
      <c r="F605" s="11">
        <v>7502.8919999999998</v>
      </c>
    </row>
    <row r="606" spans="1:6" x14ac:dyDescent="0.2">
      <c r="A606">
        <v>605</v>
      </c>
      <c r="B606">
        <v>76</v>
      </c>
      <c r="C606" s="1">
        <v>45029</v>
      </c>
      <c r="D606">
        <v>13</v>
      </c>
      <c r="E606">
        <v>3</v>
      </c>
      <c r="F606" s="11">
        <v>2973.6028999999999</v>
      </c>
    </row>
    <row r="607" spans="1:6" x14ac:dyDescent="0.2">
      <c r="A607">
        <v>606</v>
      </c>
      <c r="B607">
        <v>144</v>
      </c>
      <c r="C607" s="1">
        <v>44974</v>
      </c>
      <c r="D607">
        <v>39</v>
      </c>
      <c r="E607">
        <v>2</v>
      </c>
      <c r="F607" s="11">
        <v>1546.6556</v>
      </c>
    </row>
    <row r="608" spans="1:6" x14ac:dyDescent="0.2">
      <c r="A608">
        <v>607</v>
      </c>
      <c r="B608">
        <v>91</v>
      </c>
      <c r="C608" s="1">
        <v>45453</v>
      </c>
      <c r="D608">
        <v>45</v>
      </c>
      <c r="E608">
        <v>10</v>
      </c>
      <c r="F608" s="11">
        <v>2846.7000000000003</v>
      </c>
    </row>
    <row r="609" spans="1:6" x14ac:dyDescent="0.2">
      <c r="A609">
        <v>608</v>
      </c>
      <c r="B609">
        <v>80</v>
      </c>
      <c r="C609" s="1">
        <v>45453</v>
      </c>
      <c r="D609">
        <v>45</v>
      </c>
      <c r="E609">
        <v>5</v>
      </c>
      <c r="F609" s="11">
        <v>949.11649999999997</v>
      </c>
    </row>
    <row r="610" spans="1:6" x14ac:dyDescent="0.2">
      <c r="A610">
        <v>609</v>
      </c>
      <c r="B610">
        <v>96</v>
      </c>
      <c r="C610" s="1">
        <v>45785</v>
      </c>
      <c r="D610">
        <v>41</v>
      </c>
      <c r="E610">
        <v>8</v>
      </c>
      <c r="F610" s="11">
        <v>4953.6848</v>
      </c>
    </row>
    <row r="611" spans="1:6" x14ac:dyDescent="0.2">
      <c r="A611">
        <v>610</v>
      </c>
      <c r="B611">
        <v>59</v>
      </c>
      <c r="C611" s="1">
        <v>45693</v>
      </c>
      <c r="D611">
        <v>21</v>
      </c>
      <c r="E611">
        <v>6</v>
      </c>
      <c r="F611" s="11">
        <v>3901.4794000000002</v>
      </c>
    </row>
    <row r="612" spans="1:6" x14ac:dyDescent="0.2">
      <c r="A612">
        <v>611</v>
      </c>
      <c r="B612">
        <v>91</v>
      </c>
      <c r="C612" s="1">
        <v>44959</v>
      </c>
      <c r="D612">
        <v>6</v>
      </c>
      <c r="E612">
        <v>6</v>
      </c>
      <c r="F612" s="11">
        <v>2973.22</v>
      </c>
    </row>
    <row r="613" spans="1:6" x14ac:dyDescent="0.2">
      <c r="A613">
        <v>612</v>
      </c>
      <c r="B613">
        <v>144</v>
      </c>
      <c r="C613" s="1">
        <v>45381</v>
      </c>
      <c r="D613">
        <v>22</v>
      </c>
      <c r="E613">
        <v>6</v>
      </c>
      <c r="F613" s="11">
        <v>1483.5267999999999</v>
      </c>
    </row>
    <row r="614" spans="1:6" x14ac:dyDescent="0.2">
      <c r="A614">
        <v>613</v>
      </c>
      <c r="B614">
        <v>27</v>
      </c>
      <c r="C614" s="1">
        <v>44946</v>
      </c>
      <c r="D614">
        <v>20</v>
      </c>
      <c r="E614">
        <v>5</v>
      </c>
      <c r="F614" s="11">
        <v>1541.7550000000001</v>
      </c>
    </row>
    <row r="615" spans="1:6" x14ac:dyDescent="0.2">
      <c r="A615">
        <v>614</v>
      </c>
      <c r="B615">
        <v>149</v>
      </c>
      <c r="C615" s="1">
        <v>45640</v>
      </c>
      <c r="D615">
        <v>41</v>
      </c>
      <c r="E615">
        <v>8</v>
      </c>
      <c r="F615" s="11">
        <v>5637.5576000000001</v>
      </c>
    </row>
    <row r="616" spans="1:6" x14ac:dyDescent="0.2">
      <c r="A616">
        <v>615</v>
      </c>
      <c r="B616">
        <v>6</v>
      </c>
      <c r="C616" s="1">
        <v>45999</v>
      </c>
      <c r="D616">
        <v>40</v>
      </c>
      <c r="E616">
        <v>8</v>
      </c>
      <c r="F616" s="11">
        <v>3795.1656000000003</v>
      </c>
    </row>
    <row r="617" spans="1:6" x14ac:dyDescent="0.2">
      <c r="A617">
        <v>616</v>
      </c>
      <c r="B617">
        <v>12</v>
      </c>
      <c r="C617" s="1">
        <v>45822</v>
      </c>
      <c r="D617">
        <v>35</v>
      </c>
      <c r="E617">
        <v>7</v>
      </c>
      <c r="F617" s="11">
        <v>1502.1824999999999</v>
      </c>
    </row>
    <row r="618" spans="1:6" x14ac:dyDescent="0.2">
      <c r="A618">
        <v>617</v>
      </c>
      <c r="B618">
        <v>132</v>
      </c>
      <c r="C618" s="1">
        <v>45911</v>
      </c>
      <c r="D618">
        <v>46</v>
      </c>
      <c r="E618">
        <v>3</v>
      </c>
      <c r="F618" s="11">
        <v>5323.6800999999996</v>
      </c>
    </row>
    <row r="619" spans="1:6" x14ac:dyDescent="0.2">
      <c r="A619">
        <v>618</v>
      </c>
      <c r="B619">
        <v>91</v>
      </c>
      <c r="C619" s="1">
        <v>45073</v>
      </c>
      <c r="D619">
        <v>2</v>
      </c>
      <c r="E619">
        <v>6</v>
      </c>
      <c r="F619" s="11">
        <v>2973.22</v>
      </c>
    </row>
    <row r="620" spans="1:6" x14ac:dyDescent="0.2">
      <c r="A620">
        <v>619</v>
      </c>
      <c r="B620">
        <v>71</v>
      </c>
      <c r="C620" s="1">
        <v>45276</v>
      </c>
      <c r="D620">
        <v>46</v>
      </c>
      <c r="E620">
        <v>6</v>
      </c>
      <c r="F620" s="11">
        <v>4635.3843999999999</v>
      </c>
    </row>
    <row r="621" spans="1:6" x14ac:dyDescent="0.2">
      <c r="A621">
        <v>620</v>
      </c>
      <c r="B621">
        <v>87</v>
      </c>
      <c r="C621" s="1">
        <v>45955</v>
      </c>
      <c r="D621">
        <v>38</v>
      </c>
      <c r="E621">
        <v>7</v>
      </c>
      <c r="F621" s="11">
        <v>3807.5315999999998</v>
      </c>
    </row>
    <row r="622" spans="1:6" x14ac:dyDescent="0.2">
      <c r="A622">
        <v>621</v>
      </c>
      <c r="B622">
        <v>121</v>
      </c>
      <c r="C622" s="1">
        <v>45697</v>
      </c>
      <c r="D622">
        <v>6</v>
      </c>
      <c r="E622">
        <v>4</v>
      </c>
      <c r="F622" s="11">
        <v>1452.6528000000001</v>
      </c>
    </row>
    <row r="623" spans="1:6" x14ac:dyDescent="0.2">
      <c r="A623">
        <v>622</v>
      </c>
      <c r="B623">
        <v>90</v>
      </c>
      <c r="C623" s="1">
        <v>45702</v>
      </c>
      <c r="D623">
        <v>6</v>
      </c>
      <c r="E623">
        <v>6</v>
      </c>
      <c r="F623" s="11">
        <v>1294.1073999999999</v>
      </c>
    </row>
    <row r="624" spans="1:6" x14ac:dyDescent="0.2">
      <c r="A624">
        <v>623</v>
      </c>
      <c r="B624">
        <v>13</v>
      </c>
      <c r="C624" s="1">
        <v>45636</v>
      </c>
      <c r="D624">
        <v>28</v>
      </c>
      <c r="E624">
        <v>7</v>
      </c>
      <c r="F624" s="11">
        <v>1671.2657999999999</v>
      </c>
    </row>
    <row r="625" spans="1:6" x14ac:dyDescent="0.2">
      <c r="A625">
        <v>624</v>
      </c>
      <c r="B625">
        <v>11</v>
      </c>
      <c r="C625" s="1">
        <v>45988</v>
      </c>
      <c r="D625">
        <v>39</v>
      </c>
      <c r="E625">
        <v>5</v>
      </c>
      <c r="F625" s="11">
        <v>3040.1899999999996</v>
      </c>
    </row>
    <row r="626" spans="1:6" x14ac:dyDescent="0.2">
      <c r="A626">
        <v>625</v>
      </c>
      <c r="B626">
        <v>19</v>
      </c>
      <c r="C626" s="1">
        <v>45567</v>
      </c>
      <c r="D626">
        <v>2</v>
      </c>
      <c r="E626">
        <v>6</v>
      </c>
      <c r="F626" s="11">
        <v>3206.1801999999998</v>
      </c>
    </row>
    <row r="627" spans="1:6" x14ac:dyDescent="0.2">
      <c r="A627">
        <v>626</v>
      </c>
      <c r="B627">
        <v>113</v>
      </c>
      <c r="C627" s="1">
        <v>44979</v>
      </c>
      <c r="D627">
        <v>14</v>
      </c>
      <c r="E627">
        <v>7</v>
      </c>
      <c r="F627" s="11">
        <v>4491.1187999999993</v>
      </c>
    </row>
    <row r="628" spans="1:6" x14ac:dyDescent="0.2">
      <c r="A628">
        <v>627</v>
      </c>
      <c r="B628">
        <v>64</v>
      </c>
      <c r="C628" s="1">
        <v>45011</v>
      </c>
      <c r="D628">
        <v>21</v>
      </c>
      <c r="E628">
        <v>2</v>
      </c>
      <c r="F628" s="11">
        <v>3136</v>
      </c>
    </row>
    <row r="629" spans="1:6" x14ac:dyDescent="0.2">
      <c r="A629">
        <v>628</v>
      </c>
      <c r="B629">
        <v>118</v>
      </c>
      <c r="C629" s="1">
        <v>45816</v>
      </c>
      <c r="D629">
        <v>18</v>
      </c>
      <c r="E629">
        <v>8</v>
      </c>
      <c r="F629" s="11">
        <v>2897.31</v>
      </c>
    </row>
    <row r="630" spans="1:6" x14ac:dyDescent="0.2">
      <c r="A630">
        <v>629</v>
      </c>
      <c r="B630">
        <v>130</v>
      </c>
      <c r="C630" s="1">
        <v>45340</v>
      </c>
      <c r="D630">
        <v>25</v>
      </c>
      <c r="E630">
        <v>5</v>
      </c>
      <c r="F630" s="11">
        <v>3026.2154999999998</v>
      </c>
    </row>
    <row r="631" spans="1:6" x14ac:dyDescent="0.2">
      <c r="A631">
        <v>630</v>
      </c>
      <c r="B631">
        <v>90</v>
      </c>
      <c r="C631" s="1">
        <v>45196</v>
      </c>
      <c r="D631">
        <v>27</v>
      </c>
      <c r="E631">
        <v>5</v>
      </c>
      <c r="F631" s="11">
        <v>1307.8744999999999</v>
      </c>
    </row>
    <row r="632" spans="1:6" x14ac:dyDescent="0.2">
      <c r="A632">
        <v>631</v>
      </c>
      <c r="B632">
        <v>16</v>
      </c>
      <c r="C632" s="1">
        <v>45173</v>
      </c>
      <c r="D632">
        <v>34</v>
      </c>
      <c r="E632">
        <v>4</v>
      </c>
      <c r="F632" s="11">
        <v>6481.7280000000001</v>
      </c>
    </row>
    <row r="633" spans="1:6" x14ac:dyDescent="0.2">
      <c r="A633">
        <v>632</v>
      </c>
      <c r="B633">
        <v>112</v>
      </c>
      <c r="C633" s="1">
        <v>45886</v>
      </c>
      <c r="D633">
        <v>7</v>
      </c>
      <c r="E633">
        <v>5</v>
      </c>
      <c r="F633" s="11">
        <v>2597.6895</v>
      </c>
    </row>
    <row r="634" spans="1:6" x14ac:dyDescent="0.2">
      <c r="A634">
        <v>633</v>
      </c>
      <c r="B634">
        <v>51</v>
      </c>
      <c r="C634" s="1">
        <v>45315</v>
      </c>
      <c r="D634">
        <v>41</v>
      </c>
      <c r="E634">
        <v>10</v>
      </c>
      <c r="F634" s="11">
        <v>947.58299999999997</v>
      </c>
    </row>
    <row r="635" spans="1:6" x14ac:dyDescent="0.2">
      <c r="A635">
        <v>634</v>
      </c>
      <c r="B635">
        <v>92</v>
      </c>
      <c r="C635" s="1">
        <v>45901</v>
      </c>
      <c r="D635">
        <v>12</v>
      </c>
      <c r="E635">
        <v>8</v>
      </c>
      <c r="F635" s="11">
        <v>3291.7784000000001</v>
      </c>
    </row>
    <row r="636" spans="1:6" x14ac:dyDescent="0.2">
      <c r="A636">
        <v>635</v>
      </c>
      <c r="B636">
        <v>119</v>
      </c>
      <c r="C636" s="1">
        <v>45016</v>
      </c>
      <c r="D636">
        <v>19</v>
      </c>
      <c r="E636">
        <v>6</v>
      </c>
      <c r="F636" s="11">
        <v>1825.3953999999999</v>
      </c>
    </row>
    <row r="637" spans="1:6" x14ac:dyDescent="0.2">
      <c r="A637">
        <v>636</v>
      </c>
      <c r="B637">
        <v>121</v>
      </c>
      <c r="C637" s="1">
        <v>45823</v>
      </c>
      <c r="D637">
        <v>22</v>
      </c>
      <c r="E637">
        <v>3</v>
      </c>
      <c r="F637" s="11">
        <v>1467.7846</v>
      </c>
    </row>
    <row r="638" spans="1:6" x14ac:dyDescent="0.2">
      <c r="A638">
        <v>637</v>
      </c>
      <c r="B638">
        <v>59</v>
      </c>
      <c r="C638" s="1">
        <v>45858</v>
      </c>
      <c r="D638">
        <v>47</v>
      </c>
      <c r="E638">
        <v>6</v>
      </c>
      <c r="F638" s="11">
        <v>3901.4794000000002</v>
      </c>
    </row>
    <row r="639" spans="1:6" x14ac:dyDescent="0.2">
      <c r="A639">
        <v>638</v>
      </c>
      <c r="B639">
        <v>99</v>
      </c>
      <c r="C639" s="1">
        <v>45841</v>
      </c>
      <c r="D639">
        <v>18</v>
      </c>
      <c r="E639">
        <v>6</v>
      </c>
      <c r="F639" s="11">
        <v>1921.3411999999998</v>
      </c>
    </row>
    <row r="640" spans="1:6" x14ac:dyDescent="0.2">
      <c r="A640">
        <v>639</v>
      </c>
      <c r="B640">
        <v>133</v>
      </c>
      <c r="C640" s="1">
        <v>44944</v>
      </c>
      <c r="D640">
        <v>7</v>
      </c>
      <c r="E640">
        <v>8</v>
      </c>
      <c r="F640" s="11">
        <v>6076.5079999999998</v>
      </c>
    </row>
    <row r="641" spans="1:6" x14ac:dyDescent="0.2">
      <c r="A641">
        <v>640</v>
      </c>
      <c r="B641">
        <v>82</v>
      </c>
      <c r="C641" s="1">
        <v>45189</v>
      </c>
      <c r="D641">
        <v>19</v>
      </c>
      <c r="E641">
        <v>7</v>
      </c>
      <c r="F641" s="11">
        <v>1182.2346</v>
      </c>
    </row>
    <row r="642" spans="1:6" x14ac:dyDescent="0.2">
      <c r="A642">
        <v>641</v>
      </c>
      <c r="B642">
        <v>119</v>
      </c>
      <c r="C642" s="1">
        <v>45274</v>
      </c>
      <c r="D642">
        <v>45</v>
      </c>
      <c r="E642">
        <v>8</v>
      </c>
      <c r="F642" s="11">
        <v>1786.5572000000002</v>
      </c>
    </row>
    <row r="643" spans="1:6" x14ac:dyDescent="0.2">
      <c r="A643">
        <v>642</v>
      </c>
      <c r="B643">
        <v>106</v>
      </c>
      <c r="C643" s="1">
        <v>45885</v>
      </c>
      <c r="D643">
        <v>7</v>
      </c>
      <c r="E643">
        <v>2</v>
      </c>
      <c r="F643" s="11">
        <v>1405.3494000000001</v>
      </c>
    </row>
    <row r="644" spans="1:6" x14ac:dyDescent="0.2">
      <c r="A644">
        <v>643</v>
      </c>
      <c r="B644">
        <v>112</v>
      </c>
      <c r="C644" s="1">
        <v>45897</v>
      </c>
      <c r="D644">
        <v>28</v>
      </c>
      <c r="E644">
        <v>10</v>
      </c>
      <c r="F644" s="11">
        <v>2460.9690000000001</v>
      </c>
    </row>
    <row r="645" spans="1:6" x14ac:dyDescent="0.2">
      <c r="A645">
        <v>644</v>
      </c>
      <c r="B645">
        <v>107</v>
      </c>
      <c r="C645" s="1">
        <v>45280</v>
      </c>
      <c r="D645">
        <v>15</v>
      </c>
      <c r="E645">
        <v>4</v>
      </c>
      <c r="F645" s="11">
        <v>1505.184</v>
      </c>
    </row>
    <row r="646" spans="1:6" x14ac:dyDescent="0.2">
      <c r="A646">
        <v>645</v>
      </c>
      <c r="B646">
        <v>139</v>
      </c>
      <c r="C646" s="1">
        <v>45827</v>
      </c>
      <c r="D646">
        <v>41</v>
      </c>
      <c r="E646">
        <v>6</v>
      </c>
      <c r="F646" s="11">
        <v>2435.6151999999997</v>
      </c>
    </row>
    <row r="647" spans="1:6" x14ac:dyDescent="0.2">
      <c r="A647">
        <v>646</v>
      </c>
      <c r="B647">
        <v>8</v>
      </c>
      <c r="C647" s="1">
        <v>45418</v>
      </c>
      <c r="D647">
        <v>13</v>
      </c>
      <c r="E647">
        <v>3</v>
      </c>
      <c r="F647" s="11">
        <v>5474.6217999999999</v>
      </c>
    </row>
    <row r="648" spans="1:6" x14ac:dyDescent="0.2">
      <c r="A648">
        <v>647</v>
      </c>
      <c r="B648">
        <v>120</v>
      </c>
      <c r="C648" s="1">
        <v>45837</v>
      </c>
      <c r="D648">
        <v>45</v>
      </c>
      <c r="E648">
        <v>3</v>
      </c>
      <c r="F648" s="11">
        <v>1917.3019999999999</v>
      </c>
    </row>
    <row r="649" spans="1:6" x14ac:dyDescent="0.2">
      <c r="A649">
        <v>648</v>
      </c>
      <c r="B649">
        <v>30</v>
      </c>
      <c r="C649" s="1">
        <v>45055</v>
      </c>
      <c r="D649">
        <v>35</v>
      </c>
      <c r="E649">
        <v>9</v>
      </c>
      <c r="F649" s="11">
        <v>1863.9894000000002</v>
      </c>
    </row>
    <row r="650" spans="1:6" x14ac:dyDescent="0.2">
      <c r="A650">
        <v>649</v>
      </c>
      <c r="B650">
        <v>1</v>
      </c>
      <c r="C650" s="1">
        <v>45608</v>
      </c>
      <c r="D650">
        <v>6</v>
      </c>
      <c r="E650">
        <v>5</v>
      </c>
      <c r="F650" s="11">
        <v>1815.4024999999999</v>
      </c>
    </row>
    <row r="651" spans="1:6" x14ac:dyDescent="0.2">
      <c r="A651">
        <v>650</v>
      </c>
      <c r="B651">
        <v>138</v>
      </c>
      <c r="C651" s="1">
        <v>45746</v>
      </c>
      <c r="D651">
        <v>21</v>
      </c>
      <c r="E651">
        <v>10</v>
      </c>
      <c r="F651" s="11">
        <v>2782.3409999999999</v>
      </c>
    </row>
    <row r="652" spans="1:6" x14ac:dyDescent="0.2">
      <c r="A652">
        <v>651</v>
      </c>
      <c r="B652">
        <v>82</v>
      </c>
      <c r="C652" s="1">
        <v>45532</v>
      </c>
      <c r="D652">
        <v>25</v>
      </c>
      <c r="E652">
        <v>4</v>
      </c>
      <c r="F652" s="11">
        <v>1220.3712</v>
      </c>
    </row>
    <row r="653" spans="1:6" x14ac:dyDescent="0.2">
      <c r="A653">
        <v>652</v>
      </c>
      <c r="B653">
        <v>74</v>
      </c>
      <c r="C653" s="1">
        <v>45715</v>
      </c>
      <c r="D653">
        <v>17</v>
      </c>
      <c r="E653">
        <v>5</v>
      </c>
      <c r="F653" s="11">
        <v>1809.9494999999999</v>
      </c>
    </row>
    <row r="654" spans="1:6" x14ac:dyDescent="0.2">
      <c r="A654">
        <v>653</v>
      </c>
      <c r="B654">
        <v>96</v>
      </c>
      <c r="C654" s="1">
        <v>45100</v>
      </c>
      <c r="D654">
        <v>47</v>
      </c>
      <c r="E654">
        <v>7</v>
      </c>
      <c r="F654" s="11">
        <v>5007.529199999999</v>
      </c>
    </row>
    <row r="655" spans="1:6" x14ac:dyDescent="0.2">
      <c r="A655">
        <v>654</v>
      </c>
      <c r="B655">
        <v>113</v>
      </c>
      <c r="C655" s="1">
        <v>45047</v>
      </c>
      <c r="D655">
        <v>28</v>
      </c>
      <c r="E655">
        <v>2</v>
      </c>
      <c r="F655" s="11">
        <v>4732.5767999999998</v>
      </c>
    </row>
    <row r="656" spans="1:6" x14ac:dyDescent="0.2">
      <c r="A656">
        <v>655</v>
      </c>
      <c r="B656">
        <v>28</v>
      </c>
      <c r="C656" s="1">
        <v>45957</v>
      </c>
      <c r="D656">
        <v>18</v>
      </c>
      <c r="E656">
        <v>10</v>
      </c>
      <c r="F656" s="11">
        <v>5144.9579999999996</v>
      </c>
    </row>
    <row r="657" spans="1:6" x14ac:dyDescent="0.2">
      <c r="A657">
        <v>656</v>
      </c>
      <c r="B657">
        <v>86</v>
      </c>
      <c r="C657" s="1">
        <v>45801</v>
      </c>
      <c r="D657">
        <v>47</v>
      </c>
      <c r="E657">
        <v>6</v>
      </c>
      <c r="F657" s="11">
        <v>2935.5353999999998</v>
      </c>
    </row>
    <row r="658" spans="1:6" x14ac:dyDescent="0.2">
      <c r="A658">
        <v>657</v>
      </c>
      <c r="B658">
        <v>123</v>
      </c>
      <c r="C658" s="1">
        <v>45229</v>
      </c>
      <c r="D658">
        <v>46</v>
      </c>
      <c r="E658">
        <v>3</v>
      </c>
      <c r="F658" s="11">
        <v>4488.7914000000001</v>
      </c>
    </row>
    <row r="659" spans="1:6" x14ac:dyDescent="0.2">
      <c r="A659">
        <v>658</v>
      </c>
      <c r="B659">
        <v>93</v>
      </c>
      <c r="C659" s="1">
        <v>45008</v>
      </c>
      <c r="D659">
        <v>23</v>
      </c>
      <c r="E659">
        <v>10</v>
      </c>
      <c r="F659" s="11">
        <v>6896.3130000000001</v>
      </c>
    </row>
    <row r="660" spans="1:6" x14ac:dyDescent="0.2">
      <c r="A660">
        <v>659</v>
      </c>
      <c r="B660">
        <v>60</v>
      </c>
      <c r="C660" s="1">
        <v>45546</v>
      </c>
      <c r="D660">
        <v>23</v>
      </c>
      <c r="E660">
        <v>9</v>
      </c>
      <c r="F660" s="11">
        <v>2523.0751</v>
      </c>
    </row>
    <row r="661" spans="1:6" x14ac:dyDescent="0.2">
      <c r="A661">
        <v>660</v>
      </c>
      <c r="B661">
        <v>127</v>
      </c>
      <c r="C661" s="1">
        <v>45409</v>
      </c>
      <c r="D661">
        <v>28</v>
      </c>
      <c r="E661">
        <v>3</v>
      </c>
      <c r="F661" s="11">
        <v>5325.8432000000003</v>
      </c>
    </row>
    <row r="662" spans="1:6" x14ac:dyDescent="0.2">
      <c r="A662">
        <v>661</v>
      </c>
      <c r="B662">
        <v>20</v>
      </c>
      <c r="C662" s="1">
        <v>45644</v>
      </c>
      <c r="D662">
        <v>35</v>
      </c>
      <c r="E662">
        <v>5</v>
      </c>
      <c r="F662" s="11">
        <v>2879.6209999999996</v>
      </c>
    </row>
    <row r="663" spans="1:6" x14ac:dyDescent="0.2">
      <c r="A663">
        <v>662</v>
      </c>
      <c r="B663">
        <v>125</v>
      </c>
      <c r="C663" s="1">
        <v>45487</v>
      </c>
      <c r="D663">
        <v>47</v>
      </c>
      <c r="E663">
        <v>4</v>
      </c>
      <c r="F663" s="11">
        <v>4177.0271999999995</v>
      </c>
    </row>
    <row r="664" spans="1:6" x14ac:dyDescent="0.2">
      <c r="A664">
        <v>663</v>
      </c>
      <c r="B664">
        <v>97</v>
      </c>
      <c r="C664" s="1">
        <v>45431</v>
      </c>
      <c r="D664">
        <v>24</v>
      </c>
      <c r="E664">
        <v>7</v>
      </c>
      <c r="F664" s="11">
        <v>857.12519999999995</v>
      </c>
    </row>
    <row r="665" spans="1:6" x14ac:dyDescent="0.2">
      <c r="A665">
        <v>664</v>
      </c>
      <c r="B665">
        <v>91</v>
      </c>
      <c r="C665" s="1">
        <v>44933</v>
      </c>
      <c r="D665">
        <v>24</v>
      </c>
      <c r="E665">
        <v>5</v>
      </c>
      <c r="F665" s="11">
        <v>3004.85</v>
      </c>
    </row>
    <row r="666" spans="1:6" x14ac:dyDescent="0.2">
      <c r="A666">
        <v>665</v>
      </c>
      <c r="B666">
        <v>109</v>
      </c>
      <c r="C666" s="1">
        <v>45605</v>
      </c>
      <c r="D666">
        <v>20</v>
      </c>
      <c r="E666">
        <v>9</v>
      </c>
      <c r="F666" s="11">
        <v>2015.1858999999999</v>
      </c>
    </row>
    <row r="667" spans="1:6" x14ac:dyDescent="0.2">
      <c r="A667">
        <v>666</v>
      </c>
      <c r="B667">
        <v>33</v>
      </c>
      <c r="C667" s="1">
        <v>45482</v>
      </c>
      <c r="D667">
        <v>17</v>
      </c>
      <c r="E667">
        <v>8</v>
      </c>
      <c r="F667" s="11">
        <v>4648.7507999999998</v>
      </c>
    </row>
    <row r="668" spans="1:6" x14ac:dyDescent="0.2">
      <c r="A668">
        <v>667</v>
      </c>
      <c r="B668">
        <v>44</v>
      </c>
      <c r="C668" s="1">
        <v>45456</v>
      </c>
      <c r="D668">
        <v>13</v>
      </c>
      <c r="E668">
        <v>4</v>
      </c>
      <c r="F668" s="11">
        <v>339.45600000000002</v>
      </c>
    </row>
    <row r="669" spans="1:6" x14ac:dyDescent="0.2">
      <c r="A669">
        <v>668</v>
      </c>
      <c r="B669">
        <v>34</v>
      </c>
      <c r="C669" s="1">
        <v>45977</v>
      </c>
      <c r="D669">
        <v>6</v>
      </c>
      <c r="E669">
        <v>5</v>
      </c>
      <c r="F669" s="11">
        <v>1238.2205000000001</v>
      </c>
    </row>
    <row r="670" spans="1:6" x14ac:dyDescent="0.2">
      <c r="A670">
        <v>669</v>
      </c>
      <c r="B670">
        <v>87</v>
      </c>
      <c r="C670" s="1">
        <v>45068</v>
      </c>
      <c r="D670">
        <v>34</v>
      </c>
      <c r="E670">
        <v>9</v>
      </c>
      <c r="F670" s="11">
        <v>3725.6491999999998</v>
      </c>
    </row>
    <row r="671" spans="1:6" x14ac:dyDescent="0.2">
      <c r="A671">
        <v>670</v>
      </c>
      <c r="B671">
        <v>126</v>
      </c>
      <c r="C671" s="1">
        <v>45186</v>
      </c>
      <c r="D671">
        <v>10</v>
      </c>
      <c r="E671">
        <v>7</v>
      </c>
      <c r="F671" s="11">
        <v>942.3039</v>
      </c>
    </row>
    <row r="672" spans="1:6" x14ac:dyDescent="0.2">
      <c r="A672">
        <v>671</v>
      </c>
      <c r="B672">
        <v>129</v>
      </c>
      <c r="C672" s="1">
        <v>45947</v>
      </c>
      <c r="D672">
        <v>46</v>
      </c>
      <c r="E672">
        <v>2</v>
      </c>
      <c r="F672" s="11">
        <v>1236.0347999999999</v>
      </c>
    </row>
    <row r="673" spans="1:6" x14ac:dyDescent="0.2">
      <c r="A673">
        <v>672</v>
      </c>
      <c r="B673">
        <v>35</v>
      </c>
      <c r="C673" s="1">
        <v>45539</v>
      </c>
      <c r="D673">
        <v>2</v>
      </c>
      <c r="E673">
        <v>2</v>
      </c>
      <c r="F673" s="11">
        <v>132.4862</v>
      </c>
    </row>
    <row r="674" spans="1:6" x14ac:dyDescent="0.2">
      <c r="A674">
        <v>673</v>
      </c>
      <c r="B674">
        <v>149</v>
      </c>
      <c r="C674" s="1">
        <v>44943</v>
      </c>
      <c r="D674">
        <v>12</v>
      </c>
      <c r="E674">
        <v>6</v>
      </c>
      <c r="F674" s="11">
        <v>5760.1131999999998</v>
      </c>
    </row>
    <row r="675" spans="1:6" x14ac:dyDescent="0.2">
      <c r="A675">
        <v>674</v>
      </c>
      <c r="B675">
        <v>99</v>
      </c>
      <c r="C675" s="1">
        <v>45731</v>
      </c>
      <c r="D675">
        <v>37</v>
      </c>
      <c r="E675">
        <v>2</v>
      </c>
      <c r="F675" s="11">
        <v>2003.1004</v>
      </c>
    </row>
    <row r="676" spans="1:6" x14ac:dyDescent="0.2">
      <c r="A676">
        <v>675</v>
      </c>
      <c r="B676">
        <v>115</v>
      </c>
      <c r="C676" s="1">
        <v>45268</v>
      </c>
      <c r="D676">
        <v>35</v>
      </c>
      <c r="E676">
        <v>10</v>
      </c>
      <c r="F676" s="11">
        <v>4222.152</v>
      </c>
    </row>
    <row r="677" spans="1:6" x14ac:dyDescent="0.2">
      <c r="A677">
        <v>676</v>
      </c>
      <c r="B677">
        <v>71</v>
      </c>
      <c r="C677" s="1">
        <v>45241</v>
      </c>
      <c r="D677">
        <v>50</v>
      </c>
      <c r="E677">
        <v>8</v>
      </c>
      <c r="F677" s="11">
        <v>4536.7592000000004</v>
      </c>
    </row>
    <row r="678" spans="1:6" x14ac:dyDescent="0.2">
      <c r="A678">
        <v>677</v>
      </c>
      <c r="B678">
        <v>2</v>
      </c>
      <c r="C678" s="1">
        <v>45792</v>
      </c>
      <c r="D678">
        <v>11</v>
      </c>
      <c r="E678">
        <v>7</v>
      </c>
      <c r="F678" s="11">
        <v>4115.0453999999991</v>
      </c>
    </row>
    <row r="679" spans="1:6" x14ac:dyDescent="0.2">
      <c r="A679">
        <v>678</v>
      </c>
      <c r="B679">
        <v>126</v>
      </c>
      <c r="C679" s="1">
        <v>45484</v>
      </c>
      <c r="D679">
        <v>7</v>
      </c>
      <c r="E679">
        <v>9</v>
      </c>
      <c r="F679" s="11">
        <v>922.03930000000003</v>
      </c>
    </row>
    <row r="680" spans="1:6" x14ac:dyDescent="0.2">
      <c r="A680">
        <v>679</v>
      </c>
      <c r="B680">
        <v>46</v>
      </c>
      <c r="C680" s="1">
        <v>45601</v>
      </c>
      <c r="D680">
        <v>6</v>
      </c>
      <c r="E680">
        <v>9</v>
      </c>
      <c r="F680" s="11">
        <v>1472.9806000000001</v>
      </c>
    </row>
    <row r="681" spans="1:6" x14ac:dyDescent="0.2">
      <c r="A681">
        <v>680</v>
      </c>
      <c r="B681">
        <v>65</v>
      </c>
      <c r="C681" s="1">
        <v>44957</v>
      </c>
      <c r="D681">
        <v>37</v>
      </c>
      <c r="E681">
        <v>6</v>
      </c>
      <c r="F681" s="11">
        <v>4240.6783999999998</v>
      </c>
    </row>
    <row r="682" spans="1:6" x14ac:dyDescent="0.2">
      <c r="A682">
        <v>681</v>
      </c>
      <c r="B682">
        <v>50</v>
      </c>
      <c r="C682" s="1">
        <v>44984</v>
      </c>
      <c r="D682">
        <v>15</v>
      </c>
      <c r="E682">
        <v>10</v>
      </c>
      <c r="F682" s="11">
        <v>1221.03</v>
      </c>
    </row>
    <row r="683" spans="1:6" x14ac:dyDescent="0.2">
      <c r="A683">
        <v>682</v>
      </c>
      <c r="B683">
        <v>53</v>
      </c>
      <c r="C683" s="1">
        <v>45497</v>
      </c>
      <c r="D683">
        <v>3</v>
      </c>
      <c r="E683">
        <v>9</v>
      </c>
      <c r="F683" s="11">
        <v>3152.6131</v>
      </c>
    </row>
    <row r="684" spans="1:6" x14ac:dyDescent="0.2">
      <c r="A684">
        <v>683</v>
      </c>
      <c r="B684">
        <v>57</v>
      </c>
      <c r="C684" s="1">
        <v>45259</v>
      </c>
      <c r="D684">
        <v>21</v>
      </c>
      <c r="E684">
        <v>2</v>
      </c>
      <c r="F684" s="11">
        <v>6675.5150000000003</v>
      </c>
    </row>
    <row r="685" spans="1:6" x14ac:dyDescent="0.2">
      <c r="A685">
        <v>684</v>
      </c>
      <c r="B685">
        <v>10</v>
      </c>
      <c r="C685" s="1">
        <v>45240</v>
      </c>
      <c r="D685">
        <v>41</v>
      </c>
      <c r="E685">
        <v>8</v>
      </c>
      <c r="F685" s="11">
        <v>2573.5068000000001</v>
      </c>
    </row>
    <row r="686" spans="1:6" x14ac:dyDescent="0.2">
      <c r="A686">
        <v>685</v>
      </c>
      <c r="B686">
        <v>40</v>
      </c>
      <c r="C686" s="1">
        <v>45312</v>
      </c>
      <c r="D686">
        <v>41</v>
      </c>
      <c r="E686">
        <v>8</v>
      </c>
      <c r="F686" s="11">
        <v>452.88839999999999</v>
      </c>
    </row>
    <row r="687" spans="1:6" x14ac:dyDescent="0.2">
      <c r="A687">
        <v>686</v>
      </c>
      <c r="B687">
        <v>29</v>
      </c>
      <c r="C687" s="1">
        <v>45970</v>
      </c>
      <c r="D687">
        <v>35</v>
      </c>
      <c r="E687">
        <v>6</v>
      </c>
      <c r="F687" s="11">
        <v>7024.62</v>
      </c>
    </row>
    <row r="688" spans="1:6" x14ac:dyDescent="0.2">
      <c r="A688">
        <v>687</v>
      </c>
      <c r="B688">
        <v>3</v>
      </c>
      <c r="C688" s="1">
        <v>45204</v>
      </c>
      <c r="D688">
        <v>46</v>
      </c>
      <c r="E688">
        <v>3</v>
      </c>
      <c r="F688" s="11">
        <v>5011.7765999999992</v>
      </c>
    </row>
    <row r="689" spans="1:6" x14ac:dyDescent="0.2">
      <c r="A689">
        <v>688</v>
      </c>
      <c r="B689">
        <v>130</v>
      </c>
      <c r="C689" s="1">
        <v>45363</v>
      </c>
      <c r="D689">
        <v>46</v>
      </c>
      <c r="E689">
        <v>10</v>
      </c>
      <c r="F689" s="11">
        <v>2866.9409999999998</v>
      </c>
    </row>
    <row r="690" spans="1:6" x14ac:dyDescent="0.2">
      <c r="A690">
        <v>689</v>
      </c>
      <c r="B690">
        <v>60</v>
      </c>
      <c r="C690" s="1">
        <v>45530</v>
      </c>
      <c r="D690">
        <v>25</v>
      </c>
      <c r="E690">
        <v>9</v>
      </c>
      <c r="F690" s="11">
        <v>2523.0751</v>
      </c>
    </row>
    <row r="691" spans="1:6" x14ac:dyDescent="0.2">
      <c r="A691">
        <v>690</v>
      </c>
      <c r="B691">
        <v>87</v>
      </c>
      <c r="C691" s="1">
        <v>44975</v>
      </c>
      <c r="D691">
        <v>39</v>
      </c>
      <c r="E691">
        <v>2</v>
      </c>
      <c r="F691" s="11">
        <v>4012.2375999999999</v>
      </c>
    </row>
    <row r="692" spans="1:6" x14ac:dyDescent="0.2">
      <c r="A692">
        <v>691</v>
      </c>
      <c r="B692">
        <v>90</v>
      </c>
      <c r="C692" s="1">
        <v>45250</v>
      </c>
      <c r="D692">
        <v>22</v>
      </c>
      <c r="E692">
        <v>8</v>
      </c>
      <c r="F692" s="11">
        <v>1266.5732</v>
      </c>
    </row>
    <row r="693" spans="1:6" x14ac:dyDescent="0.2">
      <c r="A693">
        <v>692</v>
      </c>
      <c r="B693">
        <v>94</v>
      </c>
      <c r="C693" s="1">
        <v>44962</v>
      </c>
      <c r="D693">
        <v>36</v>
      </c>
      <c r="E693">
        <v>5</v>
      </c>
      <c r="F693" s="11">
        <v>4420.1409999999996</v>
      </c>
    </row>
    <row r="694" spans="1:6" x14ac:dyDescent="0.2">
      <c r="A694">
        <v>693</v>
      </c>
      <c r="B694">
        <v>61</v>
      </c>
      <c r="C694" s="1">
        <v>45654</v>
      </c>
      <c r="D694">
        <v>16</v>
      </c>
      <c r="E694">
        <v>3</v>
      </c>
      <c r="F694" s="11">
        <v>2368.9727999999996</v>
      </c>
    </row>
    <row r="695" spans="1:6" x14ac:dyDescent="0.2">
      <c r="A695">
        <v>694</v>
      </c>
      <c r="B695">
        <v>68</v>
      </c>
      <c r="C695" s="1">
        <v>45863</v>
      </c>
      <c r="D695">
        <v>35</v>
      </c>
      <c r="E695">
        <v>9</v>
      </c>
      <c r="F695" s="11">
        <v>5499.5758999999998</v>
      </c>
    </row>
    <row r="696" spans="1:6" x14ac:dyDescent="0.2">
      <c r="A696">
        <v>695</v>
      </c>
      <c r="B696">
        <v>119</v>
      </c>
      <c r="C696" s="1">
        <v>45202</v>
      </c>
      <c r="D696">
        <v>25</v>
      </c>
      <c r="E696">
        <v>6</v>
      </c>
      <c r="F696" s="11">
        <v>1825.3953999999999</v>
      </c>
    </row>
    <row r="697" spans="1:6" x14ac:dyDescent="0.2">
      <c r="A697">
        <v>696</v>
      </c>
      <c r="B697">
        <v>90</v>
      </c>
      <c r="C697" s="1">
        <v>45004</v>
      </c>
      <c r="D697">
        <v>45</v>
      </c>
      <c r="E697">
        <v>9</v>
      </c>
      <c r="F697" s="11">
        <v>1252.8061</v>
      </c>
    </row>
    <row r="698" spans="1:6" x14ac:dyDescent="0.2">
      <c r="A698">
        <v>697</v>
      </c>
      <c r="B698">
        <v>70</v>
      </c>
      <c r="C698" s="1">
        <v>45598</v>
      </c>
      <c r="D698">
        <v>2</v>
      </c>
      <c r="E698">
        <v>5</v>
      </c>
      <c r="F698" s="11">
        <v>3828.2624999999998</v>
      </c>
    </row>
    <row r="699" spans="1:6" x14ac:dyDescent="0.2">
      <c r="A699">
        <v>698</v>
      </c>
      <c r="B699">
        <v>25</v>
      </c>
      <c r="C699" s="1">
        <v>45034</v>
      </c>
      <c r="D699">
        <v>4</v>
      </c>
      <c r="E699">
        <v>7</v>
      </c>
      <c r="F699" s="11">
        <v>528.39809999999989</v>
      </c>
    </row>
    <row r="700" spans="1:6" x14ac:dyDescent="0.2">
      <c r="A700">
        <v>699</v>
      </c>
      <c r="B700">
        <v>71</v>
      </c>
      <c r="C700" s="1">
        <v>45109</v>
      </c>
      <c r="D700">
        <v>6</v>
      </c>
      <c r="E700">
        <v>8</v>
      </c>
      <c r="F700" s="11">
        <v>4536.7592000000004</v>
      </c>
    </row>
    <row r="701" spans="1:6" x14ac:dyDescent="0.2">
      <c r="A701">
        <v>700</v>
      </c>
      <c r="B701">
        <v>60</v>
      </c>
      <c r="C701" s="1">
        <v>45155</v>
      </c>
      <c r="D701">
        <v>31</v>
      </c>
      <c r="E701">
        <v>7</v>
      </c>
      <c r="F701" s="11">
        <v>2578.5272999999997</v>
      </c>
    </row>
    <row r="702" spans="1:6" x14ac:dyDescent="0.2">
      <c r="A702">
        <v>701</v>
      </c>
      <c r="B702">
        <v>110</v>
      </c>
      <c r="C702" s="1">
        <v>45793</v>
      </c>
      <c r="D702">
        <v>45</v>
      </c>
      <c r="E702">
        <v>6</v>
      </c>
      <c r="F702" s="11">
        <v>1460.9574</v>
      </c>
    </row>
    <row r="703" spans="1:6" x14ac:dyDescent="0.2">
      <c r="A703">
        <v>702</v>
      </c>
      <c r="B703">
        <v>25</v>
      </c>
      <c r="C703" s="1">
        <v>45135</v>
      </c>
      <c r="D703">
        <v>11</v>
      </c>
      <c r="E703">
        <v>4</v>
      </c>
      <c r="F703" s="11">
        <v>545.44319999999993</v>
      </c>
    </row>
    <row r="704" spans="1:6" x14ac:dyDescent="0.2">
      <c r="A704">
        <v>703</v>
      </c>
      <c r="B704">
        <v>41</v>
      </c>
      <c r="C704" s="1">
        <v>45002</v>
      </c>
      <c r="D704">
        <v>47</v>
      </c>
      <c r="E704">
        <v>9</v>
      </c>
      <c r="F704" s="11">
        <v>2804.1376999999998</v>
      </c>
    </row>
    <row r="705" spans="1:6" x14ac:dyDescent="0.2">
      <c r="A705">
        <v>704</v>
      </c>
      <c r="B705">
        <v>149</v>
      </c>
      <c r="C705" s="1">
        <v>45216</v>
      </c>
      <c r="D705">
        <v>43</v>
      </c>
      <c r="E705">
        <v>6</v>
      </c>
      <c r="F705" s="11">
        <v>5760.1131999999998</v>
      </c>
    </row>
    <row r="706" spans="1:6" x14ac:dyDescent="0.2">
      <c r="A706">
        <v>705</v>
      </c>
      <c r="B706">
        <v>56</v>
      </c>
      <c r="C706" s="1">
        <v>45699</v>
      </c>
      <c r="D706">
        <v>27</v>
      </c>
      <c r="E706">
        <v>7</v>
      </c>
      <c r="F706" s="11">
        <v>7423.0739999999996</v>
      </c>
    </row>
    <row r="707" spans="1:6" x14ac:dyDescent="0.2">
      <c r="A707">
        <v>706</v>
      </c>
      <c r="B707">
        <v>22</v>
      </c>
      <c r="C707" s="1">
        <v>45923</v>
      </c>
      <c r="D707">
        <v>38</v>
      </c>
      <c r="E707">
        <v>8</v>
      </c>
      <c r="F707" s="11">
        <v>1503.74</v>
      </c>
    </row>
    <row r="708" spans="1:6" x14ac:dyDescent="0.2">
      <c r="A708">
        <v>707</v>
      </c>
      <c r="B708">
        <v>7</v>
      </c>
      <c r="C708" s="1">
        <v>45601</v>
      </c>
      <c r="D708">
        <v>44</v>
      </c>
      <c r="E708">
        <v>7</v>
      </c>
      <c r="F708" s="11">
        <v>7779.2639999999992</v>
      </c>
    </row>
    <row r="709" spans="1:6" x14ac:dyDescent="0.2">
      <c r="A709">
        <v>708</v>
      </c>
      <c r="B709">
        <v>110</v>
      </c>
      <c r="C709" s="1">
        <v>45335</v>
      </c>
      <c r="D709">
        <v>28</v>
      </c>
      <c r="E709">
        <v>9</v>
      </c>
      <c r="F709" s="11">
        <v>1414.3311000000001</v>
      </c>
    </row>
    <row r="710" spans="1:6" x14ac:dyDescent="0.2">
      <c r="A710">
        <v>709</v>
      </c>
      <c r="B710">
        <v>16</v>
      </c>
      <c r="C710" s="1">
        <v>45576</v>
      </c>
      <c r="D710">
        <v>24</v>
      </c>
      <c r="E710">
        <v>10</v>
      </c>
      <c r="F710" s="11">
        <v>6076.62</v>
      </c>
    </row>
    <row r="711" spans="1:6" x14ac:dyDescent="0.2">
      <c r="A711">
        <v>710</v>
      </c>
      <c r="B711">
        <v>23</v>
      </c>
      <c r="C711" s="1">
        <v>45506</v>
      </c>
      <c r="D711">
        <v>3</v>
      </c>
      <c r="E711">
        <v>3</v>
      </c>
      <c r="F711" s="11">
        <v>3844.498</v>
      </c>
    </row>
    <row r="712" spans="1:6" x14ac:dyDescent="0.2">
      <c r="A712">
        <v>711</v>
      </c>
      <c r="B712">
        <v>26</v>
      </c>
      <c r="C712" s="1">
        <v>45328</v>
      </c>
      <c r="D712">
        <v>41</v>
      </c>
      <c r="E712">
        <v>10</v>
      </c>
      <c r="F712" s="11">
        <v>5073.2280000000001</v>
      </c>
    </row>
    <row r="713" spans="1:6" x14ac:dyDescent="0.2">
      <c r="A713">
        <v>712</v>
      </c>
      <c r="B713">
        <v>59</v>
      </c>
      <c r="C713" s="1">
        <v>45816</v>
      </c>
      <c r="D713">
        <v>15</v>
      </c>
      <c r="E713">
        <v>8</v>
      </c>
      <c r="F713" s="11">
        <v>3818.4692000000005</v>
      </c>
    </row>
    <row r="714" spans="1:6" x14ac:dyDescent="0.2">
      <c r="A714">
        <v>713</v>
      </c>
      <c r="B714">
        <v>150</v>
      </c>
      <c r="C714" s="1">
        <v>45413</v>
      </c>
      <c r="D714">
        <v>49</v>
      </c>
      <c r="E714">
        <v>7</v>
      </c>
      <c r="F714" s="11">
        <v>2129.4395999999997</v>
      </c>
    </row>
    <row r="715" spans="1:6" x14ac:dyDescent="0.2">
      <c r="A715">
        <v>714</v>
      </c>
      <c r="B715">
        <v>95</v>
      </c>
      <c r="C715" s="1">
        <v>45176</v>
      </c>
      <c r="D715">
        <v>9</v>
      </c>
      <c r="E715">
        <v>8</v>
      </c>
      <c r="F715" s="11">
        <v>6411.1764000000003</v>
      </c>
    </row>
    <row r="716" spans="1:6" x14ac:dyDescent="0.2">
      <c r="A716">
        <v>715</v>
      </c>
      <c r="B716">
        <v>69</v>
      </c>
      <c r="C716" s="1">
        <v>45768</v>
      </c>
      <c r="D716">
        <v>21</v>
      </c>
      <c r="E716">
        <v>3</v>
      </c>
      <c r="F716" s="11">
        <v>7234.9389999999994</v>
      </c>
    </row>
    <row r="717" spans="1:6" x14ac:dyDescent="0.2">
      <c r="A717">
        <v>716</v>
      </c>
      <c r="B717">
        <v>102</v>
      </c>
      <c r="C717" s="1">
        <v>45746</v>
      </c>
      <c r="D717">
        <v>11</v>
      </c>
      <c r="E717">
        <v>4</v>
      </c>
      <c r="F717" s="11">
        <v>3978.1823999999997</v>
      </c>
    </row>
    <row r="718" spans="1:6" x14ac:dyDescent="0.2">
      <c r="A718">
        <v>717</v>
      </c>
      <c r="B718">
        <v>112</v>
      </c>
      <c r="C718" s="1">
        <v>45647</v>
      </c>
      <c r="D718">
        <v>20</v>
      </c>
      <c r="E718">
        <v>4</v>
      </c>
      <c r="F718" s="11">
        <v>2625.0335999999998</v>
      </c>
    </row>
    <row r="719" spans="1:6" x14ac:dyDescent="0.2">
      <c r="A719">
        <v>718</v>
      </c>
      <c r="B719">
        <v>73</v>
      </c>
      <c r="C719" s="1">
        <v>45301</v>
      </c>
      <c r="D719">
        <v>16</v>
      </c>
      <c r="E719">
        <v>4</v>
      </c>
      <c r="F719" s="11">
        <v>4354.1664000000001</v>
      </c>
    </row>
    <row r="720" spans="1:6" x14ac:dyDescent="0.2">
      <c r="A720">
        <v>719</v>
      </c>
      <c r="B720">
        <v>89</v>
      </c>
      <c r="C720" s="1">
        <v>45615</v>
      </c>
      <c r="D720">
        <v>10</v>
      </c>
      <c r="E720">
        <v>5</v>
      </c>
      <c r="F720" s="11">
        <v>957.95150000000001</v>
      </c>
    </row>
    <row r="721" spans="1:6" x14ac:dyDescent="0.2">
      <c r="A721">
        <v>720</v>
      </c>
      <c r="B721">
        <v>33</v>
      </c>
      <c r="C721" s="1">
        <v>45000</v>
      </c>
      <c r="D721">
        <v>9</v>
      </c>
      <c r="E721">
        <v>2</v>
      </c>
      <c r="F721" s="11">
        <v>4951.9301999999998</v>
      </c>
    </row>
    <row r="722" spans="1:6" x14ac:dyDescent="0.2">
      <c r="A722">
        <v>721</v>
      </c>
      <c r="B722">
        <v>63</v>
      </c>
      <c r="C722" s="1">
        <v>45096</v>
      </c>
      <c r="D722">
        <v>21</v>
      </c>
      <c r="E722">
        <v>4</v>
      </c>
      <c r="F722" s="11">
        <v>6721.6992</v>
      </c>
    </row>
    <row r="723" spans="1:6" x14ac:dyDescent="0.2">
      <c r="A723">
        <v>722</v>
      </c>
      <c r="B723">
        <v>139</v>
      </c>
      <c r="C723" s="1">
        <v>45911</v>
      </c>
      <c r="D723">
        <v>3</v>
      </c>
      <c r="E723">
        <v>5</v>
      </c>
      <c r="F723" s="11">
        <v>2461.5259999999998</v>
      </c>
    </row>
    <row r="724" spans="1:6" x14ac:dyDescent="0.2">
      <c r="A724">
        <v>723</v>
      </c>
      <c r="B724">
        <v>49</v>
      </c>
      <c r="C724" s="1">
        <v>46015</v>
      </c>
      <c r="D724">
        <v>19</v>
      </c>
      <c r="E724">
        <v>9</v>
      </c>
      <c r="F724" s="11">
        <v>3063.3694</v>
      </c>
    </row>
    <row r="725" spans="1:6" x14ac:dyDescent="0.2">
      <c r="A725">
        <v>724</v>
      </c>
      <c r="B725">
        <v>102</v>
      </c>
      <c r="C725" s="1">
        <v>45647</v>
      </c>
      <c r="D725">
        <v>24</v>
      </c>
      <c r="E725">
        <v>7</v>
      </c>
      <c r="F725" s="11">
        <v>3853.8641999999995</v>
      </c>
    </row>
    <row r="726" spans="1:6" x14ac:dyDescent="0.2">
      <c r="A726">
        <v>725</v>
      </c>
      <c r="B726">
        <v>60</v>
      </c>
      <c r="C726" s="1">
        <v>45834</v>
      </c>
      <c r="D726">
        <v>4</v>
      </c>
      <c r="E726">
        <v>4</v>
      </c>
      <c r="F726" s="11">
        <v>2661.7056000000002</v>
      </c>
    </row>
    <row r="727" spans="1:6" x14ac:dyDescent="0.2">
      <c r="A727">
        <v>726</v>
      </c>
      <c r="B727">
        <v>49</v>
      </c>
      <c r="C727" s="1">
        <v>45031</v>
      </c>
      <c r="D727">
        <v>15</v>
      </c>
      <c r="E727">
        <v>5</v>
      </c>
      <c r="F727" s="11">
        <v>3198.0230000000001</v>
      </c>
    </row>
    <row r="728" spans="1:6" x14ac:dyDescent="0.2">
      <c r="A728">
        <v>727</v>
      </c>
      <c r="B728">
        <v>62</v>
      </c>
      <c r="C728" s="1">
        <v>45240</v>
      </c>
      <c r="D728">
        <v>48</v>
      </c>
      <c r="E728">
        <v>8</v>
      </c>
      <c r="F728" s="11">
        <v>3181.3048000000003</v>
      </c>
    </row>
    <row r="729" spans="1:6" x14ac:dyDescent="0.2">
      <c r="A729">
        <v>728</v>
      </c>
      <c r="B729">
        <v>44</v>
      </c>
      <c r="C729" s="1">
        <v>45967</v>
      </c>
      <c r="D729">
        <v>42</v>
      </c>
      <c r="E729">
        <v>5</v>
      </c>
      <c r="F729" s="11">
        <v>335.92</v>
      </c>
    </row>
    <row r="730" spans="1:6" x14ac:dyDescent="0.2">
      <c r="A730">
        <v>729</v>
      </c>
      <c r="B730">
        <v>25</v>
      </c>
      <c r="C730" s="1">
        <v>45769</v>
      </c>
      <c r="D730">
        <v>47</v>
      </c>
      <c r="E730">
        <v>6</v>
      </c>
      <c r="F730" s="11">
        <v>534.07979999999998</v>
      </c>
    </row>
    <row r="731" spans="1:6" x14ac:dyDescent="0.2">
      <c r="A731">
        <v>730</v>
      </c>
      <c r="B731">
        <v>130</v>
      </c>
      <c r="C731" s="1">
        <v>45671</v>
      </c>
      <c r="D731">
        <v>15</v>
      </c>
      <c r="E731">
        <v>7</v>
      </c>
      <c r="F731" s="11">
        <v>2962.5056999999997</v>
      </c>
    </row>
    <row r="732" spans="1:6" x14ac:dyDescent="0.2">
      <c r="A732">
        <v>731</v>
      </c>
      <c r="B732">
        <v>81</v>
      </c>
      <c r="C732" s="1">
        <v>45731</v>
      </c>
      <c r="D732">
        <v>12</v>
      </c>
      <c r="E732">
        <v>4</v>
      </c>
      <c r="F732" s="11">
        <v>7452.8735999999999</v>
      </c>
    </row>
    <row r="733" spans="1:6" x14ac:dyDescent="0.2">
      <c r="A733">
        <v>732</v>
      </c>
      <c r="B733">
        <v>72</v>
      </c>
      <c r="C733" s="1">
        <v>45771</v>
      </c>
      <c r="D733">
        <v>22</v>
      </c>
      <c r="E733">
        <v>9</v>
      </c>
      <c r="F733" s="11">
        <v>5279.2739999999994</v>
      </c>
    </row>
    <row r="734" spans="1:6" x14ac:dyDescent="0.2">
      <c r="A734">
        <v>733</v>
      </c>
      <c r="B734">
        <v>73</v>
      </c>
      <c r="C734" s="1">
        <v>45211</v>
      </c>
      <c r="D734">
        <v>25</v>
      </c>
      <c r="E734">
        <v>10</v>
      </c>
      <c r="F734" s="11">
        <v>4082.0310000000004</v>
      </c>
    </row>
    <row r="735" spans="1:6" x14ac:dyDescent="0.2">
      <c r="A735">
        <v>734</v>
      </c>
      <c r="B735">
        <v>58</v>
      </c>
      <c r="C735" s="1">
        <v>45356</v>
      </c>
      <c r="D735">
        <v>27</v>
      </c>
      <c r="E735">
        <v>6</v>
      </c>
      <c r="F735" s="11">
        <v>1070.2651999999998</v>
      </c>
    </row>
    <row r="736" spans="1:6" x14ac:dyDescent="0.2">
      <c r="A736">
        <v>735</v>
      </c>
      <c r="B736">
        <v>82</v>
      </c>
      <c r="C736" s="1">
        <v>45505</v>
      </c>
      <c r="D736">
        <v>48</v>
      </c>
      <c r="E736">
        <v>3</v>
      </c>
      <c r="F736" s="11">
        <v>1233.0834</v>
      </c>
    </row>
    <row r="737" spans="1:6" x14ac:dyDescent="0.2">
      <c r="A737">
        <v>736</v>
      </c>
      <c r="B737">
        <v>100</v>
      </c>
      <c r="C737" s="1">
        <v>45712</v>
      </c>
      <c r="D737">
        <v>17</v>
      </c>
      <c r="E737">
        <v>8</v>
      </c>
      <c r="F737" s="11">
        <v>3757.1512000000002</v>
      </c>
    </row>
    <row r="738" spans="1:6" x14ac:dyDescent="0.2">
      <c r="A738">
        <v>737</v>
      </c>
      <c r="B738">
        <v>140</v>
      </c>
      <c r="C738" s="1">
        <v>45423</v>
      </c>
      <c r="D738">
        <v>13</v>
      </c>
      <c r="E738">
        <v>5</v>
      </c>
      <c r="F738" s="11">
        <v>849.072</v>
      </c>
    </row>
    <row r="739" spans="1:6" x14ac:dyDescent="0.2">
      <c r="A739">
        <v>738</v>
      </c>
      <c r="B739">
        <v>97</v>
      </c>
      <c r="C739" s="1">
        <v>45557</v>
      </c>
      <c r="D739">
        <v>2</v>
      </c>
      <c r="E739">
        <v>4</v>
      </c>
      <c r="F739" s="11">
        <v>884.7743999999999</v>
      </c>
    </row>
    <row r="740" spans="1:6" x14ac:dyDescent="0.2">
      <c r="A740">
        <v>739</v>
      </c>
      <c r="B740">
        <v>54</v>
      </c>
      <c r="C740" s="1">
        <v>45328</v>
      </c>
      <c r="D740">
        <v>33</v>
      </c>
      <c r="E740">
        <v>8</v>
      </c>
      <c r="F740" s="11">
        <v>855.18600000000004</v>
      </c>
    </row>
    <row r="741" spans="1:6" x14ac:dyDescent="0.2">
      <c r="A741">
        <v>740</v>
      </c>
      <c r="B741">
        <v>78</v>
      </c>
      <c r="C741" s="1">
        <v>45167</v>
      </c>
      <c r="D741">
        <v>19</v>
      </c>
      <c r="E741">
        <v>2</v>
      </c>
      <c r="F741" s="11">
        <v>848.42520000000002</v>
      </c>
    </row>
    <row r="742" spans="1:6" x14ac:dyDescent="0.2">
      <c r="A742">
        <v>741</v>
      </c>
      <c r="B742">
        <v>135</v>
      </c>
      <c r="C742" s="1">
        <v>45617</v>
      </c>
      <c r="D742">
        <v>30</v>
      </c>
      <c r="E742">
        <v>7</v>
      </c>
      <c r="F742" s="11">
        <v>7235.1302999999998</v>
      </c>
    </row>
    <row r="743" spans="1:6" x14ac:dyDescent="0.2">
      <c r="A743">
        <v>742</v>
      </c>
      <c r="B743">
        <v>18</v>
      </c>
      <c r="C743" s="1">
        <v>44936</v>
      </c>
      <c r="D743">
        <v>17</v>
      </c>
      <c r="E743">
        <v>9</v>
      </c>
      <c r="F743" s="11">
        <v>7676.714500000001</v>
      </c>
    </row>
    <row r="744" spans="1:6" x14ac:dyDescent="0.2">
      <c r="A744">
        <v>743</v>
      </c>
      <c r="B744">
        <v>43</v>
      </c>
      <c r="C744" s="1">
        <v>45375</v>
      </c>
      <c r="D744">
        <v>40</v>
      </c>
      <c r="E744">
        <v>5</v>
      </c>
      <c r="F744" s="11">
        <v>3063.7309999999998</v>
      </c>
    </row>
    <row r="745" spans="1:6" x14ac:dyDescent="0.2">
      <c r="A745">
        <v>744</v>
      </c>
      <c r="B745">
        <v>78</v>
      </c>
      <c r="C745" s="1">
        <v>44948</v>
      </c>
      <c r="D745">
        <v>34</v>
      </c>
      <c r="E745">
        <v>10</v>
      </c>
      <c r="F745" s="11">
        <v>779.16600000000005</v>
      </c>
    </row>
    <row r="746" spans="1:6" x14ac:dyDescent="0.2">
      <c r="A746">
        <v>745</v>
      </c>
      <c r="B746">
        <v>41</v>
      </c>
      <c r="C746" s="1">
        <v>45786</v>
      </c>
      <c r="D746">
        <v>20</v>
      </c>
      <c r="E746">
        <v>7</v>
      </c>
      <c r="F746" s="11">
        <v>2865.7670999999996</v>
      </c>
    </row>
    <row r="747" spans="1:6" x14ac:dyDescent="0.2">
      <c r="A747">
        <v>746</v>
      </c>
      <c r="B747">
        <v>59</v>
      </c>
      <c r="C747" s="1">
        <v>45682</v>
      </c>
      <c r="D747">
        <v>5</v>
      </c>
      <c r="E747">
        <v>7</v>
      </c>
      <c r="F747" s="11">
        <v>3859.9742999999999</v>
      </c>
    </row>
    <row r="748" spans="1:6" x14ac:dyDescent="0.2">
      <c r="A748">
        <v>747</v>
      </c>
      <c r="B748">
        <v>126</v>
      </c>
      <c r="C748" s="1">
        <v>46013</v>
      </c>
      <c r="D748">
        <v>14</v>
      </c>
      <c r="E748">
        <v>4</v>
      </c>
      <c r="F748" s="11">
        <v>972.70079999999996</v>
      </c>
    </row>
    <row r="749" spans="1:6" x14ac:dyDescent="0.2">
      <c r="A749">
        <v>748</v>
      </c>
      <c r="B749">
        <v>35</v>
      </c>
      <c r="C749" s="1">
        <v>45448</v>
      </c>
      <c r="D749">
        <v>16</v>
      </c>
      <c r="E749">
        <v>7</v>
      </c>
      <c r="F749" s="11">
        <v>125.72669999999999</v>
      </c>
    </row>
    <row r="750" spans="1:6" x14ac:dyDescent="0.2">
      <c r="A750">
        <v>749</v>
      </c>
      <c r="B750">
        <v>12</v>
      </c>
      <c r="C750" s="1">
        <v>45685</v>
      </c>
      <c r="D750">
        <v>39</v>
      </c>
      <c r="E750">
        <v>9</v>
      </c>
      <c r="F750" s="11">
        <v>1469.8775000000001</v>
      </c>
    </row>
    <row r="751" spans="1:6" x14ac:dyDescent="0.2">
      <c r="A751">
        <v>750</v>
      </c>
      <c r="B751">
        <v>60</v>
      </c>
      <c r="C751" s="1">
        <v>45994</v>
      </c>
      <c r="D751">
        <v>41</v>
      </c>
      <c r="E751">
        <v>10</v>
      </c>
      <c r="F751" s="11">
        <v>2495.3490000000002</v>
      </c>
    </row>
    <row r="752" spans="1:6" x14ac:dyDescent="0.2">
      <c r="A752">
        <v>751</v>
      </c>
      <c r="B752">
        <v>97</v>
      </c>
      <c r="C752" s="1">
        <v>45224</v>
      </c>
      <c r="D752">
        <v>15</v>
      </c>
      <c r="E752">
        <v>9</v>
      </c>
      <c r="F752" s="11">
        <v>838.69240000000002</v>
      </c>
    </row>
    <row r="753" spans="1:6" x14ac:dyDescent="0.2">
      <c r="A753">
        <v>752</v>
      </c>
      <c r="B753">
        <v>49</v>
      </c>
      <c r="C753" s="1">
        <v>44992</v>
      </c>
      <c r="D753">
        <v>23</v>
      </c>
      <c r="E753">
        <v>7</v>
      </c>
      <c r="F753" s="11">
        <v>3130.6961999999999</v>
      </c>
    </row>
    <row r="754" spans="1:6" x14ac:dyDescent="0.2">
      <c r="A754">
        <v>753</v>
      </c>
      <c r="B754">
        <v>84</v>
      </c>
      <c r="C754" s="1">
        <v>45003</v>
      </c>
      <c r="D754">
        <v>5</v>
      </c>
      <c r="E754">
        <v>4</v>
      </c>
      <c r="F754" s="11">
        <v>7449.7536</v>
      </c>
    </row>
    <row r="755" spans="1:6" x14ac:dyDescent="0.2">
      <c r="A755">
        <v>754</v>
      </c>
      <c r="B755">
        <v>12</v>
      </c>
      <c r="C755" s="1">
        <v>45862</v>
      </c>
      <c r="D755">
        <v>48</v>
      </c>
      <c r="E755">
        <v>4</v>
      </c>
      <c r="F755" s="11">
        <v>1550.6399999999999</v>
      </c>
    </row>
    <row r="756" spans="1:6" x14ac:dyDescent="0.2">
      <c r="A756">
        <v>755</v>
      </c>
      <c r="B756">
        <v>47</v>
      </c>
      <c r="C756" s="1">
        <v>45042</v>
      </c>
      <c r="D756">
        <v>25</v>
      </c>
      <c r="E756">
        <v>9</v>
      </c>
      <c r="F756" s="11">
        <v>3106.3578000000002</v>
      </c>
    </row>
    <row r="757" spans="1:6" x14ac:dyDescent="0.2">
      <c r="A757">
        <v>756</v>
      </c>
      <c r="B757">
        <v>112</v>
      </c>
      <c r="C757" s="1">
        <v>45200</v>
      </c>
      <c r="D757">
        <v>6</v>
      </c>
      <c r="E757">
        <v>7</v>
      </c>
      <c r="F757" s="11">
        <v>2543.0012999999999</v>
      </c>
    </row>
    <row r="758" spans="1:6" x14ac:dyDescent="0.2">
      <c r="A758">
        <v>757</v>
      </c>
      <c r="B758">
        <v>87</v>
      </c>
      <c r="C758" s="1">
        <v>45961</v>
      </c>
      <c r="D758">
        <v>33</v>
      </c>
      <c r="E758">
        <v>10</v>
      </c>
      <c r="F758" s="11">
        <v>3684.7080000000001</v>
      </c>
    </row>
    <row r="759" spans="1:6" x14ac:dyDescent="0.2">
      <c r="A759">
        <v>758</v>
      </c>
      <c r="B759">
        <v>61</v>
      </c>
      <c r="C759" s="1">
        <v>45571</v>
      </c>
      <c r="D759">
        <v>9</v>
      </c>
      <c r="E759">
        <v>8</v>
      </c>
      <c r="F759" s="11">
        <v>2246.8607999999999</v>
      </c>
    </row>
    <row r="760" spans="1:6" x14ac:dyDescent="0.2">
      <c r="A760">
        <v>759</v>
      </c>
      <c r="B760">
        <v>18</v>
      </c>
      <c r="C760" s="1">
        <v>45165</v>
      </c>
      <c r="D760">
        <v>43</v>
      </c>
      <c r="E760">
        <v>2</v>
      </c>
      <c r="F760" s="11">
        <v>8267.2309999999998</v>
      </c>
    </row>
    <row r="761" spans="1:6" x14ac:dyDescent="0.2">
      <c r="A761">
        <v>760</v>
      </c>
      <c r="B761">
        <v>139</v>
      </c>
      <c r="C761" s="1">
        <v>45698</v>
      </c>
      <c r="D761">
        <v>50</v>
      </c>
      <c r="E761">
        <v>2</v>
      </c>
      <c r="F761" s="11">
        <v>2539.2583999999997</v>
      </c>
    </row>
    <row r="762" spans="1:6" x14ac:dyDescent="0.2">
      <c r="A762">
        <v>761</v>
      </c>
      <c r="B762">
        <v>9</v>
      </c>
      <c r="C762" s="1">
        <v>45072</v>
      </c>
      <c r="D762">
        <v>28</v>
      </c>
      <c r="E762">
        <v>9</v>
      </c>
      <c r="F762" s="11">
        <v>2606.1035000000002</v>
      </c>
    </row>
    <row r="763" spans="1:6" x14ac:dyDescent="0.2">
      <c r="A763">
        <v>762</v>
      </c>
      <c r="B763">
        <v>115</v>
      </c>
      <c r="C763" s="1">
        <v>45516</v>
      </c>
      <c r="D763">
        <v>44</v>
      </c>
      <c r="E763">
        <v>5</v>
      </c>
      <c r="F763" s="11">
        <v>4456.7159999999994</v>
      </c>
    </row>
    <row r="764" spans="1:6" x14ac:dyDescent="0.2">
      <c r="A764">
        <v>763</v>
      </c>
      <c r="B764">
        <v>78</v>
      </c>
      <c r="C764" s="1">
        <v>45407</v>
      </c>
      <c r="D764">
        <v>1</v>
      </c>
      <c r="E764">
        <v>2</v>
      </c>
      <c r="F764" s="11">
        <v>848.42520000000002</v>
      </c>
    </row>
    <row r="765" spans="1:6" x14ac:dyDescent="0.2">
      <c r="A765">
        <v>764</v>
      </c>
      <c r="B765">
        <v>15</v>
      </c>
      <c r="C765" s="1">
        <v>45383</v>
      </c>
      <c r="D765">
        <v>27</v>
      </c>
      <c r="E765">
        <v>6</v>
      </c>
      <c r="F765" s="11">
        <v>4550.9911999999995</v>
      </c>
    </row>
    <row r="766" spans="1:6" x14ac:dyDescent="0.2">
      <c r="A766">
        <v>765</v>
      </c>
      <c r="B766">
        <v>22</v>
      </c>
      <c r="C766" s="1">
        <v>44954</v>
      </c>
      <c r="D766">
        <v>3</v>
      </c>
      <c r="E766">
        <v>5</v>
      </c>
      <c r="F766" s="11">
        <v>1552.7749999999999</v>
      </c>
    </row>
    <row r="767" spans="1:6" x14ac:dyDescent="0.2">
      <c r="A767">
        <v>766</v>
      </c>
      <c r="B767">
        <v>85</v>
      </c>
      <c r="C767" s="1">
        <v>45740</v>
      </c>
      <c r="D767">
        <v>32</v>
      </c>
      <c r="E767">
        <v>4</v>
      </c>
      <c r="F767" s="11">
        <v>3602.9088000000002</v>
      </c>
    </row>
    <row r="768" spans="1:6" x14ac:dyDescent="0.2">
      <c r="A768">
        <v>767</v>
      </c>
      <c r="B768">
        <v>87</v>
      </c>
      <c r="C768" s="1">
        <v>45094</v>
      </c>
      <c r="D768">
        <v>19</v>
      </c>
      <c r="E768">
        <v>5</v>
      </c>
      <c r="F768" s="11">
        <v>3889.4139999999998</v>
      </c>
    </row>
    <row r="769" spans="1:6" x14ac:dyDescent="0.2">
      <c r="A769">
        <v>768</v>
      </c>
      <c r="B769">
        <v>52</v>
      </c>
      <c r="C769" s="1">
        <v>45312</v>
      </c>
      <c r="D769">
        <v>32</v>
      </c>
      <c r="E769">
        <v>3</v>
      </c>
      <c r="F769" s="11">
        <v>4325.4045999999998</v>
      </c>
    </row>
    <row r="770" spans="1:6" x14ac:dyDescent="0.2">
      <c r="A770">
        <v>769</v>
      </c>
      <c r="B770">
        <v>22</v>
      </c>
      <c r="C770" s="1">
        <v>45602</v>
      </c>
      <c r="D770">
        <v>25</v>
      </c>
      <c r="E770">
        <v>3</v>
      </c>
      <c r="F770" s="11">
        <v>1585.4649999999999</v>
      </c>
    </row>
    <row r="771" spans="1:6" x14ac:dyDescent="0.2">
      <c r="A771">
        <v>770</v>
      </c>
      <c r="B771">
        <v>133</v>
      </c>
      <c r="C771" s="1">
        <v>45290</v>
      </c>
      <c r="D771">
        <v>16</v>
      </c>
      <c r="E771">
        <v>4</v>
      </c>
      <c r="F771" s="11">
        <v>6340.7039999999997</v>
      </c>
    </row>
    <row r="772" spans="1:6" x14ac:dyDescent="0.2">
      <c r="A772">
        <v>771</v>
      </c>
      <c r="B772">
        <v>42</v>
      </c>
      <c r="C772" s="1">
        <v>45913</v>
      </c>
      <c r="D772">
        <v>34</v>
      </c>
      <c r="E772">
        <v>8</v>
      </c>
      <c r="F772" s="11">
        <v>393.39200000000005</v>
      </c>
    </row>
    <row r="773" spans="1:6" x14ac:dyDescent="0.2">
      <c r="A773">
        <v>772</v>
      </c>
      <c r="B773">
        <v>52</v>
      </c>
      <c r="C773" s="1">
        <v>45114</v>
      </c>
      <c r="D773">
        <v>17</v>
      </c>
      <c r="E773">
        <v>8</v>
      </c>
      <c r="F773" s="11">
        <v>4102.4456</v>
      </c>
    </row>
    <row r="774" spans="1:6" x14ac:dyDescent="0.2">
      <c r="A774">
        <v>773</v>
      </c>
      <c r="B774">
        <v>139</v>
      </c>
      <c r="C774" s="1">
        <v>45243</v>
      </c>
      <c r="D774">
        <v>36</v>
      </c>
      <c r="E774">
        <v>8</v>
      </c>
      <c r="F774" s="11">
        <v>2383.7936</v>
      </c>
    </row>
    <row r="775" spans="1:6" x14ac:dyDescent="0.2">
      <c r="A775">
        <v>774</v>
      </c>
      <c r="B775">
        <v>117</v>
      </c>
      <c r="C775" s="1">
        <v>45643</v>
      </c>
      <c r="D775">
        <v>35</v>
      </c>
      <c r="E775">
        <v>2</v>
      </c>
      <c r="F775" s="11">
        <v>2084.6363999999999</v>
      </c>
    </row>
    <row r="776" spans="1:6" x14ac:dyDescent="0.2">
      <c r="A776">
        <v>775</v>
      </c>
      <c r="B776">
        <v>7</v>
      </c>
      <c r="C776" s="1">
        <v>45130</v>
      </c>
      <c r="D776">
        <v>16</v>
      </c>
      <c r="E776">
        <v>3</v>
      </c>
      <c r="F776" s="11">
        <v>8113.8559999999989</v>
      </c>
    </row>
    <row r="777" spans="1:6" x14ac:dyDescent="0.2">
      <c r="A777">
        <v>776</v>
      </c>
      <c r="B777">
        <v>43</v>
      </c>
      <c r="C777" s="1">
        <v>45639</v>
      </c>
      <c r="D777">
        <v>43</v>
      </c>
      <c r="E777">
        <v>9</v>
      </c>
      <c r="F777" s="11">
        <v>2934.7318</v>
      </c>
    </row>
    <row r="778" spans="1:6" x14ac:dyDescent="0.2">
      <c r="A778">
        <v>777</v>
      </c>
      <c r="B778">
        <v>114</v>
      </c>
      <c r="C778" s="1">
        <v>45229</v>
      </c>
      <c r="D778">
        <v>42</v>
      </c>
      <c r="E778">
        <v>8</v>
      </c>
      <c r="F778" s="11">
        <v>7032.8572000000004</v>
      </c>
    </row>
    <row r="779" spans="1:6" x14ac:dyDescent="0.2">
      <c r="A779">
        <v>778</v>
      </c>
      <c r="B779">
        <v>16</v>
      </c>
      <c r="C779" s="1">
        <v>45939</v>
      </c>
      <c r="D779">
        <v>33</v>
      </c>
      <c r="E779">
        <v>9</v>
      </c>
      <c r="F779" s="11">
        <v>6144.1380000000008</v>
      </c>
    </row>
    <row r="780" spans="1:6" x14ac:dyDescent="0.2">
      <c r="A780">
        <v>779</v>
      </c>
      <c r="B780">
        <v>115</v>
      </c>
      <c r="C780" s="1">
        <v>45303</v>
      </c>
      <c r="D780">
        <v>21</v>
      </c>
      <c r="E780">
        <v>6</v>
      </c>
      <c r="F780" s="11">
        <v>4409.8031999999994</v>
      </c>
    </row>
    <row r="781" spans="1:6" x14ac:dyDescent="0.2">
      <c r="A781">
        <v>780</v>
      </c>
      <c r="B781">
        <v>120</v>
      </c>
      <c r="C781" s="1">
        <v>45522</v>
      </c>
      <c r="D781">
        <v>37</v>
      </c>
      <c r="E781">
        <v>7</v>
      </c>
      <c r="F781" s="11">
        <v>1838.2379999999998</v>
      </c>
    </row>
    <row r="782" spans="1:6" x14ac:dyDescent="0.2">
      <c r="A782">
        <v>781</v>
      </c>
      <c r="B782">
        <v>91</v>
      </c>
      <c r="C782" s="1">
        <v>45572</v>
      </c>
      <c r="D782">
        <v>22</v>
      </c>
      <c r="E782">
        <v>2</v>
      </c>
      <c r="F782" s="11">
        <v>3099.74</v>
      </c>
    </row>
    <row r="783" spans="1:6" x14ac:dyDescent="0.2">
      <c r="A783">
        <v>782</v>
      </c>
      <c r="B783">
        <v>16</v>
      </c>
      <c r="C783" s="1">
        <v>44944</v>
      </c>
      <c r="D783">
        <v>19</v>
      </c>
      <c r="E783">
        <v>8</v>
      </c>
      <c r="F783" s="11">
        <v>6211.6560000000009</v>
      </c>
    </row>
    <row r="784" spans="1:6" x14ac:dyDescent="0.2">
      <c r="A784">
        <v>783</v>
      </c>
      <c r="B784">
        <v>135</v>
      </c>
      <c r="C784" s="1">
        <v>45018</v>
      </c>
      <c r="D784">
        <v>48</v>
      </c>
      <c r="E784">
        <v>6</v>
      </c>
      <c r="F784" s="11">
        <v>7312.9273999999996</v>
      </c>
    </row>
    <row r="785" spans="1:6" x14ac:dyDescent="0.2">
      <c r="A785">
        <v>784</v>
      </c>
      <c r="B785">
        <v>28</v>
      </c>
      <c r="C785" s="1">
        <v>45343</v>
      </c>
      <c r="D785">
        <v>2</v>
      </c>
      <c r="E785">
        <v>3</v>
      </c>
      <c r="F785" s="11">
        <v>5545.1214</v>
      </c>
    </row>
    <row r="786" spans="1:6" x14ac:dyDescent="0.2">
      <c r="A786">
        <v>785</v>
      </c>
      <c r="B786">
        <v>120</v>
      </c>
      <c r="C786" s="1">
        <v>45891</v>
      </c>
      <c r="D786">
        <v>47</v>
      </c>
      <c r="E786">
        <v>8</v>
      </c>
      <c r="F786" s="11">
        <v>1818.472</v>
      </c>
    </row>
    <row r="787" spans="1:6" x14ac:dyDescent="0.2">
      <c r="A787">
        <v>786</v>
      </c>
      <c r="B787">
        <v>92</v>
      </c>
      <c r="C787" s="1">
        <v>45677</v>
      </c>
      <c r="D787">
        <v>13</v>
      </c>
      <c r="E787">
        <v>4</v>
      </c>
      <c r="F787" s="11">
        <v>3434.8991999999998</v>
      </c>
    </row>
    <row r="788" spans="1:6" x14ac:dyDescent="0.2">
      <c r="A788">
        <v>787</v>
      </c>
      <c r="B788">
        <v>76</v>
      </c>
      <c r="C788" s="1">
        <v>45824</v>
      </c>
      <c r="D788">
        <v>26</v>
      </c>
      <c r="E788">
        <v>6</v>
      </c>
      <c r="F788" s="11">
        <v>2881.6358</v>
      </c>
    </row>
    <row r="789" spans="1:6" x14ac:dyDescent="0.2">
      <c r="A789">
        <v>788</v>
      </c>
      <c r="B789">
        <v>64</v>
      </c>
      <c r="C789" s="1">
        <v>45101</v>
      </c>
      <c r="D789">
        <v>1</v>
      </c>
      <c r="E789">
        <v>2</v>
      </c>
      <c r="F789" s="11">
        <v>3136</v>
      </c>
    </row>
    <row r="790" spans="1:6" x14ac:dyDescent="0.2">
      <c r="A790">
        <v>789</v>
      </c>
      <c r="B790">
        <v>12</v>
      </c>
      <c r="C790" s="1">
        <v>45405</v>
      </c>
      <c r="D790">
        <v>7</v>
      </c>
      <c r="E790">
        <v>4</v>
      </c>
      <c r="F790" s="11">
        <v>1550.6399999999999</v>
      </c>
    </row>
    <row r="791" spans="1:6" x14ac:dyDescent="0.2">
      <c r="A791">
        <v>790</v>
      </c>
      <c r="B791">
        <v>78</v>
      </c>
      <c r="C791" s="1">
        <v>45133</v>
      </c>
      <c r="D791">
        <v>46</v>
      </c>
      <c r="E791">
        <v>8</v>
      </c>
      <c r="F791" s="11">
        <v>796.48080000000004</v>
      </c>
    </row>
    <row r="792" spans="1:6" x14ac:dyDescent="0.2">
      <c r="A792">
        <v>791</v>
      </c>
      <c r="B792">
        <v>38</v>
      </c>
      <c r="C792" s="1">
        <v>45014</v>
      </c>
      <c r="D792">
        <v>4</v>
      </c>
      <c r="E792">
        <v>10</v>
      </c>
      <c r="F792" s="11">
        <v>5935.9409999999998</v>
      </c>
    </row>
    <row r="793" spans="1:6" x14ac:dyDescent="0.2">
      <c r="A793">
        <v>792</v>
      </c>
      <c r="B793">
        <v>24</v>
      </c>
      <c r="C793" s="1">
        <v>45701</v>
      </c>
      <c r="D793">
        <v>25</v>
      </c>
      <c r="E793">
        <v>3</v>
      </c>
      <c r="F793" s="11">
        <v>3876.6243999999997</v>
      </c>
    </row>
    <row r="794" spans="1:6" x14ac:dyDescent="0.2">
      <c r="A794">
        <v>793</v>
      </c>
      <c r="B794">
        <v>65</v>
      </c>
      <c r="C794" s="1">
        <v>44931</v>
      </c>
      <c r="D794">
        <v>41</v>
      </c>
      <c r="E794">
        <v>4</v>
      </c>
      <c r="F794" s="11">
        <v>4330.9055999999991</v>
      </c>
    </row>
    <row r="795" spans="1:6" x14ac:dyDescent="0.2">
      <c r="A795">
        <v>794</v>
      </c>
      <c r="B795">
        <v>48</v>
      </c>
      <c r="C795" s="1">
        <v>45801</v>
      </c>
      <c r="D795">
        <v>29</v>
      </c>
      <c r="E795">
        <v>8</v>
      </c>
      <c r="F795" s="11">
        <v>3393.2084</v>
      </c>
    </row>
    <row r="796" spans="1:6" x14ac:dyDescent="0.2">
      <c r="A796">
        <v>795</v>
      </c>
      <c r="B796">
        <v>59</v>
      </c>
      <c r="C796" s="1">
        <v>45125</v>
      </c>
      <c r="D796">
        <v>17</v>
      </c>
      <c r="E796">
        <v>7</v>
      </c>
      <c r="F796" s="11">
        <v>3859.9742999999999</v>
      </c>
    </row>
    <row r="797" spans="1:6" x14ac:dyDescent="0.2">
      <c r="A797">
        <v>796</v>
      </c>
      <c r="B797">
        <v>123</v>
      </c>
      <c r="C797" s="1">
        <v>45872</v>
      </c>
      <c r="D797">
        <v>44</v>
      </c>
      <c r="E797">
        <v>9</v>
      </c>
      <c r="F797" s="11">
        <v>4211.1342000000004</v>
      </c>
    </row>
    <row r="798" spans="1:6" x14ac:dyDescent="0.2">
      <c r="A798">
        <v>797</v>
      </c>
      <c r="B798">
        <v>74</v>
      </c>
      <c r="C798" s="1">
        <v>45068</v>
      </c>
      <c r="D798">
        <v>40</v>
      </c>
      <c r="E798">
        <v>8</v>
      </c>
      <c r="F798" s="11">
        <v>1752.7932000000001</v>
      </c>
    </row>
    <row r="799" spans="1:6" x14ac:dyDescent="0.2">
      <c r="A799">
        <v>798</v>
      </c>
      <c r="B799">
        <v>16</v>
      </c>
      <c r="C799" s="1">
        <v>45003</v>
      </c>
      <c r="D799">
        <v>16</v>
      </c>
      <c r="E799">
        <v>10</v>
      </c>
      <c r="F799" s="11">
        <v>6076.62</v>
      </c>
    </row>
    <row r="800" spans="1:6" x14ac:dyDescent="0.2">
      <c r="A800">
        <v>799</v>
      </c>
      <c r="B800">
        <v>123</v>
      </c>
      <c r="C800" s="1">
        <v>44940</v>
      </c>
      <c r="D800">
        <v>50</v>
      </c>
      <c r="E800">
        <v>10</v>
      </c>
      <c r="F800" s="11">
        <v>4164.8580000000002</v>
      </c>
    </row>
    <row r="801" spans="1:6" x14ac:dyDescent="0.2">
      <c r="A801">
        <v>800</v>
      </c>
      <c r="B801">
        <v>45</v>
      </c>
      <c r="C801" s="1">
        <v>45094</v>
      </c>
      <c r="D801">
        <v>41</v>
      </c>
      <c r="E801">
        <v>5</v>
      </c>
      <c r="F801" s="11">
        <v>5060.0704999999998</v>
      </c>
    </row>
    <row r="802" spans="1:6" x14ac:dyDescent="0.2">
      <c r="A802">
        <v>801</v>
      </c>
      <c r="B802">
        <v>15</v>
      </c>
      <c r="C802" s="1">
        <v>45101</v>
      </c>
      <c r="D802">
        <v>20</v>
      </c>
      <c r="E802">
        <v>3</v>
      </c>
      <c r="F802" s="11">
        <v>4696.2355999999991</v>
      </c>
    </row>
    <row r="803" spans="1:6" x14ac:dyDescent="0.2">
      <c r="A803">
        <v>802</v>
      </c>
      <c r="B803">
        <v>58</v>
      </c>
      <c r="C803" s="1">
        <v>45509</v>
      </c>
      <c r="D803">
        <v>47</v>
      </c>
      <c r="E803">
        <v>2</v>
      </c>
      <c r="F803" s="11">
        <v>1115.8083999999999</v>
      </c>
    </row>
    <row r="804" spans="1:6" x14ac:dyDescent="0.2">
      <c r="A804">
        <v>803</v>
      </c>
      <c r="B804">
        <v>94</v>
      </c>
      <c r="C804" s="1">
        <v>44984</v>
      </c>
      <c r="D804">
        <v>37</v>
      </c>
      <c r="E804">
        <v>4</v>
      </c>
      <c r="F804" s="11">
        <v>4466.6687999999995</v>
      </c>
    </row>
    <row r="805" spans="1:6" x14ac:dyDescent="0.2">
      <c r="A805">
        <v>804</v>
      </c>
      <c r="B805">
        <v>21</v>
      </c>
      <c r="C805" s="1">
        <v>45960</v>
      </c>
      <c r="D805">
        <v>8</v>
      </c>
      <c r="E805">
        <v>5</v>
      </c>
      <c r="F805" s="11">
        <v>2735.335</v>
      </c>
    </row>
    <row r="806" spans="1:6" x14ac:dyDescent="0.2">
      <c r="A806">
        <v>805</v>
      </c>
      <c r="B806">
        <v>100</v>
      </c>
      <c r="C806" s="1">
        <v>45627</v>
      </c>
      <c r="D806">
        <v>9</v>
      </c>
      <c r="E806">
        <v>7</v>
      </c>
      <c r="F806" s="11">
        <v>3797.9897999999998</v>
      </c>
    </row>
    <row r="807" spans="1:6" x14ac:dyDescent="0.2">
      <c r="A807">
        <v>806</v>
      </c>
      <c r="B807">
        <v>149</v>
      </c>
      <c r="C807" s="1">
        <v>45151</v>
      </c>
      <c r="D807">
        <v>11</v>
      </c>
      <c r="E807">
        <v>9</v>
      </c>
      <c r="F807" s="11">
        <v>5576.2798000000003</v>
      </c>
    </row>
    <row r="808" spans="1:6" x14ac:dyDescent="0.2">
      <c r="A808">
        <v>807</v>
      </c>
      <c r="B808">
        <v>18</v>
      </c>
      <c r="C808" s="1">
        <v>45136</v>
      </c>
      <c r="D808">
        <v>42</v>
      </c>
      <c r="E808">
        <v>8</v>
      </c>
      <c r="F808" s="11">
        <v>7761.0740000000014</v>
      </c>
    </row>
    <row r="809" spans="1:6" x14ac:dyDescent="0.2">
      <c r="A809">
        <v>808</v>
      </c>
      <c r="B809">
        <v>141</v>
      </c>
      <c r="C809" s="1">
        <v>45419</v>
      </c>
      <c r="D809">
        <v>49</v>
      </c>
      <c r="E809">
        <v>8</v>
      </c>
      <c r="F809" s="11">
        <v>7235.9748</v>
      </c>
    </row>
    <row r="810" spans="1:6" x14ac:dyDescent="0.2">
      <c r="A810">
        <v>809</v>
      </c>
      <c r="B810">
        <v>18</v>
      </c>
      <c r="C810" s="1">
        <v>45086</v>
      </c>
      <c r="D810">
        <v>14</v>
      </c>
      <c r="E810">
        <v>9</v>
      </c>
      <c r="F810" s="11">
        <v>7676.714500000001</v>
      </c>
    </row>
    <row r="811" spans="1:6" x14ac:dyDescent="0.2">
      <c r="A811">
        <v>810</v>
      </c>
      <c r="B811">
        <v>56</v>
      </c>
      <c r="C811" s="1">
        <v>45792</v>
      </c>
      <c r="D811">
        <v>5</v>
      </c>
      <c r="E811">
        <v>8</v>
      </c>
      <c r="F811" s="11">
        <v>7343.2560000000003</v>
      </c>
    </row>
    <row r="812" spans="1:6" x14ac:dyDescent="0.2">
      <c r="A812">
        <v>811</v>
      </c>
      <c r="B812">
        <v>53</v>
      </c>
      <c r="C812" s="1">
        <v>45067</v>
      </c>
      <c r="D812">
        <v>49</v>
      </c>
      <c r="E812">
        <v>2</v>
      </c>
      <c r="F812" s="11">
        <v>3395.1217999999999</v>
      </c>
    </row>
    <row r="813" spans="1:6" x14ac:dyDescent="0.2">
      <c r="A813">
        <v>812</v>
      </c>
      <c r="B813">
        <v>104</v>
      </c>
      <c r="C813" s="1">
        <v>45140</v>
      </c>
      <c r="D813">
        <v>7</v>
      </c>
      <c r="E813">
        <v>7</v>
      </c>
      <c r="F813" s="11">
        <v>3007.2015000000001</v>
      </c>
    </row>
    <row r="814" spans="1:6" x14ac:dyDescent="0.2">
      <c r="A814">
        <v>813</v>
      </c>
      <c r="B814">
        <v>108</v>
      </c>
      <c r="C814" s="1">
        <v>45953</v>
      </c>
      <c r="D814">
        <v>18</v>
      </c>
      <c r="E814">
        <v>6</v>
      </c>
      <c r="F814" s="11">
        <v>790.10759999999993</v>
      </c>
    </row>
    <row r="815" spans="1:6" x14ac:dyDescent="0.2">
      <c r="A815">
        <v>814</v>
      </c>
      <c r="B815">
        <v>64</v>
      </c>
      <c r="C815" s="1">
        <v>45181</v>
      </c>
      <c r="D815">
        <v>9</v>
      </c>
      <c r="E815">
        <v>4</v>
      </c>
      <c r="F815" s="11">
        <v>3072</v>
      </c>
    </row>
    <row r="816" spans="1:6" x14ac:dyDescent="0.2">
      <c r="A816">
        <v>815</v>
      </c>
      <c r="B816">
        <v>119</v>
      </c>
      <c r="C816" s="1">
        <v>46015</v>
      </c>
      <c r="D816">
        <v>25</v>
      </c>
      <c r="E816">
        <v>10</v>
      </c>
      <c r="F816" s="11">
        <v>1747.7190000000001</v>
      </c>
    </row>
    <row r="817" spans="1:6" x14ac:dyDescent="0.2">
      <c r="A817">
        <v>816</v>
      </c>
      <c r="B817">
        <v>98</v>
      </c>
      <c r="C817" s="1">
        <v>45469</v>
      </c>
      <c r="D817">
        <v>2</v>
      </c>
      <c r="E817">
        <v>9</v>
      </c>
      <c r="F817" s="11">
        <v>7104.9888000000001</v>
      </c>
    </row>
    <row r="818" spans="1:6" x14ac:dyDescent="0.2">
      <c r="A818">
        <v>817</v>
      </c>
      <c r="B818">
        <v>39</v>
      </c>
      <c r="C818" s="1">
        <v>45101</v>
      </c>
      <c r="D818">
        <v>20</v>
      </c>
      <c r="E818">
        <v>10</v>
      </c>
      <c r="F818" s="11">
        <v>2886.8220000000001</v>
      </c>
    </row>
    <row r="819" spans="1:6" x14ac:dyDescent="0.2">
      <c r="A819">
        <v>818</v>
      </c>
      <c r="B819">
        <v>11</v>
      </c>
      <c r="C819" s="1">
        <v>44987</v>
      </c>
      <c r="D819">
        <v>43</v>
      </c>
      <c r="E819">
        <v>6</v>
      </c>
      <c r="F819" s="11">
        <v>3008.1879999999996</v>
      </c>
    </row>
    <row r="820" spans="1:6" x14ac:dyDescent="0.2">
      <c r="A820">
        <v>819</v>
      </c>
      <c r="B820">
        <v>68</v>
      </c>
      <c r="C820" s="1">
        <v>45513</v>
      </c>
      <c r="D820">
        <v>41</v>
      </c>
      <c r="E820">
        <v>10</v>
      </c>
      <c r="F820" s="11">
        <v>5439.1409999999996</v>
      </c>
    </row>
    <row r="821" spans="1:6" x14ac:dyDescent="0.2">
      <c r="A821">
        <v>820</v>
      </c>
      <c r="B821">
        <v>15</v>
      </c>
      <c r="C821" s="1">
        <v>45824</v>
      </c>
      <c r="D821">
        <v>4</v>
      </c>
      <c r="E821">
        <v>10</v>
      </c>
      <c r="F821" s="11">
        <v>4357.3319999999994</v>
      </c>
    </row>
    <row r="822" spans="1:6" x14ac:dyDescent="0.2">
      <c r="A822">
        <v>821</v>
      </c>
      <c r="B822">
        <v>118</v>
      </c>
      <c r="C822" s="1">
        <v>44935</v>
      </c>
      <c r="D822">
        <v>29</v>
      </c>
      <c r="E822">
        <v>5</v>
      </c>
      <c r="F822" s="11">
        <v>2991.7874999999999</v>
      </c>
    </row>
    <row r="823" spans="1:6" x14ac:dyDescent="0.2">
      <c r="A823">
        <v>822</v>
      </c>
      <c r="B823">
        <v>57</v>
      </c>
      <c r="C823" s="1">
        <v>45387</v>
      </c>
      <c r="D823">
        <v>29</v>
      </c>
      <c r="E823">
        <v>6</v>
      </c>
      <c r="F823" s="11">
        <v>6403.0450000000001</v>
      </c>
    </row>
    <row r="824" spans="1:6" x14ac:dyDescent="0.2">
      <c r="A824">
        <v>823</v>
      </c>
      <c r="B824">
        <v>21</v>
      </c>
      <c r="C824" s="1">
        <v>45005</v>
      </c>
      <c r="D824">
        <v>41</v>
      </c>
      <c r="E824">
        <v>4</v>
      </c>
      <c r="F824" s="11">
        <v>2764.1280000000002</v>
      </c>
    </row>
    <row r="825" spans="1:6" x14ac:dyDescent="0.2">
      <c r="A825">
        <v>824</v>
      </c>
      <c r="B825">
        <v>55</v>
      </c>
      <c r="C825" s="1">
        <v>45141</v>
      </c>
      <c r="D825">
        <v>14</v>
      </c>
      <c r="E825">
        <v>7</v>
      </c>
      <c r="F825" s="11">
        <v>896.78969999999993</v>
      </c>
    </row>
    <row r="826" spans="1:6" x14ac:dyDescent="0.2">
      <c r="A826">
        <v>825</v>
      </c>
      <c r="B826">
        <v>72</v>
      </c>
      <c r="C826" s="1">
        <v>45980</v>
      </c>
      <c r="D826">
        <v>12</v>
      </c>
      <c r="E826">
        <v>8</v>
      </c>
      <c r="F826" s="11">
        <v>5337.2879999999996</v>
      </c>
    </row>
    <row r="827" spans="1:6" x14ac:dyDescent="0.2">
      <c r="A827">
        <v>826</v>
      </c>
      <c r="B827">
        <v>99</v>
      </c>
      <c r="C827" s="1">
        <v>45555</v>
      </c>
      <c r="D827">
        <v>1</v>
      </c>
      <c r="E827">
        <v>10</v>
      </c>
      <c r="F827" s="11">
        <v>1839.5820000000001</v>
      </c>
    </row>
    <row r="828" spans="1:6" x14ac:dyDescent="0.2">
      <c r="A828">
        <v>827</v>
      </c>
      <c r="B828">
        <v>130</v>
      </c>
      <c r="C828" s="1">
        <v>45028</v>
      </c>
      <c r="D828">
        <v>10</v>
      </c>
      <c r="E828">
        <v>3</v>
      </c>
      <c r="F828" s="11">
        <v>3089.9252999999999</v>
      </c>
    </row>
    <row r="829" spans="1:6" x14ac:dyDescent="0.2">
      <c r="A829">
        <v>828</v>
      </c>
      <c r="B829">
        <v>123</v>
      </c>
      <c r="C829" s="1">
        <v>45594</v>
      </c>
      <c r="D829">
        <v>47</v>
      </c>
      <c r="E829">
        <v>2</v>
      </c>
      <c r="F829" s="11">
        <v>4535.0675999999994</v>
      </c>
    </row>
    <row r="830" spans="1:6" x14ac:dyDescent="0.2">
      <c r="A830">
        <v>829</v>
      </c>
      <c r="B830">
        <v>139</v>
      </c>
      <c r="C830" s="1">
        <v>45392</v>
      </c>
      <c r="D830">
        <v>50</v>
      </c>
      <c r="E830">
        <v>6</v>
      </c>
      <c r="F830" s="11">
        <v>2435.6151999999997</v>
      </c>
    </row>
    <row r="831" spans="1:6" x14ac:dyDescent="0.2">
      <c r="A831">
        <v>830</v>
      </c>
      <c r="B831">
        <v>93</v>
      </c>
      <c r="C831" s="1">
        <v>45770</v>
      </c>
      <c r="D831">
        <v>49</v>
      </c>
      <c r="E831">
        <v>10</v>
      </c>
      <c r="F831" s="11">
        <v>6896.3130000000001</v>
      </c>
    </row>
    <row r="832" spans="1:6" x14ac:dyDescent="0.2">
      <c r="A832">
        <v>831</v>
      </c>
      <c r="B832">
        <v>81</v>
      </c>
      <c r="C832" s="1">
        <v>45712</v>
      </c>
      <c r="D832">
        <v>14</v>
      </c>
      <c r="E832">
        <v>7</v>
      </c>
      <c r="F832" s="11">
        <v>7219.9712999999992</v>
      </c>
    </row>
    <row r="833" spans="1:6" x14ac:dyDescent="0.2">
      <c r="A833">
        <v>832</v>
      </c>
      <c r="B833">
        <v>76</v>
      </c>
      <c r="C833" s="1">
        <v>45413</v>
      </c>
      <c r="D833">
        <v>6</v>
      </c>
      <c r="E833">
        <v>8</v>
      </c>
      <c r="F833" s="11">
        <v>2820.3244000000004</v>
      </c>
    </row>
    <row r="834" spans="1:6" x14ac:dyDescent="0.2">
      <c r="A834">
        <v>833</v>
      </c>
      <c r="B834">
        <v>81</v>
      </c>
      <c r="C834" s="1">
        <v>45581</v>
      </c>
      <c r="D834">
        <v>2</v>
      </c>
      <c r="E834">
        <v>10</v>
      </c>
      <c r="F834" s="11">
        <v>6987.0690000000004</v>
      </c>
    </row>
    <row r="835" spans="1:6" x14ac:dyDescent="0.2">
      <c r="A835">
        <v>834</v>
      </c>
      <c r="B835">
        <v>50</v>
      </c>
      <c r="C835" s="1">
        <v>45043</v>
      </c>
      <c r="D835">
        <v>9</v>
      </c>
      <c r="E835">
        <v>8</v>
      </c>
      <c r="F835" s="11">
        <v>1248.164</v>
      </c>
    </row>
    <row r="836" spans="1:6" x14ac:dyDescent="0.2">
      <c r="A836">
        <v>835</v>
      </c>
      <c r="B836">
        <v>144</v>
      </c>
      <c r="C836" s="1">
        <v>45656</v>
      </c>
      <c r="D836">
        <v>7</v>
      </c>
      <c r="E836">
        <v>5</v>
      </c>
      <c r="F836" s="11">
        <v>1499.309</v>
      </c>
    </row>
    <row r="837" spans="1:6" x14ac:dyDescent="0.2">
      <c r="A837">
        <v>836</v>
      </c>
      <c r="B837">
        <v>88</v>
      </c>
      <c r="C837" s="1">
        <v>45163</v>
      </c>
      <c r="D837">
        <v>14</v>
      </c>
      <c r="E837">
        <v>2</v>
      </c>
      <c r="F837" s="11">
        <v>6111.6034</v>
      </c>
    </row>
    <row r="838" spans="1:6" x14ac:dyDescent="0.2">
      <c r="A838">
        <v>837</v>
      </c>
      <c r="B838">
        <v>70</v>
      </c>
      <c r="C838" s="1">
        <v>45253</v>
      </c>
      <c r="D838">
        <v>21</v>
      </c>
      <c r="E838">
        <v>9</v>
      </c>
      <c r="F838" s="11">
        <v>3667.0725000000002</v>
      </c>
    </row>
    <row r="839" spans="1:6" x14ac:dyDescent="0.2">
      <c r="A839">
        <v>838</v>
      </c>
      <c r="B839">
        <v>123</v>
      </c>
      <c r="C839" s="1">
        <v>45128</v>
      </c>
      <c r="D839">
        <v>17</v>
      </c>
      <c r="E839">
        <v>10</v>
      </c>
      <c r="F839" s="11">
        <v>4164.8580000000002</v>
      </c>
    </row>
    <row r="840" spans="1:6" x14ac:dyDescent="0.2">
      <c r="A840">
        <v>839</v>
      </c>
      <c r="B840">
        <v>115</v>
      </c>
      <c r="C840" s="1">
        <v>45968</v>
      </c>
      <c r="D840">
        <v>19</v>
      </c>
      <c r="E840">
        <v>6</v>
      </c>
      <c r="F840" s="11">
        <v>4409.8031999999994</v>
      </c>
    </row>
    <row r="841" spans="1:6" x14ac:dyDescent="0.2">
      <c r="A841">
        <v>840</v>
      </c>
      <c r="B841">
        <v>104</v>
      </c>
      <c r="C841" s="1">
        <v>45852</v>
      </c>
      <c r="D841">
        <v>37</v>
      </c>
      <c r="E841">
        <v>4</v>
      </c>
      <c r="F841" s="11">
        <v>3104.2080000000001</v>
      </c>
    </row>
    <row r="842" spans="1:6" x14ac:dyDescent="0.2">
      <c r="A842">
        <v>841</v>
      </c>
      <c r="B842">
        <v>125</v>
      </c>
      <c r="C842" s="1">
        <v>45367</v>
      </c>
      <c r="D842">
        <v>7</v>
      </c>
      <c r="E842">
        <v>8</v>
      </c>
      <c r="F842" s="11">
        <v>4002.9843999999998</v>
      </c>
    </row>
    <row r="843" spans="1:6" x14ac:dyDescent="0.2">
      <c r="A843">
        <v>842</v>
      </c>
      <c r="B843">
        <v>71</v>
      </c>
      <c r="C843" s="1">
        <v>45862</v>
      </c>
      <c r="D843">
        <v>45</v>
      </c>
      <c r="E843">
        <v>10</v>
      </c>
      <c r="F843" s="11">
        <v>4438.134</v>
      </c>
    </row>
    <row r="844" spans="1:6" x14ac:dyDescent="0.2">
      <c r="A844">
        <v>843</v>
      </c>
      <c r="B844">
        <v>16</v>
      </c>
      <c r="C844" s="1">
        <v>45006</v>
      </c>
      <c r="D844">
        <v>7</v>
      </c>
      <c r="E844">
        <v>5</v>
      </c>
      <c r="F844" s="11">
        <v>6414.21</v>
      </c>
    </row>
    <row r="845" spans="1:6" x14ac:dyDescent="0.2">
      <c r="A845">
        <v>844</v>
      </c>
      <c r="B845">
        <v>2</v>
      </c>
      <c r="C845" s="1">
        <v>45661</v>
      </c>
      <c r="D845">
        <v>12</v>
      </c>
      <c r="E845">
        <v>8</v>
      </c>
      <c r="F845" s="11">
        <v>4070.7975999999999</v>
      </c>
    </row>
    <row r="846" spans="1:6" x14ac:dyDescent="0.2">
      <c r="A846">
        <v>845</v>
      </c>
      <c r="B846">
        <v>25</v>
      </c>
      <c r="C846" s="1">
        <v>45816</v>
      </c>
      <c r="D846">
        <v>35</v>
      </c>
      <c r="E846">
        <v>7</v>
      </c>
      <c r="F846" s="11">
        <v>528.39809999999989</v>
      </c>
    </row>
    <row r="847" spans="1:6" x14ac:dyDescent="0.2">
      <c r="A847">
        <v>846</v>
      </c>
      <c r="B847">
        <v>69</v>
      </c>
      <c r="C847" s="1">
        <v>45288</v>
      </c>
      <c r="D847">
        <v>23</v>
      </c>
      <c r="E847">
        <v>10</v>
      </c>
      <c r="F847" s="11">
        <v>6712.83</v>
      </c>
    </row>
    <row r="848" spans="1:6" x14ac:dyDescent="0.2">
      <c r="A848">
        <v>847</v>
      </c>
      <c r="B848">
        <v>114</v>
      </c>
      <c r="C848" s="1">
        <v>45287</v>
      </c>
      <c r="D848">
        <v>11</v>
      </c>
      <c r="E848">
        <v>6</v>
      </c>
      <c r="F848" s="11">
        <v>7185.7453999999998</v>
      </c>
    </row>
    <row r="849" spans="1:6" x14ac:dyDescent="0.2">
      <c r="A849">
        <v>848</v>
      </c>
      <c r="B849">
        <v>35</v>
      </c>
      <c r="C849" s="1">
        <v>46004</v>
      </c>
      <c r="D849">
        <v>48</v>
      </c>
      <c r="E849">
        <v>7</v>
      </c>
      <c r="F849" s="11">
        <v>125.72669999999999</v>
      </c>
    </row>
    <row r="850" spans="1:6" x14ac:dyDescent="0.2">
      <c r="A850">
        <v>849</v>
      </c>
      <c r="B850">
        <v>20</v>
      </c>
      <c r="C850" s="1">
        <v>45765</v>
      </c>
      <c r="D850">
        <v>18</v>
      </c>
      <c r="E850">
        <v>10</v>
      </c>
      <c r="F850" s="11">
        <v>2728.0619999999999</v>
      </c>
    </row>
    <row r="851" spans="1:6" x14ac:dyDescent="0.2">
      <c r="A851">
        <v>850</v>
      </c>
      <c r="B851">
        <v>91</v>
      </c>
      <c r="C851" s="1">
        <v>45705</v>
      </c>
      <c r="D851">
        <v>6</v>
      </c>
      <c r="E851">
        <v>10</v>
      </c>
      <c r="F851" s="11">
        <v>2846.7000000000003</v>
      </c>
    </row>
    <row r="852" spans="1:6" x14ac:dyDescent="0.2">
      <c r="A852">
        <v>851</v>
      </c>
      <c r="B852">
        <v>81</v>
      </c>
      <c r="C852" s="1">
        <v>45135</v>
      </c>
      <c r="D852">
        <v>42</v>
      </c>
      <c r="E852">
        <v>6</v>
      </c>
      <c r="F852" s="11">
        <v>7297.6053999999995</v>
      </c>
    </row>
    <row r="853" spans="1:6" x14ac:dyDescent="0.2">
      <c r="A853">
        <v>852</v>
      </c>
      <c r="B853">
        <v>139</v>
      </c>
      <c r="C853" s="1">
        <v>45570</v>
      </c>
      <c r="D853">
        <v>4</v>
      </c>
      <c r="E853">
        <v>5</v>
      </c>
      <c r="F853" s="11">
        <v>2461.5259999999998</v>
      </c>
    </row>
    <row r="854" spans="1:6" x14ac:dyDescent="0.2">
      <c r="A854">
        <v>853</v>
      </c>
      <c r="B854">
        <v>74</v>
      </c>
      <c r="C854" s="1">
        <v>45074</v>
      </c>
      <c r="D854">
        <v>6</v>
      </c>
      <c r="E854">
        <v>3</v>
      </c>
      <c r="F854" s="11">
        <v>1848.0536999999999</v>
      </c>
    </row>
    <row r="855" spans="1:6" x14ac:dyDescent="0.2">
      <c r="A855">
        <v>854</v>
      </c>
      <c r="B855">
        <v>57</v>
      </c>
      <c r="C855" s="1">
        <v>45599</v>
      </c>
      <c r="D855">
        <v>7</v>
      </c>
      <c r="E855">
        <v>2</v>
      </c>
      <c r="F855" s="11">
        <v>6675.5150000000003</v>
      </c>
    </row>
    <row r="856" spans="1:6" x14ac:dyDescent="0.2">
      <c r="A856">
        <v>855</v>
      </c>
      <c r="B856">
        <v>53</v>
      </c>
      <c r="C856" s="1">
        <v>45875</v>
      </c>
      <c r="D856">
        <v>30</v>
      </c>
      <c r="E856">
        <v>5</v>
      </c>
      <c r="F856" s="11">
        <v>3291.1894999999995</v>
      </c>
    </row>
    <row r="857" spans="1:6" x14ac:dyDescent="0.2">
      <c r="A857">
        <v>856</v>
      </c>
      <c r="B857">
        <v>13</v>
      </c>
      <c r="C857" s="1">
        <v>45621</v>
      </c>
      <c r="D857">
        <v>48</v>
      </c>
      <c r="E857">
        <v>3</v>
      </c>
      <c r="F857" s="11">
        <v>1743.1481999999999</v>
      </c>
    </row>
    <row r="858" spans="1:6" x14ac:dyDescent="0.2">
      <c r="A858">
        <v>857</v>
      </c>
      <c r="B858">
        <v>120</v>
      </c>
      <c r="C858" s="1">
        <v>45151</v>
      </c>
      <c r="D858">
        <v>44</v>
      </c>
      <c r="E858">
        <v>10</v>
      </c>
      <c r="F858" s="11">
        <v>1778.94</v>
      </c>
    </row>
    <row r="859" spans="1:6" x14ac:dyDescent="0.2">
      <c r="A859">
        <v>858</v>
      </c>
      <c r="B859">
        <v>99</v>
      </c>
      <c r="C859" s="1">
        <v>45776</v>
      </c>
      <c r="D859">
        <v>15</v>
      </c>
      <c r="E859">
        <v>5</v>
      </c>
      <c r="F859" s="11">
        <v>1941.7809999999999</v>
      </c>
    </row>
    <row r="860" spans="1:6" x14ac:dyDescent="0.2">
      <c r="A860">
        <v>859</v>
      </c>
      <c r="B860">
        <v>75</v>
      </c>
      <c r="C860" s="1">
        <v>45220</v>
      </c>
      <c r="D860">
        <v>7</v>
      </c>
      <c r="E860">
        <v>6</v>
      </c>
      <c r="F860" s="11">
        <v>3547.0335999999998</v>
      </c>
    </row>
    <row r="861" spans="1:6" x14ac:dyDescent="0.2">
      <c r="A861">
        <v>860</v>
      </c>
      <c r="B861">
        <v>91</v>
      </c>
      <c r="C861" s="1">
        <v>45805</v>
      </c>
      <c r="D861">
        <v>40</v>
      </c>
      <c r="E861">
        <v>8</v>
      </c>
      <c r="F861" s="11">
        <v>2909.96</v>
      </c>
    </row>
    <row r="862" spans="1:6" x14ac:dyDescent="0.2">
      <c r="A862">
        <v>861</v>
      </c>
      <c r="B862">
        <v>31</v>
      </c>
      <c r="C862" s="1">
        <v>45946</v>
      </c>
      <c r="D862">
        <v>11</v>
      </c>
      <c r="E862">
        <v>10</v>
      </c>
      <c r="F862" s="11">
        <v>920.91600000000005</v>
      </c>
    </row>
    <row r="863" spans="1:6" x14ac:dyDescent="0.2">
      <c r="A863">
        <v>862</v>
      </c>
      <c r="B863">
        <v>56</v>
      </c>
      <c r="C863" s="1">
        <v>45598</v>
      </c>
      <c r="D863">
        <v>20</v>
      </c>
      <c r="E863">
        <v>7</v>
      </c>
      <c r="F863" s="11">
        <v>7423.0739999999996</v>
      </c>
    </row>
    <row r="864" spans="1:6" x14ac:dyDescent="0.2">
      <c r="A864">
        <v>863</v>
      </c>
      <c r="B864">
        <v>150</v>
      </c>
      <c r="C864" s="1">
        <v>45581</v>
      </c>
      <c r="D864">
        <v>16</v>
      </c>
      <c r="E864">
        <v>2</v>
      </c>
      <c r="F864" s="11">
        <v>2243.9255999999996</v>
      </c>
    </row>
    <row r="865" spans="1:6" x14ac:dyDescent="0.2">
      <c r="A865">
        <v>864</v>
      </c>
      <c r="B865">
        <v>45</v>
      </c>
      <c r="C865" s="1">
        <v>45832</v>
      </c>
      <c r="D865">
        <v>46</v>
      </c>
      <c r="E865">
        <v>5</v>
      </c>
      <c r="F865" s="11">
        <v>5060.0704999999998</v>
      </c>
    </row>
    <row r="866" spans="1:6" x14ac:dyDescent="0.2">
      <c r="A866">
        <v>865</v>
      </c>
      <c r="B866">
        <v>34</v>
      </c>
      <c r="C866" s="1">
        <v>45901</v>
      </c>
      <c r="D866">
        <v>47</v>
      </c>
      <c r="E866">
        <v>9</v>
      </c>
      <c r="F866" s="11">
        <v>1186.0849000000001</v>
      </c>
    </row>
    <row r="867" spans="1:6" x14ac:dyDescent="0.2">
      <c r="A867">
        <v>866</v>
      </c>
      <c r="B867">
        <v>11</v>
      </c>
      <c r="C867" s="1">
        <v>45889</v>
      </c>
      <c r="D867">
        <v>19</v>
      </c>
      <c r="E867">
        <v>7</v>
      </c>
      <c r="F867" s="11">
        <v>2976.1859999999997</v>
      </c>
    </row>
    <row r="868" spans="1:6" x14ac:dyDescent="0.2">
      <c r="A868">
        <v>867</v>
      </c>
      <c r="B868">
        <v>102</v>
      </c>
      <c r="C868" s="1">
        <v>45632</v>
      </c>
      <c r="D868">
        <v>17</v>
      </c>
      <c r="E868">
        <v>8</v>
      </c>
      <c r="F868" s="11">
        <v>3812.4247999999998</v>
      </c>
    </row>
    <row r="869" spans="1:6" x14ac:dyDescent="0.2">
      <c r="A869">
        <v>868</v>
      </c>
      <c r="B869">
        <v>15</v>
      </c>
      <c r="C869" s="1">
        <v>45158</v>
      </c>
      <c r="D869">
        <v>15</v>
      </c>
      <c r="E869">
        <v>8</v>
      </c>
      <c r="F869" s="11">
        <v>4454.1615999999995</v>
      </c>
    </row>
    <row r="870" spans="1:6" x14ac:dyDescent="0.2">
      <c r="A870">
        <v>869</v>
      </c>
      <c r="B870">
        <v>137</v>
      </c>
      <c r="C870" s="1">
        <v>45473</v>
      </c>
      <c r="D870">
        <v>41</v>
      </c>
      <c r="E870">
        <v>7</v>
      </c>
      <c r="F870" s="11">
        <v>333.56310000000002</v>
      </c>
    </row>
    <row r="871" spans="1:6" x14ac:dyDescent="0.2">
      <c r="A871">
        <v>870</v>
      </c>
      <c r="B871">
        <v>114</v>
      </c>
      <c r="C871" s="1">
        <v>45207</v>
      </c>
      <c r="D871">
        <v>47</v>
      </c>
      <c r="E871">
        <v>7</v>
      </c>
      <c r="F871" s="11">
        <v>7109.3012999999992</v>
      </c>
    </row>
    <row r="872" spans="1:6" x14ac:dyDescent="0.2">
      <c r="A872">
        <v>871</v>
      </c>
      <c r="B872">
        <v>91</v>
      </c>
      <c r="C872" s="1">
        <v>45567</v>
      </c>
      <c r="D872">
        <v>6</v>
      </c>
      <c r="E872">
        <v>5</v>
      </c>
      <c r="F872" s="11">
        <v>3004.85</v>
      </c>
    </row>
    <row r="873" spans="1:6" x14ac:dyDescent="0.2">
      <c r="A873">
        <v>872</v>
      </c>
      <c r="B873">
        <v>67</v>
      </c>
      <c r="C873" s="1">
        <v>45001</v>
      </c>
      <c r="D873">
        <v>40</v>
      </c>
      <c r="E873">
        <v>8</v>
      </c>
      <c r="F873" s="11">
        <v>1058.6532</v>
      </c>
    </row>
    <row r="874" spans="1:6" x14ac:dyDescent="0.2">
      <c r="A874">
        <v>873</v>
      </c>
      <c r="B874">
        <v>21</v>
      </c>
      <c r="C874" s="1">
        <v>45137</v>
      </c>
      <c r="D874">
        <v>41</v>
      </c>
      <c r="E874">
        <v>4</v>
      </c>
      <c r="F874" s="11">
        <v>2764.1280000000002</v>
      </c>
    </row>
    <row r="875" spans="1:6" x14ac:dyDescent="0.2">
      <c r="A875">
        <v>874</v>
      </c>
      <c r="B875">
        <v>144</v>
      </c>
      <c r="C875" s="1">
        <v>45195</v>
      </c>
      <c r="D875">
        <v>22</v>
      </c>
      <c r="E875">
        <v>6</v>
      </c>
      <c r="F875" s="11">
        <v>1483.5267999999999</v>
      </c>
    </row>
    <row r="876" spans="1:6" x14ac:dyDescent="0.2">
      <c r="A876">
        <v>875</v>
      </c>
      <c r="B876">
        <v>30</v>
      </c>
      <c r="C876" s="1">
        <v>45128</v>
      </c>
      <c r="D876">
        <v>41</v>
      </c>
      <c r="E876">
        <v>8</v>
      </c>
      <c r="F876" s="11">
        <v>1884.4728000000002</v>
      </c>
    </row>
    <row r="877" spans="1:6" x14ac:dyDescent="0.2">
      <c r="A877">
        <v>876</v>
      </c>
      <c r="B877">
        <v>77</v>
      </c>
      <c r="C877" s="1">
        <v>45194</v>
      </c>
      <c r="D877">
        <v>24</v>
      </c>
      <c r="E877">
        <v>8</v>
      </c>
      <c r="F877" s="11">
        <v>1845.5016000000001</v>
      </c>
    </row>
    <row r="878" spans="1:6" x14ac:dyDescent="0.2">
      <c r="A878">
        <v>877</v>
      </c>
      <c r="B878">
        <v>113</v>
      </c>
      <c r="C878" s="1">
        <v>45306</v>
      </c>
      <c r="D878">
        <v>42</v>
      </c>
      <c r="E878">
        <v>10</v>
      </c>
      <c r="F878" s="11">
        <v>4346.2439999999997</v>
      </c>
    </row>
    <row r="879" spans="1:6" x14ac:dyDescent="0.2">
      <c r="A879">
        <v>878</v>
      </c>
      <c r="B879">
        <v>144</v>
      </c>
      <c r="C879" s="1">
        <v>45228</v>
      </c>
      <c r="D879">
        <v>42</v>
      </c>
      <c r="E879">
        <v>6</v>
      </c>
      <c r="F879" s="11">
        <v>1483.5267999999999</v>
      </c>
    </row>
    <row r="880" spans="1:6" x14ac:dyDescent="0.2">
      <c r="A880">
        <v>879</v>
      </c>
      <c r="B880">
        <v>130</v>
      </c>
      <c r="C880" s="1">
        <v>45809</v>
      </c>
      <c r="D880">
        <v>27</v>
      </c>
      <c r="E880">
        <v>3</v>
      </c>
      <c r="F880" s="11">
        <v>3089.9252999999999</v>
      </c>
    </row>
    <row r="881" spans="1:6" x14ac:dyDescent="0.2">
      <c r="A881">
        <v>880</v>
      </c>
      <c r="B881">
        <v>149</v>
      </c>
      <c r="C881" s="1">
        <v>45112</v>
      </c>
      <c r="D881">
        <v>7</v>
      </c>
      <c r="E881">
        <v>6</v>
      </c>
      <c r="F881" s="11">
        <v>5760.1131999999998</v>
      </c>
    </row>
    <row r="882" spans="1:6" x14ac:dyDescent="0.2">
      <c r="A882">
        <v>881</v>
      </c>
      <c r="B882">
        <v>106</v>
      </c>
      <c r="C882" s="1">
        <v>45691</v>
      </c>
      <c r="D882">
        <v>40</v>
      </c>
      <c r="E882">
        <v>8</v>
      </c>
      <c r="F882" s="11">
        <v>1319.3076000000001</v>
      </c>
    </row>
    <row r="883" spans="1:6" x14ac:dyDescent="0.2">
      <c r="A883">
        <v>882</v>
      </c>
      <c r="B883">
        <v>74</v>
      </c>
      <c r="C883" s="1">
        <v>45733</v>
      </c>
      <c r="D883">
        <v>31</v>
      </c>
      <c r="E883">
        <v>2</v>
      </c>
      <c r="F883" s="11">
        <v>1867.1058</v>
      </c>
    </row>
    <row r="884" spans="1:6" x14ac:dyDescent="0.2">
      <c r="A884">
        <v>883</v>
      </c>
      <c r="B884">
        <v>33</v>
      </c>
      <c r="C884" s="1">
        <v>45816</v>
      </c>
      <c r="D884">
        <v>7</v>
      </c>
      <c r="E884">
        <v>9</v>
      </c>
      <c r="F884" s="11">
        <v>4598.2209000000003</v>
      </c>
    </row>
    <row r="885" spans="1:6" x14ac:dyDescent="0.2">
      <c r="A885">
        <v>884</v>
      </c>
      <c r="B885">
        <v>28</v>
      </c>
      <c r="C885" s="1">
        <v>45462</v>
      </c>
      <c r="D885">
        <v>42</v>
      </c>
      <c r="E885">
        <v>7</v>
      </c>
      <c r="F885" s="11">
        <v>5316.4565999999995</v>
      </c>
    </row>
    <row r="886" spans="1:6" x14ac:dyDescent="0.2">
      <c r="A886">
        <v>885</v>
      </c>
      <c r="B886">
        <v>141</v>
      </c>
      <c r="C886" s="1">
        <v>45637</v>
      </c>
      <c r="D886">
        <v>29</v>
      </c>
      <c r="E886">
        <v>2</v>
      </c>
      <c r="F886" s="11">
        <v>7707.8861999999999</v>
      </c>
    </row>
    <row r="887" spans="1:6" x14ac:dyDescent="0.2">
      <c r="A887">
        <v>886</v>
      </c>
      <c r="B887">
        <v>120</v>
      </c>
      <c r="C887" s="1">
        <v>45767</v>
      </c>
      <c r="D887">
        <v>40</v>
      </c>
      <c r="E887">
        <v>5</v>
      </c>
      <c r="F887" s="11">
        <v>1877.7699999999998</v>
      </c>
    </row>
    <row r="888" spans="1:6" x14ac:dyDescent="0.2">
      <c r="A888">
        <v>887</v>
      </c>
      <c r="B888">
        <v>86</v>
      </c>
      <c r="C888" s="1">
        <v>45332</v>
      </c>
      <c r="D888">
        <v>5</v>
      </c>
      <c r="E888">
        <v>10</v>
      </c>
      <c r="F888" s="11">
        <v>2810.6190000000001</v>
      </c>
    </row>
    <row r="889" spans="1:6" x14ac:dyDescent="0.2">
      <c r="A889">
        <v>888</v>
      </c>
      <c r="B889">
        <v>49</v>
      </c>
      <c r="C889" s="1">
        <v>45274</v>
      </c>
      <c r="D889">
        <v>42</v>
      </c>
      <c r="E889">
        <v>6</v>
      </c>
      <c r="F889" s="11">
        <v>3164.3595999999998</v>
      </c>
    </row>
    <row r="890" spans="1:6" x14ac:dyDescent="0.2">
      <c r="A890">
        <v>889</v>
      </c>
      <c r="B890">
        <v>141</v>
      </c>
      <c r="C890" s="1">
        <v>45308</v>
      </c>
      <c r="D890">
        <v>43</v>
      </c>
      <c r="E890">
        <v>4</v>
      </c>
      <c r="F890" s="11">
        <v>7550.5823999999993</v>
      </c>
    </row>
    <row r="891" spans="1:6" x14ac:dyDescent="0.2">
      <c r="A891">
        <v>890</v>
      </c>
      <c r="B891">
        <v>139</v>
      </c>
      <c r="C891" s="1">
        <v>45094</v>
      </c>
      <c r="D891">
        <v>7</v>
      </c>
      <c r="E891">
        <v>5</v>
      </c>
      <c r="F891" s="11">
        <v>2461.5259999999998</v>
      </c>
    </row>
    <row r="892" spans="1:6" x14ac:dyDescent="0.2">
      <c r="A892">
        <v>891</v>
      </c>
      <c r="B892">
        <v>56</v>
      </c>
      <c r="C892" s="1">
        <v>45480</v>
      </c>
      <c r="D892">
        <v>34</v>
      </c>
      <c r="E892">
        <v>10</v>
      </c>
      <c r="F892" s="11">
        <v>7183.62</v>
      </c>
    </row>
    <row r="893" spans="1:6" x14ac:dyDescent="0.2">
      <c r="A893">
        <v>892</v>
      </c>
      <c r="B893">
        <v>15</v>
      </c>
      <c r="C893" s="1">
        <v>45297</v>
      </c>
      <c r="D893">
        <v>18</v>
      </c>
      <c r="E893">
        <v>4</v>
      </c>
      <c r="F893" s="11">
        <v>4647.8207999999995</v>
      </c>
    </row>
    <row r="894" spans="1:6" x14ac:dyDescent="0.2">
      <c r="A894">
        <v>893</v>
      </c>
      <c r="B894">
        <v>107</v>
      </c>
      <c r="C894" s="1">
        <v>45257</v>
      </c>
      <c r="D894">
        <v>13</v>
      </c>
      <c r="E894">
        <v>2</v>
      </c>
      <c r="F894" s="11">
        <v>1536.5420000000001</v>
      </c>
    </row>
    <row r="895" spans="1:6" x14ac:dyDescent="0.2">
      <c r="A895">
        <v>894</v>
      </c>
      <c r="B895">
        <v>127</v>
      </c>
      <c r="C895" s="1">
        <v>44951</v>
      </c>
      <c r="D895">
        <v>46</v>
      </c>
      <c r="E895">
        <v>5</v>
      </c>
      <c r="F895" s="11">
        <v>5216.0320000000002</v>
      </c>
    </row>
    <row r="896" spans="1:6" x14ac:dyDescent="0.2">
      <c r="A896">
        <v>895</v>
      </c>
      <c r="B896">
        <v>141</v>
      </c>
      <c r="C896" s="1">
        <v>45064</v>
      </c>
      <c r="D896">
        <v>7</v>
      </c>
      <c r="E896">
        <v>3</v>
      </c>
      <c r="F896" s="11">
        <v>7629.2342999999992</v>
      </c>
    </row>
    <row r="897" spans="1:6" x14ac:dyDescent="0.2">
      <c r="A897">
        <v>896</v>
      </c>
      <c r="B897">
        <v>107</v>
      </c>
      <c r="C897" s="1">
        <v>45363</v>
      </c>
      <c r="D897">
        <v>33</v>
      </c>
      <c r="E897">
        <v>3</v>
      </c>
      <c r="F897" s="11">
        <v>1520.8630000000001</v>
      </c>
    </row>
    <row r="898" spans="1:6" x14ac:dyDescent="0.2">
      <c r="A898">
        <v>897</v>
      </c>
      <c r="B898">
        <v>98</v>
      </c>
      <c r="C898" s="1">
        <v>45545</v>
      </c>
      <c r="D898">
        <v>31</v>
      </c>
      <c r="E898">
        <v>3</v>
      </c>
      <c r="F898" s="11">
        <v>7573.4495999999999</v>
      </c>
    </row>
    <row r="899" spans="1:6" x14ac:dyDescent="0.2">
      <c r="A899">
        <v>898</v>
      </c>
      <c r="B899">
        <v>21</v>
      </c>
      <c r="C899" s="1">
        <v>45716</v>
      </c>
      <c r="D899">
        <v>45</v>
      </c>
      <c r="E899">
        <v>6</v>
      </c>
      <c r="F899" s="11">
        <v>2706.5419999999999</v>
      </c>
    </row>
    <row r="900" spans="1:6" x14ac:dyDescent="0.2">
      <c r="A900">
        <v>899</v>
      </c>
      <c r="B900">
        <v>37</v>
      </c>
      <c r="C900" s="1">
        <v>45674</v>
      </c>
      <c r="D900">
        <v>23</v>
      </c>
      <c r="E900">
        <v>10</v>
      </c>
      <c r="F900" s="11">
        <v>3475.3229999999999</v>
      </c>
    </row>
    <row r="901" spans="1:6" x14ac:dyDescent="0.2">
      <c r="A901">
        <v>900</v>
      </c>
      <c r="B901">
        <v>139</v>
      </c>
      <c r="C901" s="1">
        <v>45470</v>
      </c>
      <c r="D901">
        <v>10</v>
      </c>
      <c r="E901">
        <v>9</v>
      </c>
      <c r="F901" s="11">
        <v>2357.8827999999999</v>
      </c>
    </row>
    <row r="902" spans="1:6" x14ac:dyDescent="0.2">
      <c r="A902">
        <v>901</v>
      </c>
      <c r="B902">
        <v>24</v>
      </c>
      <c r="C902" s="1">
        <v>45760</v>
      </c>
      <c r="D902">
        <v>35</v>
      </c>
      <c r="E902">
        <v>6</v>
      </c>
      <c r="F902" s="11">
        <v>3756.7287999999999</v>
      </c>
    </row>
    <row r="903" spans="1:6" x14ac:dyDescent="0.2">
      <c r="A903">
        <v>902</v>
      </c>
      <c r="B903">
        <v>69</v>
      </c>
      <c r="C903" s="1">
        <v>45075</v>
      </c>
      <c r="D903">
        <v>28</v>
      </c>
      <c r="E903">
        <v>7</v>
      </c>
      <c r="F903" s="11">
        <v>6936.5909999999994</v>
      </c>
    </row>
    <row r="904" spans="1:6" x14ac:dyDescent="0.2">
      <c r="A904">
        <v>903</v>
      </c>
      <c r="B904">
        <v>17</v>
      </c>
      <c r="C904" s="1">
        <v>45023</v>
      </c>
      <c r="D904">
        <v>29</v>
      </c>
      <c r="E904">
        <v>2</v>
      </c>
      <c r="F904" s="11">
        <v>2919.5866000000001</v>
      </c>
    </row>
    <row r="905" spans="1:6" x14ac:dyDescent="0.2">
      <c r="A905">
        <v>904</v>
      </c>
      <c r="B905">
        <v>45</v>
      </c>
      <c r="C905" s="1">
        <v>45611</v>
      </c>
      <c r="D905">
        <v>2</v>
      </c>
      <c r="E905">
        <v>7</v>
      </c>
      <c r="F905" s="11">
        <v>4953.5427</v>
      </c>
    </row>
    <row r="906" spans="1:6" x14ac:dyDescent="0.2">
      <c r="A906">
        <v>905</v>
      </c>
      <c r="B906">
        <v>119</v>
      </c>
      <c r="C906" s="1">
        <v>45325</v>
      </c>
      <c r="D906">
        <v>26</v>
      </c>
      <c r="E906">
        <v>3</v>
      </c>
      <c r="F906" s="11">
        <v>1883.6527000000001</v>
      </c>
    </row>
    <row r="907" spans="1:6" x14ac:dyDescent="0.2">
      <c r="A907">
        <v>906</v>
      </c>
      <c r="B907">
        <v>52</v>
      </c>
      <c r="C907" s="1">
        <v>45211</v>
      </c>
      <c r="D907">
        <v>45</v>
      </c>
      <c r="E907">
        <v>3</v>
      </c>
      <c r="F907" s="11">
        <v>4325.4045999999998</v>
      </c>
    </row>
    <row r="908" spans="1:6" x14ac:dyDescent="0.2">
      <c r="A908">
        <v>907</v>
      </c>
      <c r="B908">
        <v>61</v>
      </c>
      <c r="C908" s="1">
        <v>45786</v>
      </c>
      <c r="D908">
        <v>2</v>
      </c>
      <c r="E908">
        <v>7</v>
      </c>
      <c r="F908" s="11">
        <v>2271.2831999999999</v>
      </c>
    </row>
    <row r="909" spans="1:6" x14ac:dyDescent="0.2">
      <c r="A909">
        <v>908</v>
      </c>
      <c r="B909">
        <v>13</v>
      </c>
      <c r="C909" s="1">
        <v>45078</v>
      </c>
      <c r="D909">
        <v>37</v>
      </c>
      <c r="E909">
        <v>4</v>
      </c>
      <c r="F909" s="11">
        <v>1725.1776</v>
      </c>
    </row>
    <row r="910" spans="1:6" x14ac:dyDescent="0.2">
      <c r="A910">
        <v>909</v>
      </c>
      <c r="B910">
        <v>75</v>
      </c>
      <c r="C910" s="1">
        <v>45000</v>
      </c>
      <c r="D910">
        <v>32</v>
      </c>
      <c r="E910">
        <v>4</v>
      </c>
      <c r="F910" s="11">
        <v>3622.5023999999999</v>
      </c>
    </row>
    <row r="911" spans="1:6" x14ac:dyDescent="0.2">
      <c r="A911">
        <v>910</v>
      </c>
      <c r="B911">
        <v>41</v>
      </c>
      <c r="C911" s="1">
        <v>45027</v>
      </c>
      <c r="D911">
        <v>6</v>
      </c>
      <c r="E911">
        <v>5</v>
      </c>
      <c r="F911" s="11">
        <v>2927.3964999999998</v>
      </c>
    </row>
    <row r="912" spans="1:6" x14ac:dyDescent="0.2">
      <c r="A912">
        <v>911</v>
      </c>
      <c r="B912">
        <v>55</v>
      </c>
      <c r="C912" s="1">
        <v>45738</v>
      </c>
      <c r="D912">
        <v>14</v>
      </c>
      <c r="E912">
        <v>3</v>
      </c>
      <c r="F912" s="11">
        <v>935.36129999999991</v>
      </c>
    </row>
    <row r="913" spans="1:6" x14ac:dyDescent="0.2">
      <c r="A913">
        <v>912</v>
      </c>
      <c r="B913">
        <v>140</v>
      </c>
      <c r="C913" s="1">
        <v>45337</v>
      </c>
      <c r="D913">
        <v>38</v>
      </c>
      <c r="E913">
        <v>8</v>
      </c>
      <c r="F913" s="11">
        <v>822.25920000000008</v>
      </c>
    </row>
    <row r="914" spans="1:6" x14ac:dyDescent="0.2">
      <c r="A914">
        <v>913</v>
      </c>
      <c r="B914">
        <v>7</v>
      </c>
      <c r="C914" s="1">
        <v>45529</v>
      </c>
      <c r="D914">
        <v>22</v>
      </c>
      <c r="E914">
        <v>7</v>
      </c>
      <c r="F914" s="11">
        <v>7779.2639999999992</v>
      </c>
    </row>
    <row r="915" spans="1:6" x14ac:dyDescent="0.2">
      <c r="A915">
        <v>914</v>
      </c>
      <c r="B915">
        <v>84</v>
      </c>
      <c r="C915" s="1">
        <v>45589</v>
      </c>
      <c r="D915">
        <v>28</v>
      </c>
      <c r="E915">
        <v>6</v>
      </c>
      <c r="F915" s="11">
        <v>7294.5503999999992</v>
      </c>
    </row>
    <row r="916" spans="1:6" x14ac:dyDescent="0.2">
      <c r="A916">
        <v>915</v>
      </c>
      <c r="B916">
        <v>50</v>
      </c>
      <c r="C916" s="1">
        <v>45299</v>
      </c>
      <c r="D916">
        <v>13</v>
      </c>
      <c r="E916">
        <v>6</v>
      </c>
      <c r="F916" s="11">
        <v>1275.298</v>
      </c>
    </row>
    <row r="917" spans="1:6" x14ac:dyDescent="0.2">
      <c r="A917">
        <v>916</v>
      </c>
      <c r="B917">
        <v>119</v>
      </c>
      <c r="C917" s="1">
        <v>45275</v>
      </c>
      <c r="D917">
        <v>50</v>
      </c>
      <c r="E917">
        <v>10</v>
      </c>
      <c r="F917" s="11">
        <v>1747.7190000000001</v>
      </c>
    </row>
    <row r="918" spans="1:6" x14ac:dyDescent="0.2">
      <c r="A918">
        <v>917</v>
      </c>
      <c r="B918">
        <v>8</v>
      </c>
      <c r="C918" s="1">
        <v>45306</v>
      </c>
      <c r="D918">
        <v>33</v>
      </c>
      <c r="E918">
        <v>10</v>
      </c>
      <c r="F918" s="11">
        <v>5079.5459999999994</v>
      </c>
    </row>
    <row r="919" spans="1:6" x14ac:dyDescent="0.2">
      <c r="A919">
        <v>918</v>
      </c>
      <c r="B919">
        <v>9</v>
      </c>
      <c r="C919" s="1">
        <v>45347</v>
      </c>
      <c r="D919">
        <v>36</v>
      </c>
      <c r="E919">
        <v>10</v>
      </c>
      <c r="F919" s="11">
        <v>2577.4650000000001</v>
      </c>
    </row>
    <row r="920" spans="1:6" x14ac:dyDescent="0.2">
      <c r="A920">
        <v>919</v>
      </c>
      <c r="B920">
        <v>111</v>
      </c>
      <c r="C920" s="1">
        <v>45089</v>
      </c>
      <c r="D920">
        <v>11</v>
      </c>
      <c r="E920">
        <v>10</v>
      </c>
      <c r="F920" s="11">
        <v>678.798</v>
      </c>
    </row>
    <row r="921" spans="1:6" x14ac:dyDescent="0.2">
      <c r="A921">
        <v>920</v>
      </c>
      <c r="B921">
        <v>147</v>
      </c>
      <c r="C921" s="1">
        <v>45538</v>
      </c>
      <c r="D921">
        <v>48</v>
      </c>
      <c r="E921">
        <v>5</v>
      </c>
      <c r="F921" s="11">
        <v>4355.1039999999994</v>
      </c>
    </row>
    <row r="922" spans="1:6" x14ac:dyDescent="0.2">
      <c r="A922">
        <v>921</v>
      </c>
      <c r="B922">
        <v>141</v>
      </c>
      <c r="C922" s="1">
        <v>45858</v>
      </c>
      <c r="D922">
        <v>24</v>
      </c>
      <c r="E922">
        <v>4</v>
      </c>
      <c r="F922" s="11">
        <v>7550.5823999999993</v>
      </c>
    </row>
    <row r="923" spans="1:6" x14ac:dyDescent="0.2">
      <c r="A923">
        <v>922</v>
      </c>
      <c r="B923">
        <v>144</v>
      </c>
      <c r="C923" s="1">
        <v>45889</v>
      </c>
      <c r="D923">
        <v>37</v>
      </c>
      <c r="E923">
        <v>2</v>
      </c>
      <c r="F923" s="11">
        <v>1546.6556</v>
      </c>
    </row>
    <row r="924" spans="1:6" x14ac:dyDescent="0.2">
      <c r="A924">
        <v>923</v>
      </c>
      <c r="B924">
        <v>37</v>
      </c>
      <c r="C924" s="1">
        <v>45742</v>
      </c>
      <c r="D924">
        <v>49</v>
      </c>
      <c r="E924">
        <v>5</v>
      </c>
      <c r="F924" s="11">
        <v>3668.3964999999998</v>
      </c>
    </row>
    <row r="925" spans="1:6" x14ac:dyDescent="0.2">
      <c r="A925">
        <v>924</v>
      </c>
      <c r="B925">
        <v>122</v>
      </c>
      <c r="C925" s="1">
        <v>45775</v>
      </c>
      <c r="D925">
        <v>21</v>
      </c>
      <c r="E925">
        <v>8</v>
      </c>
      <c r="F925" s="11">
        <v>4735.9207999999999</v>
      </c>
    </row>
    <row r="926" spans="1:6" x14ac:dyDescent="0.2">
      <c r="A926">
        <v>925</v>
      </c>
      <c r="B926">
        <v>99</v>
      </c>
      <c r="C926" s="1">
        <v>45836</v>
      </c>
      <c r="D926">
        <v>21</v>
      </c>
      <c r="E926">
        <v>10</v>
      </c>
      <c r="F926" s="11">
        <v>1839.5820000000001</v>
      </c>
    </row>
    <row r="927" spans="1:6" x14ac:dyDescent="0.2">
      <c r="A927">
        <v>926</v>
      </c>
      <c r="B927">
        <v>62</v>
      </c>
      <c r="C927" s="1">
        <v>45531</v>
      </c>
      <c r="D927">
        <v>6</v>
      </c>
      <c r="E927">
        <v>4</v>
      </c>
      <c r="F927" s="11">
        <v>3319.6223999999997</v>
      </c>
    </row>
    <row r="928" spans="1:6" x14ac:dyDescent="0.2">
      <c r="A928">
        <v>927</v>
      </c>
      <c r="B928">
        <v>126</v>
      </c>
      <c r="C928" s="1">
        <v>45686</v>
      </c>
      <c r="D928">
        <v>2</v>
      </c>
      <c r="E928">
        <v>3</v>
      </c>
      <c r="F928" s="11">
        <v>982.83309999999994</v>
      </c>
    </row>
    <row r="929" spans="1:6" x14ac:dyDescent="0.2">
      <c r="A929">
        <v>928</v>
      </c>
      <c r="B929">
        <v>118</v>
      </c>
      <c r="C929" s="1">
        <v>45690</v>
      </c>
      <c r="D929">
        <v>18</v>
      </c>
      <c r="E929">
        <v>6</v>
      </c>
      <c r="F929" s="11">
        <v>2960.2949999999996</v>
      </c>
    </row>
    <row r="930" spans="1:6" x14ac:dyDescent="0.2">
      <c r="A930">
        <v>929</v>
      </c>
      <c r="B930">
        <v>132</v>
      </c>
      <c r="C930" s="1">
        <v>45168</v>
      </c>
      <c r="D930">
        <v>2</v>
      </c>
      <c r="E930">
        <v>4</v>
      </c>
      <c r="F930" s="11">
        <v>5268.7968000000001</v>
      </c>
    </row>
    <row r="931" spans="1:6" x14ac:dyDescent="0.2">
      <c r="A931">
        <v>930</v>
      </c>
      <c r="B931">
        <v>58</v>
      </c>
      <c r="C931" s="1">
        <v>44948</v>
      </c>
      <c r="D931">
        <v>41</v>
      </c>
      <c r="E931">
        <v>6</v>
      </c>
      <c r="F931" s="11">
        <v>1070.2651999999998</v>
      </c>
    </row>
    <row r="932" spans="1:6" x14ac:dyDescent="0.2">
      <c r="A932">
        <v>931</v>
      </c>
      <c r="B932">
        <v>141</v>
      </c>
      <c r="C932" s="1">
        <v>45203</v>
      </c>
      <c r="D932">
        <v>40</v>
      </c>
      <c r="E932">
        <v>7</v>
      </c>
      <c r="F932" s="11">
        <v>7314.6266999999989</v>
      </c>
    </row>
    <row r="933" spans="1:6" x14ac:dyDescent="0.2">
      <c r="A933">
        <v>932</v>
      </c>
      <c r="B933">
        <v>16</v>
      </c>
      <c r="C933" s="1">
        <v>44957</v>
      </c>
      <c r="D933">
        <v>39</v>
      </c>
      <c r="E933">
        <v>9</v>
      </c>
      <c r="F933" s="11">
        <v>6144.1380000000008</v>
      </c>
    </row>
    <row r="934" spans="1:6" x14ac:dyDescent="0.2">
      <c r="A934">
        <v>933</v>
      </c>
      <c r="B934">
        <v>32</v>
      </c>
      <c r="C934" s="1">
        <v>45236</v>
      </c>
      <c r="D934">
        <v>6</v>
      </c>
      <c r="E934">
        <v>8</v>
      </c>
      <c r="F934" s="11">
        <v>873.04320000000007</v>
      </c>
    </row>
    <row r="935" spans="1:6" x14ac:dyDescent="0.2">
      <c r="A935">
        <v>934</v>
      </c>
      <c r="B935">
        <v>25</v>
      </c>
      <c r="C935" s="1">
        <v>45215</v>
      </c>
      <c r="D935">
        <v>3</v>
      </c>
      <c r="E935">
        <v>4</v>
      </c>
      <c r="F935" s="11">
        <v>545.44319999999993</v>
      </c>
    </row>
    <row r="936" spans="1:6" x14ac:dyDescent="0.2">
      <c r="A936">
        <v>935</v>
      </c>
      <c r="B936">
        <v>138</v>
      </c>
      <c r="C936" s="1">
        <v>45013</v>
      </c>
      <c r="D936">
        <v>23</v>
      </c>
      <c r="E936">
        <v>2</v>
      </c>
      <c r="F936" s="11">
        <v>3029.6601999999998</v>
      </c>
    </row>
    <row r="937" spans="1:6" x14ac:dyDescent="0.2">
      <c r="A937">
        <v>936</v>
      </c>
      <c r="B937">
        <v>52</v>
      </c>
      <c r="C937" s="1">
        <v>45603</v>
      </c>
      <c r="D937">
        <v>10</v>
      </c>
      <c r="E937">
        <v>9</v>
      </c>
      <c r="F937" s="11">
        <v>4057.8538000000003</v>
      </c>
    </row>
    <row r="938" spans="1:6" x14ac:dyDescent="0.2">
      <c r="A938">
        <v>937</v>
      </c>
      <c r="B938">
        <v>107</v>
      </c>
      <c r="C938" s="1">
        <v>45289</v>
      </c>
      <c r="D938">
        <v>1</v>
      </c>
      <c r="E938">
        <v>7</v>
      </c>
      <c r="F938" s="11">
        <v>1458.1469999999999</v>
      </c>
    </row>
    <row r="939" spans="1:6" x14ac:dyDescent="0.2">
      <c r="A939">
        <v>938</v>
      </c>
      <c r="B939">
        <v>29</v>
      </c>
      <c r="C939" s="1">
        <v>44984</v>
      </c>
      <c r="D939">
        <v>1</v>
      </c>
      <c r="E939">
        <v>6</v>
      </c>
      <c r="F939" s="11">
        <v>7024.62</v>
      </c>
    </row>
    <row r="940" spans="1:6" x14ac:dyDescent="0.2">
      <c r="A940">
        <v>939</v>
      </c>
      <c r="B940">
        <v>39</v>
      </c>
      <c r="C940" s="1">
        <v>44942</v>
      </c>
      <c r="D940">
        <v>22</v>
      </c>
      <c r="E940">
        <v>8</v>
      </c>
      <c r="F940" s="11">
        <v>2950.9736000000003</v>
      </c>
    </row>
    <row r="941" spans="1:6" x14ac:dyDescent="0.2">
      <c r="A941">
        <v>940</v>
      </c>
      <c r="B941">
        <v>28</v>
      </c>
      <c r="C941" s="1">
        <v>45151</v>
      </c>
      <c r="D941">
        <v>8</v>
      </c>
      <c r="E941">
        <v>2</v>
      </c>
      <c r="F941" s="11">
        <v>5602.2875999999997</v>
      </c>
    </row>
    <row r="942" spans="1:6" x14ac:dyDescent="0.2">
      <c r="A942">
        <v>941</v>
      </c>
      <c r="B942">
        <v>72</v>
      </c>
      <c r="C942" s="1">
        <v>45347</v>
      </c>
      <c r="D942">
        <v>2</v>
      </c>
      <c r="E942">
        <v>3</v>
      </c>
      <c r="F942" s="11">
        <v>5627.3579999999993</v>
      </c>
    </row>
    <row r="943" spans="1:6" x14ac:dyDescent="0.2">
      <c r="A943">
        <v>942</v>
      </c>
      <c r="B943">
        <v>34</v>
      </c>
      <c r="C943" s="1">
        <v>45517</v>
      </c>
      <c r="D943">
        <v>45</v>
      </c>
      <c r="E943">
        <v>2</v>
      </c>
      <c r="F943" s="11">
        <v>1277.3222000000001</v>
      </c>
    </row>
    <row r="944" spans="1:6" x14ac:dyDescent="0.2">
      <c r="A944">
        <v>943</v>
      </c>
      <c r="B944">
        <v>93</v>
      </c>
      <c r="C944" s="1">
        <v>45174</v>
      </c>
      <c r="D944">
        <v>25</v>
      </c>
      <c r="E944">
        <v>4</v>
      </c>
      <c r="F944" s="11">
        <v>7356.0671999999995</v>
      </c>
    </row>
    <row r="945" spans="1:6" x14ac:dyDescent="0.2">
      <c r="A945">
        <v>944</v>
      </c>
      <c r="B945">
        <v>108</v>
      </c>
      <c r="C945" s="1">
        <v>44947</v>
      </c>
      <c r="D945">
        <v>41</v>
      </c>
      <c r="E945">
        <v>4</v>
      </c>
      <c r="F945" s="11">
        <v>806.91839999999991</v>
      </c>
    </row>
    <row r="946" spans="1:6" x14ac:dyDescent="0.2">
      <c r="A946">
        <v>945</v>
      </c>
      <c r="B946">
        <v>93</v>
      </c>
      <c r="C946" s="1">
        <v>45485</v>
      </c>
      <c r="D946">
        <v>3</v>
      </c>
      <c r="E946">
        <v>6</v>
      </c>
      <c r="F946" s="11">
        <v>7202.8157999999994</v>
      </c>
    </row>
    <row r="947" spans="1:6" x14ac:dyDescent="0.2">
      <c r="A947">
        <v>946</v>
      </c>
      <c r="B947">
        <v>32</v>
      </c>
      <c r="C947" s="1">
        <v>45248</v>
      </c>
      <c r="D947">
        <v>43</v>
      </c>
      <c r="E947">
        <v>2</v>
      </c>
      <c r="F947" s="11">
        <v>929.98080000000004</v>
      </c>
    </row>
    <row r="948" spans="1:6" x14ac:dyDescent="0.2">
      <c r="A948">
        <v>947</v>
      </c>
      <c r="B948">
        <v>99</v>
      </c>
      <c r="C948" s="1">
        <v>45599</v>
      </c>
      <c r="D948">
        <v>7</v>
      </c>
      <c r="E948">
        <v>9</v>
      </c>
      <c r="F948" s="11">
        <v>1860.0218</v>
      </c>
    </row>
    <row r="949" spans="1:6" x14ac:dyDescent="0.2">
      <c r="A949">
        <v>948</v>
      </c>
      <c r="B949">
        <v>22</v>
      </c>
      <c r="C949" s="1">
        <v>45234</v>
      </c>
      <c r="D949">
        <v>35</v>
      </c>
      <c r="E949">
        <v>6</v>
      </c>
      <c r="F949" s="11">
        <v>1536.4299999999998</v>
      </c>
    </row>
    <row r="950" spans="1:6" x14ac:dyDescent="0.2">
      <c r="A950">
        <v>949</v>
      </c>
      <c r="B950">
        <v>17</v>
      </c>
      <c r="C950" s="1">
        <v>45176</v>
      </c>
      <c r="D950">
        <v>5</v>
      </c>
      <c r="E950">
        <v>2</v>
      </c>
      <c r="F950" s="11">
        <v>2919.5866000000001</v>
      </c>
    </row>
    <row r="951" spans="1:6" x14ac:dyDescent="0.2">
      <c r="A951">
        <v>950</v>
      </c>
      <c r="B951">
        <v>25</v>
      </c>
      <c r="C951" s="1">
        <v>45200</v>
      </c>
      <c r="D951">
        <v>47</v>
      </c>
      <c r="E951">
        <v>6</v>
      </c>
      <c r="F951" s="11">
        <v>534.07979999999998</v>
      </c>
    </row>
    <row r="952" spans="1:6" x14ac:dyDescent="0.2">
      <c r="A952">
        <v>951</v>
      </c>
      <c r="B952">
        <v>21</v>
      </c>
      <c r="C952" s="1">
        <v>45707</v>
      </c>
      <c r="D952">
        <v>14</v>
      </c>
      <c r="E952">
        <v>2</v>
      </c>
      <c r="F952" s="11">
        <v>2821.7139999999999</v>
      </c>
    </row>
    <row r="953" spans="1:6" x14ac:dyDescent="0.2">
      <c r="A953">
        <v>952</v>
      </c>
      <c r="B953">
        <v>9</v>
      </c>
      <c r="C953" s="1">
        <v>45208</v>
      </c>
      <c r="D953">
        <v>7</v>
      </c>
      <c r="E953">
        <v>6</v>
      </c>
      <c r="F953" s="11">
        <v>2692.0189999999998</v>
      </c>
    </row>
    <row r="954" spans="1:6" x14ac:dyDescent="0.2">
      <c r="A954">
        <v>953</v>
      </c>
      <c r="B954">
        <v>76</v>
      </c>
      <c r="C954" s="1">
        <v>45574</v>
      </c>
      <c r="D954">
        <v>42</v>
      </c>
      <c r="E954">
        <v>8</v>
      </c>
      <c r="F954" s="11">
        <v>2820.3244000000004</v>
      </c>
    </row>
    <row r="955" spans="1:6" x14ac:dyDescent="0.2">
      <c r="A955">
        <v>954</v>
      </c>
      <c r="B955">
        <v>113</v>
      </c>
      <c r="C955" s="1">
        <v>45737</v>
      </c>
      <c r="D955">
        <v>10</v>
      </c>
      <c r="E955">
        <v>5</v>
      </c>
      <c r="F955" s="11">
        <v>4587.7019999999993</v>
      </c>
    </row>
    <row r="956" spans="1:6" x14ac:dyDescent="0.2">
      <c r="A956">
        <v>955</v>
      </c>
      <c r="B956">
        <v>9</v>
      </c>
      <c r="C956" s="1">
        <v>45960</v>
      </c>
      <c r="D956">
        <v>9</v>
      </c>
      <c r="E956">
        <v>6</v>
      </c>
      <c r="F956" s="11">
        <v>2692.0189999999998</v>
      </c>
    </row>
    <row r="957" spans="1:6" x14ac:dyDescent="0.2">
      <c r="A957">
        <v>956</v>
      </c>
      <c r="B957">
        <v>101</v>
      </c>
      <c r="C957" s="1">
        <v>45390</v>
      </c>
      <c r="D957">
        <v>50</v>
      </c>
      <c r="E957">
        <v>9</v>
      </c>
      <c r="F957" s="11">
        <v>4295.4638999999997</v>
      </c>
    </row>
    <row r="958" spans="1:6" x14ac:dyDescent="0.2">
      <c r="A958">
        <v>957</v>
      </c>
      <c r="B958">
        <v>108</v>
      </c>
      <c r="C958" s="1">
        <v>45305</v>
      </c>
      <c r="D958">
        <v>27</v>
      </c>
      <c r="E958">
        <v>4</v>
      </c>
      <c r="F958" s="11">
        <v>806.91839999999991</v>
      </c>
    </row>
    <row r="959" spans="1:6" x14ac:dyDescent="0.2">
      <c r="A959">
        <v>958</v>
      </c>
      <c r="B959">
        <v>116</v>
      </c>
      <c r="C959" s="1">
        <v>46013</v>
      </c>
      <c r="D959">
        <v>11</v>
      </c>
      <c r="E959">
        <v>3</v>
      </c>
      <c r="F959" s="11">
        <v>2292.2555000000002</v>
      </c>
    </row>
    <row r="960" spans="1:6" x14ac:dyDescent="0.2">
      <c r="A960">
        <v>959</v>
      </c>
      <c r="B960">
        <v>123</v>
      </c>
      <c r="C960" s="1">
        <v>45253</v>
      </c>
      <c r="D960">
        <v>35</v>
      </c>
      <c r="E960">
        <v>2</v>
      </c>
      <c r="F960" s="11">
        <v>4535.0675999999994</v>
      </c>
    </row>
    <row r="961" spans="1:6" x14ac:dyDescent="0.2">
      <c r="A961">
        <v>960</v>
      </c>
      <c r="B961">
        <v>105</v>
      </c>
      <c r="C961" s="1">
        <v>45655</v>
      </c>
      <c r="D961">
        <v>16</v>
      </c>
      <c r="E961">
        <v>3</v>
      </c>
      <c r="F961" s="11">
        <v>4018.7875999999997</v>
      </c>
    </row>
    <row r="962" spans="1:6" x14ac:dyDescent="0.2">
      <c r="A962">
        <v>961</v>
      </c>
      <c r="B962">
        <v>43</v>
      </c>
      <c r="C962" s="1">
        <v>45663</v>
      </c>
      <c r="D962">
        <v>9</v>
      </c>
      <c r="E962">
        <v>9</v>
      </c>
      <c r="F962" s="11">
        <v>2934.7318</v>
      </c>
    </row>
    <row r="963" spans="1:6" x14ac:dyDescent="0.2">
      <c r="A963">
        <v>962</v>
      </c>
      <c r="B963">
        <v>36</v>
      </c>
      <c r="C963" s="1">
        <v>45734</v>
      </c>
      <c r="D963">
        <v>9</v>
      </c>
      <c r="E963">
        <v>6</v>
      </c>
      <c r="F963" s="11">
        <v>138.55600000000001</v>
      </c>
    </row>
    <row r="964" spans="1:6" x14ac:dyDescent="0.2">
      <c r="A964">
        <v>963</v>
      </c>
      <c r="B964">
        <v>106</v>
      </c>
      <c r="C964" s="1">
        <v>45197</v>
      </c>
      <c r="D964">
        <v>22</v>
      </c>
      <c r="E964">
        <v>10</v>
      </c>
      <c r="F964" s="11">
        <v>1290.627</v>
      </c>
    </row>
    <row r="965" spans="1:6" x14ac:dyDescent="0.2">
      <c r="A965">
        <v>964</v>
      </c>
      <c r="B965">
        <v>55</v>
      </c>
      <c r="C965" s="1">
        <v>45611</v>
      </c>
      <c r="D965">
        <v>27</v>
      </c>
      <c r="E965">
        <v>4</v>
      </c>
      <c r="F965" s="11">
        <v>925.71839999999997</v>
      </c>
    </row>
    <row r="966" spans="1:6" x14ac:dyDescent="0.2">
      <c r="A966">
        <v>965</v>
      </c>
      <c r="B966">
        <v>97</v>
      </c>
      <c r="C966" s="1">
        <v>45038</v>
      </c>
      <c r="D966">
        <v>39</v>
      </c>
      <c r="E966">
        <v>5</v>
      </c>
      <c r="F966" s="11">
        <v>875.55799999999999</v>
      </c>
    </row>
    <row r="967" spans="1:6" x14ac:dyDescent="0.2">
      <c r="A967">
        <v>966</v>
      </c>
      <c r="B967">
        <v>21</v>
      </c>
      <c r="C967" s="1">
        <v>45344</v>
      </c>
      <c r="D967">
        <v>10</v>
      </c>
      <c r="E967">
        <v>5</v>
      </c>
      <c r="F967" s="11">
        <v>2735.335</v>
      </c>
    </row>
    <row r="968" spans="1:6" x14ac:dyDescent="0.2">
      <c r="A968">
        <v>967</v>
      </c>
      <c r="B968">
        <v>85</v>
      </c>
      <c r="C968" s="1">
        <v>45686</v>
      </c>
      <c r="D968">
        <v>8</v>
      </c>
      <c r="E968">
        <v>6</v>
      </c>
      <c r="F968" s="11">
        <v>3527.8481999999999</v>
      </c>
    </row>
    <row r="969" spans="1:6" x14ac:dyDescent="0.2">
      <c r="A969">
        <v>968</v>
      </c>
      <c r="B969">
        <v>89</v>
      </c>
      <c r="C969" s="1">
        <v>45907</v>
      </c>
      <c r="D969">
        <v>39</v>
      </c>
      <c r="E969">
        <v>10</v>
      </c>
      <c r="F969" s="11">
        <v>907.53300000000002</v>
      </c>
    </row>
    <row r="970" spans="1:6" x14ac:dyDescent="0.2">
      <c r="A970">
        <v>969</v>
      </c>
      <c r="B970">
        <v>149</v>
      </c>
      <c r="C970" s="1">
        <v>45768</v>
      </c>
      <c r="D970">
        <v>33</v>
      </c>
      <c r="E970">
        <v>4</v>
      </c>
      <c r="F970" s="11">
        <v>5882.6687999999995</v>
      </c>
    </row>
    <row r="971" spans="1:6" x14ac:dyDescent="0.2">
      <c r="A971">
        <v>970</v>
      </c>
      <c r="B971">
        <v>120</v>
      </c>
      <c r="C971" s="1">
        <v>45565</v>
      </c>
      <c r="D971">
        <v>22</v>
      </c>
      <c r="E971">
        <v>6</v>
      </c>
      <c r="F971" s="11">
        <v>1858.0039999999999</v>
      </c>
    </row>
    <row r="972" spans="1:6" x14ac:dyDescent="0.2">
      <c r="A972">
        <v>971</v>
      </c>
      <c r="B972">
        <v>21</v>
      </c>
      <c r="C972" s="1">
        <v>45670</v>
      </c>
      <c r="D972">
        <v>1</v>
      </c>
      <c r="E972">
        <v>7</v>
      </c>
      <c r="F972" s="11">
        <v>2677.7489999999998</v>
      </c>
    </row>
    <row r="973" spans="1:6" x14ac:dyDescent="0.2">
      <c r="A973">
        <v>972</v>
      </c>
      <c r="B973">
        <v>102</v>
      </c>
      <c r="C973" s="1">
        <v>45271</v>
      </c>
      <c r="D973">
        <v>25</v>
      </c>
      <c r="E973">
        <v>7</v>
      </c>
      <c r="F973" s="11">
        <v>3853.8641999999995</v>
      </c>
    </row>
    <row r="974" spans="1:6" x14ac:dyDescent="0.2">
      <c r="A974">
        <v>973</v>
      </c>
      <c r="B974">
        <v>11</v>
      </c>
      <c r="C974" s="1">
        <v>45586</v>
      </c>
      <c r="D974">
        <v>21</v>
      </c>
      <c r="E974">
        <v>2</v>
      </c>
      <c r="F974" s="11">
        <v>3136.1959999999999</v>
      </c>
    </row>
    <row r="975" spans="1:6" x14ac:dyDescent="0.2">
      <c r="A975">
        <v>974</v>
      </c>
      <c r="B975">
        <v>150</v>
      </c>
      <c r="C975" s="1">
        <v>45875</v>
      </c>
      <c r="D975">
        <v>28</v>
      </c>
      <c r="E975">
        <v>7</v>
      </c>
      <c r="F975" s="11">
        <v>2129.4395999999997</v>
      </c>
    </row>
    <row r="976" spans="1:6" x14ac:dyDescent="0.2">
      <c r="A976">
        <v>975</v>
      </c>
      <c r="B976">
        <v>1</v>
      </c>
      <c r="C976" s="1">
        <v>45460</v>
      </c>
      <c r="D976">
        <v>20</v>
      </c>
      <c r="E976">
        <v>4</v>
      </c>
      <c r="F976" s="11">
        <v>1834.5119999999999</v>
      </c>
    </row>
    <row r="977" spans="1:6" x14ac:dyDescent="0.2">
      <c r="A977">
        <v>976</v>
      </c>
      <c r="B977">
        <v>34</v>
      </c>
      <c r="C977" s="1">
        <v>45708</v>
      </c>
      <c r="D977">
        <v>41</v>
      </c>
      <c r="E977">
        <v>7</v>
      </c>
      <c r="F977" s="11">
        <v>1212.1527000000001</v>
      </c>
    </row>
    <row r="978" spans="1:6" x14ac:dyDescent="0.2">
      <c r="A978">
        <v>977</v>
      </c>
      <c r="B978">
        <v>136</v>
      </c>
      <c r="C978" s="1">
        <v>45646</v>
      </c>
      <c r="D978">
        <v>30</v>
      </c>
      <c r="E978">
        <v>7</v>
      </c>
      <c r="F978" s="11">
        <v>4795.4240999999993</v>
      </c>
    </row>
    <row r="979" spans="1:6" x14ac:dyDescent="0.2">
      <c r="A979">
        <v>978</v>
      </c>
      <c r="B979">
        <v>80</v>
      </c>
      <c r="C979" s="1">
        <v>45187</v>
      </c>
      <c r="D979">
        <v>17</v>
      </c>
      <c r="E979">
        <v>5</v>
      </c>
      <c r="F979" s="11">
        <v>949.11649999999997</v>
      </c>
    </row>
    <row r="980" spans="1:6" x14ac:dyDescent="0.2">
      <c r="A980">
        <v>979</v>
      </c>
      <c r="B980">
        <v>35</v>
      </c>
      <c r="C980" s="1">
        <v>45000</v>
      </c>
      <c r="D980">
        <v>25</v>
      </c>
      <c r="E980">
        <v>6</v>
      </c>
      <c r="F980" s="11">
        <v>127.07859999999999</v>
      </c>
    </row>
    <row r="981" spans="1:6" x14ac:dyDescent="0.2">
      <c r="A981">
        <v>980</v>
      </c>
      <c r="B981">
        <v>1</v>
      </c>
      <c r="C981" s="1">
        <v>45258</v>
      </c>
      <c r="D981">
        <v>16</v>
      </c>
      <c r="E981">
        <v>3</v>
      </c>
      <c r="F981" s="11">
        <v>1853.6215</v>
      </c>
    </row>
    <row r="982" spans="1:6" x14ac:dyDescent="0.2">
      <c r="A982">
        <v>981</v>
      </c>
      <c r="B982">
        <v>142</v>
      </c>
      <c r="C982" s="1">
        <v>45439</v>
      </c>
      <c r="D982">
        <v>24</v>
      </c>
      <c r="E982">
        <v>8</v>
      </c>
      <c r="F982" s="11">
        <v>2743.7528000000002</v>
      </c>
    </row>
    <row r="983" spans="1:6" x14ac:dyDescent="0.2">
      <c r="A983">
        <v>982</v>
      </c>
      <c r="B983">
        <v>61</v>
      </c>
      <c r="C983" s="1">
        <v>45078</v>
      </c>
      <c r="D983">
        <v>41</v>
      </c>
      <c r="E983">
        <v>9</v>
      </c>
      <c r="F983" s="11">
        <v>2222.4384</v>
      </c>
    </row>
    <row r="984" spans="1:6" x14ac:dyDescent="0.2">
      <c r="A984">
        <v>983</v>
      </c>
      <c r="B984">
        <v>98</v>
      </c>
      <c r="C984" s="1">
        <v>45624</v>
      </c>
      <c r="D984">
        <v>48</v>
      </c>
      <c r="E984">
        <v>3</v>
      </c>
      <c r="F984" s="11">
        <v>7573.4495999999999</v>
      </c>
    </row>
    <row r="985" spans="1:6" x14ac:dyDescent="0.2">
      <c r="A985">
        <v>984</v>
      </c>
      <c r="B985">
        <v>89</v>
      </c>
      <c r="C985" s="1">
        <v>45298</v>
      </c>
      <c r="D985">
        <v>49</v>
      </c>
      <c r="E985">
        <v>8</v>
      </c>
      <c r="F985" s="11">
        <v>927.70040000000006</v>
      </c>
    </row>
    <row r="986" spans="1:6" x14ac:dyDescent="0.2">
      <c r="A986">
        <v>985</v>
      </c>
      <c r="B986">
        <v>80</v>
      </c>
      <c r="C986" s="1">
        <v>45758</v>
      </c>
      <c r="D986">
        <v>36</v>
      </c>
      <c r="E986">
        <v>6</v>
      </c>
      <c r="F986" s="11">
        <v>939.12580000000003</v>
      </c>
    </row>
    <row r="987" spans="1:6" x14ac:dyDescent="0.2">
      <c r="A987">
        <v>986</v>
      </c>
      <c r="B987">
        <v>147</v>
      </c>
      <c r="C987" s="1">
        <v>45102</v>
      </c>
      <c r="D987">
        <v>5</v>
      </c>
      <c r="E987">
        <v>4</v>
      </c>
      <c r="F987" s="11">
        <v>4400.9471999999996</v>
      </c>
    </row>
    <row r="988" spans="1:6" x14ac:dyDescent="0.2">
      <c r="A988">
        <v>987</v>
      </c>
      <c r="B988">
        <v>127</v>
      </c>
      <c r="C988" s="1">
        <v>45403</v>
      </c>
      <c r="D988">
        <v>38</v>
      </c>
      <c r="E988">
        <v>6</v>
      </c>
      <c r="F988" s="11">
        <v>5161.1264000000001</v>
      </c>
    </row>
    <row r="989" spans="1:6" x14ac:dyDescent="0.2">
      <c r="A989">
        <v>988</v>
      </c>
      <c r="B989">
        <v>114</v>
      </c>
      <c r="C989" s="1">
        <v>45296</v>
      </c>
      <c r="D989">
        <v>19</v>
      </c>
      <c r="E989">
        <v>4</v>
      </c>
      <c r="F989" s="11">
        <v>7338.6335999999992</v>
      </c>
    </row>
    <row r="990" spans="1:6" x14ac:dyDescent="0.2">
      <c r="A990">
        <v>989</v>
      </c>
      <c r="B990">
        <v>91</v>
      </c>
      <c r="C990" s="1">
        <v>45915</v>
      </c>
      <c r="D990">
        <v>33</v>
      </c>
      <c r="E990">
        <v>7</v>
      </c>
      <c r="F990" s="11">
        <v>2941.5899999999997</v>
      </c>
    </row>
    <row r="991" spans="1:6" x14ac:dyDescent="0.2">
      <c r="A991">
        <v>990</v>
      </c>
      <c r="B991">
        <v>57</v>
      </c>
      <c r="C991" s="1">
        <v>45971</v>
      </c>
      <c r="D991">
        <v>9</v>
      </c>
      <c r="E991">
        <v>2</v>
      </c>
      <c r="F991" s="11">
        <v>6675.5150000000003</v>
      </c>
    </row>
    <row r="992" spans="1:6" x14ac:dyDescent="0.2">
      <c r="A992">
        <v>991</v>
      </c>
      <c r="B992">
        <v>135</v>
      </c>
      <c r="C992" s="1">
        <v>45723</v>
      </c>
      <c r="D992">
        <v>6</v>
      </c>
      <c r="E992">
        <v>4</v>
      </c>
      <c r="F992" s="11">
        <v>7468.5216</v>
      </c>
    </row>
    <row r="993" spans="1:6" x14ac:dyDescent="0.2">
      <c r="A993">
        <v>992</v>
      </c>
      <c r="B993">
        <v>28</v>
      </c>
      <c r="C993" s="1">
        <v>45856</v>
      </c>
      <c r="D993">
        <v>35</v>
      </c>
      <c r="E993">
        <v>6</v>
      </c>
      <c r="F993" s="11">
        <v>5373.6227999999992</v>
      </c>
    </row>
    <row r="994" spans="1:6" x14ac:dyDescent="0.2">
      <c r="A994">
        <v>993</v>
      </c>
      <c r="B994">
        <v>134</v>
      </c>
      <c r="C994" s="1">
        <v>45669</v>
      </c>
      <c r="D994">
        <v>10</v>
      </c>
      <c r="E994">
        <v>9</v>
      </c>
      <c r="F994" s="11">
        <v>611.7111000000001</v>
      </c>
    </row>
    <row r="995" spans="1:6" x14ac:dyDescent="0.2">
      <c r="A995">
        <v>994</v>
      </c>
      <c r="B995">
        <v>94</v>
      </c>
      <c r="C995" s="1">
        <v>45039</v>
      </c>
      <c r="D995">
        <v>8</v>
      </c>
      <c r="E995">
        <v>4</v>
      </c>
      <c r="F995" s="11">
        <v>4466.6687999999995</v>
      </c>
    </row>
    <row r="996" spans="1:6" x14ac:dyDescent="0.2">
      <c r="A996">
        <v>995</v>
      </c>
      <c r="B996">
        <v>91</v>
      </c>
      <c r="C996" s="1">
        <v>45975</v>
      </c>
      <c r="D996">
        <v>1</v>
      </c>
      <c r="E996">
        <v>3</v>
      </c>
      <c r="F996" s="11">
        <v>3068.11</v>
      </c>
    </row>
    <row r="997" spans="1:6" x14ac:dyDescent="0.2">
      <c r="A997">
        <v>996</v>
      </c>
      <c r="B997">
        <v>88</v>
      </c>
      <c r="C997" s="1">
        <v>45680</v>
      </c>
      <c r="D997">
        <v>4</v>
      </c>
      <c r="E997">
        <v>5</v>
      </c>
      <c r="F997" s="11">
        <v>5924.5135</v>
      </c>
    </row>
    <row r="998" spans="1:6" x14ac:dyDescent="0.2">
      <c r="A998">
        <v>997</v>
      </c>
      <c r="B998">
        <v>40</v>
      </c>
      <c r="C998" s="1">
        <v>45230</v>
      </c>
      <c r="D998">
        <v>36</v>
      </c>
      <c r="E998">
        <v>7</v>
      </c>
      <c r="F998" s="11">
        <v>457.81109999999995</v>
      </c>
    </row>
    <row r="999" spans="1:6" x14ac:dyDescent="0.2">
      <c r="A999">
        <v>998</v>
      </c>
      <c r="B999">
        <v>34</v>
      </c>
      <c r="C999" s="1">
        <v>45615</v>
      </c>
      <c r="D999">
        <v>35</v>
      </c>
      <c r="E999">
        <v>7</v>
      </c>
      <c r="F999" s="11">
        <v>1212.1527000000001</v>
      </c>
    </row>
    <row r="1000" spans="1:6" x14ac:dyDescent="0.2">
      <c r="A1000">
        <v>999</v>
      </c>
      <c r="B1000">
        <v>65</v>
      </c>
      <c r="C1000" s="1">
        <v>44983</v>
      </c>
      <c r="D1000">
        <v>43</v>
      </c>
      <c r="E1000">
        <v>6</v>
      </c>
      <c r="F1000" s="11">
        <v>4240.6783999999998</v>
      </c>
    </row>
    <row r="1001" spans="1:6" x14ac:dyDescent="0.2">
      <c r="A1001">
        <v>1000</v>
      </c>
      <c r="B1001">
        <v>134</v>
      </c>
      <c r="C1001" s="1">
        <v>45675</v>
      </c>
      <c r="D1001">
        <v>17</v>
      </c>
      <c r="E1001">
        <v>5</v>
      </c>
      <c r="F1001" s="11">
        <v>638.59950000000003</v>
      </c>
    </row>
  </sheetData>
  <sheetProtection algorithmName="SHA-512" hashValue="X8s6GX7W8Mt3bSYp4yIafaZutKIeCwE6lZFIGa5pgO4PzT3AANF0+hdEZpFGaqx0HQsCXfY4cUZA9aW3mtHT5g==" saltValue="ypALpD7mIueDgAUErwBPJw==" spinCount="100000" sheet="1" objects="1" scenarios="1"/>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8"/>
  <sheetViews>
    <sheetView workbookViewId="0">
      <selection activeCell="P35" sqref="P35"/>
    </sheetView>
  </sheetViews>
  <sheetFormatPr defaultRowHeight="12.75" x14ac:dyDescent="0.2"/>
  <cols>
    <col min="1" max="1" width="10.85546875" customWidth="1"/>
    <col min="2" max="2" width="12.7109375" customWidth="1"/>
    <col min="3" max="3" width="19" customWidth="1"/>
    <col min="4" max="4" width="18.42578125" customWidth="1"/>
    <col min="6" max="6" width="13.85546875" bestFit="1" customWidth="1"/>
    <col min="7" max="7" width="11.5703125" customWidth="1"/>
  </cols>
  <sheetData>
    <row r="1" spans="1:7" x14ac:dyDescent="0.2">
      <c r="A1" t="s">
        <v>171</v>
      </c>
      <c r="B1" t="s">
        <v>0</v>
      </c>
      <c r="C1" t="s">
        <v>172</v>
      </c>
      <c r="D1" t="s">
        <v>173</v>
      </c>
    </row>
    <row r="2" spans="1:7" x14ac:dyDescent="0.2">
      <c r="A2">
        <v>1</v>
      </c>
      <c r="B2">
        <v>1</v>
      </c>
      <c r="C2" t="s">
        <v>174</v>
      </c>
      <c r="D2">
        <v>4898.2</v>
      </c>
    </row>
    <row r="3" spans="1:7" x14ac:dyDescent="0.2">
      <c r="A3">
        <v>2</v>
      </c>
      <c r="B3">
        <v>1</v>
      </c>
      <c r="C3" t="s">
        <v>175</v>
      </c>
      <c r="D3">
        <v>5017.28</v>
      </c>
      <c r="F3" s="8"/>
      <c r="G3" s="9"/>
    </row>
    <row r="4" spans="1:7" x14ac:dyDescent="0.2">
      <c r="A4">
        <v>3</v>
      </c>
      <c r="B4">
        <v>1</v>
      </c>
      <c r="C4" t="s">
        <v>176</v>
      </c>
      <c r="D4">
        <v>4473.76</v>
      </c>
      <c r="F4" s="8"/>
      <c r="G4" s="9"/>
    </row>
    <row r="5" spans="1:7" x14ac:dyDescent="0.2">
      <c r="A5">
        <v>4</v>
      </c>
      <c r="B5">
        <v>1</v>
      </c>
      <c r="C5" t="s">
        <v>177</v>
      </c>
      <c r="D5">
        <v>4954.6499999999996</v>
      </c>
      <c r="F5" s="8"/>
      <c r="G5" s="9"/>
    </row>
    <row r="6" spans="1:7" x14ac:dyDescent="0.2">
      <c r="A6">
        <v>5</v>
      </c>
      <c r="B6">
        <v>1</v>
      </c>
      <c r="C6" t="s">
        <v>178</v>
      </c>
      <c r="D6">
        <v>4166.8599999999997</v>
      </c>
      <c r="F6" s="8"/>
      <c r="G6" s="9"/>
    </row>
    <row r="7" spans="1:7" x14ac:dyDescent="0.2">
      <c r="A7">
        <v>6</v>
      </c>
      <c r="B7">
        <v>1</v>
      </c>
      <c r="C7" t="s">
        <v>179</v>
      </c>
      <c r="D7">
        <v>5199.3</v>
      </c>
      <c r="F7" s="8"/>
      <c r="G7" s="9"/>
    </row>
    <row r="8" spans="1:7" x14ac:dyDescent="0.2">
      <c r="A8">
        <v>7</v>
      </c>
      <c r="B8">
        <v>2</v>
      </c>
      <c r="C8" t="s">
        <v>180</v>
      </c>
      <c r="D8">
        <v>2175.4699999999998</v>
      </c>
      <c r="F8" s="8"/>
      <c r="G8" s="9"/>
    </row>
    <row r="9" spans="1:7" x14ac:dyDescent="0.2">
      <c r="A9">
        <v>8</v>
      </c>
      <c r="B9">
        <v>2</v>
      </c>
      <c r="C9" t="s">
        <v>181</v>
      </c>
      <c r="D9">
        <v>1404.32</v>
      </c>
      <c r="F9" s="8"/>
      <c r="G9" s="9"/>
    </row>
    <row r="10" spans="1:7" x14ac:dyDescent="0.2">
      <c r="A10">
        <v>9</v>
      </c>
      <c r="B10">
        <v>2</v>
      </c>
      <c r="C10" t="s">
        <v>174</v>
      </c>
      <c r="D10">
        <v>1992.05</v>
      </c>
      <c r="F10" s="8"/>
      <c r="G10" s="9"/>
    </row>
    <row r="11" spans="1:7" x14ac:dyDescent="0.2">
      <c r="A11">
        <v>10</v>
      </c>
      <c r="B11">
        <v>2</v>
      </c>
      <c r="C11" t="s">
        <v>176</v>
      </c>
      <c r="D11">
        <v>1835.16</v>
      </c>
      <c r="F11" s="8"/>
      <c r="G11" s="9"/>
    </row>
    <row r="12" spans="1:7" x14ac:dyDescent="0.2">
      <c r="A12">
        <v>11</v>
      </c>
      <c r="B12">
        <v>2</v>
      </c>
      <c r="C12" t="s">
        <v>182</v>
      </c>
      <c r="D12">
        <v>1629.5</v>
      </c>
      <c r="F12" s="8"/>
      <c r="G12" s="9"/>
    </row>
    <row r="13" spans="1:7" x14ac:dyDescent="0.2">
      <c r="A13">
        <v>12</v>
      </c>
      <c r="B13">
        <v>3</v>
      </c>
      <c r="C13" t="s">
        <v>174</v>
      </c>
      <c r="D13">
        <v>6458.12</v>
      </c>
      <c r="F13" s="8"/>
      <c r="G13" s="9"/>
    </row>
    <row r="14" spans="1:7" x14ac:dyDescent="0.2">
      <c r="A14">
        <v>13</v>
      </c>
      <c r="B14">
        <v>3</v>
      </c>
      <c r="C14" t="s">
        <v>181</v>
      </c>
      <c r="D14">
        <v>7065.04</v>
      </c>
      <c r="F14" s="8"/>
      <c r="G14" s="9"/>
    </row>
    <row r="15" spans="1:7" x14ac:dyDescent="0.2">
      <c r="A15">
        <v>14</v>
      </c>
      <c r="B15">
        <v>3</v>
      </c>
      <c r="C15" t="s">
        <v>180</v>
      </c>
      <c r="D15">
        <v>7516.06</v>
      </c>
      <c r="F15" s="8"/>
      <c r="G15" s="9"/>
    </row>
    <row r="16" spans="1:7" x14ac:dyDescent="0.2">
      <c r="A16">
        <v>15</v>
      </c>
      <c r="B16">
        <v>3</v>
      </c>
      <c r="C16" t="s">
        <v>176</v>
      </c>
      <c r="D16">
        <v>7158.46</v>
      </c>
      <c r="F16" s="8"/>
      <c r="G16" s="9"/>
    </row>
    <row r="17" spans="1:7" x14ac:dyDescent="0.2">
      <c r="A17">
        <v>16</v>
      </c>
      <c r="B17">
        <v>4</v>
      </c>
      <c r="C17" t="s">
        <v>179</v>
      </c>
      <c r="D17">
        <v>2915.17</v>
      </c>
      <c r="F17" s="8"/>
      <c r="G17" s="9"/>
    </row>
    <row r="18" spans="1:7" x14ac:dyDescent="0.2">
      <c r="A18">
        <v>17</v>
      </c>
      <c r="B18">
        <v>4</v>
      </c>
      <c r="C18" t="s">
        <v>178</v>
      </c>
      <c r="D18">
        <v>3595.53</v>
      </c>
      <c r="F18" s="8"/>
      <c r="G18" s="9"/>
    </row>
    <row r="19" spans="1:7" x14ac:dyDescent="0.2">
      <c r="A19">
        <v>18</v>
      </c>
      <c r="B19">
        <v>4</v>
      </c>
      <c r="C19" t="s">
        <v>176</v>
      </c>
      <c r="D19">
        <v>4200.04</v>
      </c>
      <c r="F19" s="8"/>
      <c r="G19" s="9"/>
    </row>
    <row r="20" spans="1:7" x14ac:dyDescent="0.2">
      <c r="A20">
        <v>19</v>
      </c>
      <c r="B20">
        <v>5</v>
      </c>
      <c r="C20" t="s">
        <v>180</v>
      </c>
      <c r="D20">
        <v>5610.25</v>
      </c>
      <c r="F20" s="8"/>
      <c r="G20" s="9"/>
    </row>
    <row r="21" spans="1:7" x14ac:dyDescent="0.2">
      <c r="A21">
        <v>20</v>
      </c>
      <c r="B21">
        <v>5</v>
      </c>
      <c r="C21" t="s">
        <v>178</v>
      </c>
      <c r="D21">
        <v>8477.34</v>
      </c>
      <c r="F21" s="8"/>
      <c r="G21" s="9"/>
    </row>
    <row r="22" spans="1:7" x14ac:dyDescent="0.2">
      <c r="A22">
        <v>21</v>
      </c>
      <c r="B22">
        <v>5</v>
      </c>
      <c r="C22" t="s">
        <v>182</v>
      </c>
      <c r="D22">
        <v>7334.5</v>
      </c>
      <c r="F22" s="8"/>
      <c r="G22" s="9"/>
    </row>
    <row r="23" spans="1:7" x14ac:dyDescent="0.2">
      <c r="A23">
        <v>22</v>
      </c>
      <c r="B23">
        <v>5</v>
      </c>
      <c r="C23" t="s">
        <v>183</v>
      </c>
      <c r="D23">
        <v>6843.44</v>
      </c>
      <c r="F23" s="8"/>
      <c r="G23" s="9"/>
    </row>
    <row r="24" spans="1:7" x14ac:dyDescent="0.2">
      <c r="A24">
        <v>23</v>
      </c>
      <c r="B24">
        <v>5</v>
      </c>
      <c r="C24" t="s">
        <v>174</v>
      </c>
      <c r="D24">
        <v>8040.29</v>
      </c>
      <c r="F24" s="8"/>
      <c r="G24" s="9"/>
    </row>
    <row r="25" spans="1:7" x14ac:dyDescent="0.2">
      <c r="A25">
        <v>24</v>
      </c>
      <c r="B25">
        <v>5</v>
      </c>
      <c r="C25" t="s">
        <v>176</v>
      </c>
      <c r="D25">
        <v>5757.38</v>
      </c>
      <c r="F25" s="8"/>
      <c r="G25" s="9"/>
    </row>
    <row r="26" spans="1:7" x14ac:dyDescent="0.2">
      <c r="A26">
        <v>25</v>
      </c>
      <c r="B26">
        <v>6</v>
      </c>
      <c r="C26" t="s">
        <v>183</v>
      </c>
      <c r="D26">
        <v>5259.69</v>
      </c>
      <c r="F26" s="8"/>
      <c r="G26" s="9"/>
    </row>
    <row r="27" spans="1:7" x14ac:dyDescent="0.2">
      <c r="A27">
        <v>26</v>
      </c>
      <c r="B27">
        <v>6</v>
      </c>
      <c r="C27" t="s">
        <v>182</v>
      </c>
      <c r="D27">
        <v>7717.27</v>
      </c>
      <c r="F27" s="8"/>
      <c r="G27" s="9"/>
    </row>
    <row r="28" spans="1:7" x14ac:dyDescent="0.2">
      <c r="A28">
        <v>27</v>
      </c>
      <c r="B28">
        <v>6</v>
      </c>
      <c r="C28" t="s">
        <v>174</v>
      </c>
      <c r="D28">
        <v>8312.69</v>
      </c>
      <c r="F28" s="8"/>
      <c r="G28" s="9"/>
    </row>
    <row r="29" spans="1:7" x14ac:dyDescent="0.2">
      <c r="A29">
        <v>28</v>
      </c>
      <c r="B29">
        <v>6</v>
      </c>
      <c r="C29" t="s">
        <v>181</v>
      </c>
      <c r="D29">
        <v>6158.46</v>
      </c>
      <c r="F29" s="8"/>
      <c r="G29" s="9"/>
    </row>
    <row r="30" spans="1:7" x14ac:dyDescent="0.2">
      <c r="A30">
        <v>29</v>
      </c>
      <c r="B30">
        <v>7</v>
      </c>
      <c r="C30" t="s">
        <v>179</v>
      </c>
      <c r="D30">
        <v>1296.0999999999999</v>
      </c>
      <c r="F30" s="8"/>
      <c r="G30" s="9"/>
    </row>
    <row r="31" spans="1:7" x14ac:dyDescent="0.2">
      <c r="A31">
        <v>30</v>
      </c>
      <c r="B31">
        <v>7</v>
      </c>
      <c r="C31" t="s">
        <v>177</v>
      </c>
      <c r="D31">
        <v>1864.99</v>
      </c>
      <c r="F31" s="8"/>
      <c r="G31" s="9"/>
    </row>
    <row r="32" spans="1:7" x14ac:dyDescent="0.2">
      <c r="A32">
        <v>31</v>
      </c>
      <c r="B32">
        <v>7</v>
      </c>
      <c r="C32" t="s">
        <v>183</v>
      </c>
      <c r="D32">
        <v>1878.41</v>
      </c>
      <c r="F32" s="8"/>
      <c r="G32" s="9"/>
    </row>
    <row r="33" spans="1:7" x14ac:dyDescent="0.2">
      <c r="A33">
        <v>32</v>
      </c>
      <c r="B33">
        <v>8</v>
      </c>
      <c r="C33" t="s">
        <v>183</v>
      </c>
      <c r="D33">
        <v>2760.53</v>
      </c>
      <c r="F33" s="8"/>
      <c r="G33" s="9"/>
    </row>
    <row r="34" spans="1:7" x14ac:dyDescent="0.2">
      <c r="A34">
        <v>33</v>
      </c>
      <c r="B34">
        <v>8</v>
      </c>
      <c r="C34" t="s">
        <v>179</v>
      </c>
      <c r="D34">
        <v>2991.33</v>
      </c>
      <c r="F34" s="8"/>
      <c r="G34" s="9"/>
    </row>
    <row r="35" spans="1:7" x14ac:dyDescent="0.2">
      <c r="A35">
        <v>34</v>
      </c>
      <c r="B35">
        <v>8</v>
      </c>
      <c r="C35" t="s">
        <v>177</v>
      </c>
      <c r="D35">
        <v>3327.82</v>
      </c>
      <c r="F35" s="8"/>
      <c r="G35" s="9"/>
    </row>
    <row r="36" spans="1:7" x14ac:dyDescent="0.2">
      <c r="A36">
        <v>35</v>
      </c>
      <c r="B36">
        <v>8</v>
      </c>
      <c r="C36" t="s">
        <v>176</v>
      </c>
      <c r="D36">
        <v>2430.7399999999998</v>
      </c>
      <c r="F36" s="8"/>
      <c r="G36" s="9"/>
    </row>
    <row r="37" spans="1:7" x14ac:dyDescent="0.2">
      <c r="A37">
        <v>36</v>
      </c>
      <c r="B37">
        <v>8</v>
      </c>
      <c r="C37" t="s">
        <v>174</v>
      </c>
      <c r="D37">
        <v>3063.75</v>
      </c>
      <c r="F37" s="8"/>
      <c r="G37" s="9"/>
    </row>
    <row r="38" spans="1:7" x14ac:dyDescent="0.2">
      <c r="A38">
        <v>37</v>
      </c>
      <c r="B38">
        <v>8</v>
      </c>
      <c r="C38" t="s">
        <v>182</v>
      </c>
      <c r="D38">
        <v>2547.8200000000002</v>
      </c>
      <c r="F38" s="8"/>
      <c r="G38" s="9"/>
    </row>
    <row r="39" spans="1:7" x14ac:dyDescent="0.2">
      <c r="A39">
        <v>38</v>
      </c>
      <c r="B39">
        <v>9</v>
      </c>
      <c r="C39" t="s">
        <v>176</v>
      </c>
      <c r="D39">
        <v>5618.49</v>
      </c>
      <c r="F39" s="8"/>
      <c r="G39" s="9"/>
    </row>
    <row r="40" spans="1:7" x14ac:dyDescent="0.2">
      <c r="A40">
        <v>39</v>
      </c>
      <c r="B40">
        <v>9</v>
      </c>
      <c r="C40" t="s">
        <v>181</v>
      </c>
      <c r="D40">
        <v>7371.7</v>
      </c>
      <c r="F40" s="8"/>
      <c r="G40" s="9"/>
    </row>
    <row r="41" spans="1:7" x14ac:dyDescent="0.2">
      <c r="A41">
        <v>40</v>
      </c>
      <c r="B41">
        <v>9</v>
      </c>
      <c r="C41" t="s">
        <v>177</v>
      </c>
      <c r="D41">
        <v>5985.32</v>
      </c>
      <c r="F41" s="8"/>
      <c r="G41" s="9"/>
    </row>
    <row r="42" spans="1:7" x14ac:dyDescent="0.2">
      <c r="A42">
        <v>41</v>
      </c>
      <c r="B42">
        <v>10</v>
      </c>
      <c r="C42" t="s">
        <v>178</v>
      </c>
      <c r="D42">
        <v>5814.15</v>
      </c>
      <c r="F42" s="8"/>
      <c r="G42" s="9"/>
    </row>
    <row r="43" spans="1:7" x14ac:dyDescent="0.2">
      <c r="A43">
        <v>42</v>
      </c>
      <c r="B43">
        <v>10</v>
      </c>
      <c r="C43" t="s">
        <v>180</v>
      </c>
      <c r="D43">
        <v>6806.38</v>
      </c>
      <c r="F43" s="8"/>
      <c r="G43" s="9"/>
    </row>
    <row r="44" spans="1:7" x14ac:dyDescent="0.2">
      <c r="A44">
        <v>43</v>
      </c>
      <c r="B44">
        <v>10</v>
      </c>
      <c r="C44" t="s">
        <v>177</v>
      </c>
      <c r="D44">
        <v>6311.1</v>
      </c>
      <c r="F44" s="8"/>
      <c r="G44" s="9"/>
    </row>
    <row r="45" spans="1:7" x14ac:dyDescent="0.2">
      <c r="A45">
        <v>44</v>
      </c>
      <c r="B45">
        <v>11</v>
      </c>
      <c r="C45" t="s">
        <v>178</v>
      </c>
      <c r="D45">
        <v>4964.57</v>
      </c>
      <c r="F45" s="8"/>
      <c r="G45" s="9"/>
    </row>
    <row r="46" spans="1:7" x14ac:dyDescent="0.2">
      <c r="A46">
        <v>45</v>
      </c>
      <c r="B46">
        <v>11</v>
      </c>
      <c r="C46" t="s">
        <v>177</v>
      </c>
      <c r="D46">
        <v>8491.77</v>
      </c>
      <c r="F46" s="8"/>
      <c r="G46" s="9"/>
    </row>
    <row r="47" spans="1:7" x14ac:dyDescent="0.2">
      <c r="A47">
        <v>46</v>
      </c>
      <c r="B47">
        <v>11</v>
      </c>
      <c r="C47" t="s">
        <v>180</v>
      </c>
      <c r="D47">
        <v>8524.86</v>
      </c>
      <c r="F47" s="8"/>
      <c r="G47" s="9"/>
    </row>
    <row r="48" spans="1:7" x14ac:dyDescent="0.2">
      <c r="A48">
        <v>47</v>
      </c>
      <c r="B48">
        <v>11</v>
      </c>
      <c r="C48" t="s">
        <v>182</v>
      </c>
      <c r="D48">
        <v>6376.12</v>
      </c>
      <c r="F48" s="8"/>
      <c r="G48" s="9"/>
    </row>
    <row r="49" spans="1:7" x14ac:dyDescent="0.2">
      <c r="A49">
        <v>48</v>
      </c>
      <c r="B49">
        <v>12</v>
      </c>
      <c r="C49" t="s">
        <v>181</v>
      </c>
      <c r="D49">
        <v>4049.07</v>
      </c>
      <c r="F49" s="8"/>
      <c r="G49" s="9"/>
    </row>
    <row r="50" spans="1:7" x14ac:dyDescent="0.2">
      <c r="A50">
        <v>49</v>
      </c>
      <c r="B50">
        <v>12</v>
      </c>
      <c r="C50" t="s">
        <v>182</v>
      </c>
      <c r="D50">
        <v>4319.1400000000003</v>
      </c>
      <c r="F50" s="8"/>
      <c r="G50" s="9"/>
    </row>
    <row r="51" spans="1:7" x14ac:dyDescent="0.2">
      <c r="A51">
        <v>50</v>
      </c>
      <c r="B51">
        <v>12</v>
      </c>
      <c r="C51" t="s">
        <v>179</v>
      </c>
      <c r="D51">
        <v>4727.42</v>
      </c>
      <c r="F51" s="8"/>
      <c r="G51" s="9"/>
    </row>
    <row r="52" spans="1:7" x14ac:dyDescent="0.2">
      <c r="A52">
        <v>51</v>
      </c>
      <c r="B52">
        <v>13</v>
      </c>
      <c r="C52" t="s">
        <v>179</v>
      </c>
      <c r="D52">
        <v>1264.48</v>
      </c>
      <c r="F52" s="8"/>
      <c r="G52" s="9"/>
    </row>
    <row r="53" spans="1:7" x14ac:dyDescent="0.2">
      <c r="A53">
        <v>52</v>
      </c>
      <c r="B53">
        <v>13</v>
      </c>
      <c r="C53" t="s">
        <v>174</v>
      </c>
      <c r="D53">
        <v>2032.86</v>
      </c>
      <c r="F53" s="8"/>
      <c r="G53" s="9"/>
    </row>
    <row r="54" spans="1:7" x14ac:dyDescent="0.2">
      <c r="A54">
        <v>53</v>
      </c>
      <c r="B54">
        <v>13</v>
      </c>
      <c r="C54" t="s">
        <v>176</v>
      </c>
      <c r="D54">
        <v>1581.4</v>
      </c>
      <c r="F54" s="8"/>
      <c r="G54" s="9"/>
    </row>
    <row r="55" spans="1:7" x14ac:dyDescent="0.2">
      <c r="A55">
        <v>54</v>
      </c>
      <c r="B55">
        <v>13</v>
      </c>
      <c r="C55" t="s">
        <v>181</v>
      </c>
      <c r="D55">
        <v>1976.92</v>
      </c>
      <c r="F55" s="8"/>
      <c r="G55" s="9"/>
    </row>
    <row r="56" spans="1:7" x14ac:dyDescent="0.2">
      <c r="A56">
        <v>55</v>
      </c>
      <c r="B56">
        <v>13</v>
      </c>
      <c r="C56" t="s">
        <v>175</v>
      </c>
      <c r="D56">
        <v>1707.13</v>
      </c>
      <c r="F56" s="8"/>
      <c r="G56" s="9"/>
    </row>
    <row r="57" spans="1:7" x14ac:dyDescent="0.2">
      <c r="A57">
        <v>56</v>
      </c>
      <c r="B57">
        <v>14</v>
      </c>
      <c r="C57" t="s">
        <v>183</v>
      </c>
      <c r="D57">
        <v>3165.19</v>
      </c>
      <c r="F57" s="8"/>
      <c r="G57" s="9"/>
    </row>
    <row r="58" spans="1:7" x14ac:dyDescent="0.2">
      <c r="A58">
        <v>57</v>
      </c>
      <c r="B58">
        <v>14</v>
      </c>
      <c r="C58" t="s">
        <v>176</v>
      </c>
      <c r="D58">
        <v>3404.51</v>
      </c>
      <c r="F58" s="8"/>
      <c r="G58" s="9"/>
    </row>
    <row r="59" spans="1:7" x14ac:dyDescent="0.2">
      <c r="A59">
        <v>58</v>
      </c>
      <c r="B59">
        <v>14</v>
      </c>
      <c r="C59" t="s">
        <v>178</v>
      </c>
      <c r="D59">
        <v>4196.7700000000004</v>
      </c>
      <c r="F59" s="8"/>
      <c r="G59" s="9"/>
    </row>
    <row r="60" spans="1:7" x14ac:dyDescent="0.2">
      <c r="A60">
        <v>59</v>
      </c>
      <c r="B60">
        <v>14</v>
      </c>
      <c r="C60" t="s">
        <v>181</v>
      </c>
      <c r="D60">
        <v>3821.82</v>
      </c>
      <c r="F60" s="8"/>
      <c r="G60" s="9"/>
    </row>
    <row r="61" spans="1:7" x14ac:dyDescent="0.2">
      <c r="A61">
        <v>60</v>
      </c>
      <c r="B61">
        <v>14</v>
      </c>
      <c r="C61" t="s">
        <v>175</v>
      </c>
      <c r="D61">
        <v>3897.09</v>
      </c>
      <c r="F61" s="8"/>
      <c r="G61" s="9"/>
    </row>
    <row r="62" spans="1:7" x14ac:dyDescent="0.2">
      <c r="A62">
        <v>61</v>
      </c>
      <c r="B62">
        <v>14</v>
      </c>
      <c r="C62" t="s">
        <v>182</v>
      </c>
      <c r="D62">
        <v>3429.81</v>
      </c>
      <c r="F62" s="8"/>
      <c r="G62" s="9"/>
    </row>
    <row r="63" spans="1:7" x14ac:dyDescent="0.2">
      <c r="A63">
        <v>62</v>
      </c>
      <c r="B63">
        <v>15</v>
      </c>
      <c r="C63" t="s">
        <v>174</v>
      </c>
      <c r="D63">
        <v>5793.75</v>
      </c>
      <c r="F63" s="8"/>
      <c r="G63" s="9"/>
    </row>
    <row r="64" spans="1:7" x14ac:dyDescent="0.2">
      <c r="A64">
        <v>63</v>
      </c>
      <c r="B64">
        <v>15</v>
      </c>
      <c r="C64" t="s">
        <v>176</v>
      </c>
      <c r="D64">
        <v>6138.36</v>
      </c>
      <c r="F64" s="8"/>
      <c r="G64" s="9"/>
    </row>
    <row r="65" spans="1:7" x14ac:dyDescent="0.2">
      <c r="A65">
        <v>64</v>
      </c>
      <c r="B65">
        <v>15</v>
      </c>
      <c r="C65" t="s">
        <v>179</v>
      </c>
      <c r="D65">
        <v>4719.12</v>
      </c>
      <c r="F65" s="8"/>
      <c r="G65" s="9"/>
    </row>
    <row r="66" spans="1:7" x14ac:dyDescent="0.2">
      <c r="A66">
        <v>65</v>
      </c>
      <c r="B66">
        <v>15</v>
      </c>
      <c r="C66" t="s">
        <v>180</v>
      </c>
      <c r="D66">
        <v>4926.47</v>
      </c>
      <c r="F66" s="8"/>
      <c r="G66" s="9"/>
    </row>
    <row r="67" spans="1:7" x14ac:dyDescent="0.2">
      <c r="A67">
        <v>66</v>
      </c>
      <c r="B67">
        <v>15</v>
      </c>
      <c r="C67" t="s">
        <v>177</v>
      </c>
      <c r="D67">
        <v>3786.65</v>
      </c>
      <c r="F67" s="8"/>
      <c r="G67" s="9"/>
    </row>
    <row r="68" spans="1:7" x14ac:dyDescent="0.2">
      <c r="A68">
        <v>67</v>
      </c>
      <c r="B68">
        <v>15</v>
      </c>
      <c r="C68" t="s">
        <v>182</v>
      </c>
      <c r="D68">
        <v>6089.71</v>
      </c>
      <c r="F68" s="8"/>
      <c r="G68" s="9"/>
    </row>
    <row r="69" spans="1:7" x14ac:dyDescent="0.2">
      <c r="A69">
        <v>68</v>
      </c>
      <c r="B69">
        <v>16</v>
      </c>
      <c r="C69" t="s">
        <v>179</v>
      </c>
      <c r="D69">
        <v>5534.79</v>
      </c>
      <c r="F69" s="8"/>
      <c r="G69" s="9"/>
    </row>
    <row r="70" spans="1:7" x14ac:dyDescent="0.2">
      <c r="A70">
        <v>69</v>
      </c>
      <c r="B70">
        <v>16</v>
      </c>
      <c r="C70" t="s">
        <v>183</v>
      </c>
      <c r="D70">
        <v>5837.87</v>
      </c>
      <c r="F70" s="8"/>
      <c r="G70" s="9"/>
    </row>
    <row r="71" spans="1:7" x14ac:dyDescent="0.2">
      <c r="A71">
        <v>70</v>
      </c>
      <c r="B71">
        <v>16</v>
      </c>
      <c r="C71" t="s">
        <v>178</v>
      </c>
      <c r="D71">
        <v>8811.67</v>
      </c>
      <c r="F71" s="8"/>
      <c r="G71" s="9"/>
    </row>
    <row r="72" spans="1:7" x14ac:dyDescent="0.2">
      <c r="A72">
        <v>71</v>
      </c>
      <c r="B72">
        <v>16</v>
      </c>
      <c r="C72" t="s">
        <v>180</v>
      </c>
      <c r="D72">
        <v>8300.7099999999991</v>
      </c>
      <c r="F72" s="8"/>
      <c r="G72" s="9"/>
    </row>
    <row r="73" spans="1:7" x14ac:dyDescent="0.2">
      <c r="A73">
        <v>72</v>
      </c>
      <c r="B73">
        <v>16</v>
      </c>
      <c r="C73" t="s">
        <v>176</v>
      </c>
      <c r="D73">
        <v>5653.93</v>
      </c>
      <c r="F73" s="8"/>
      <c r="G73" s="9"/>
    </row>
    <row r="74" spans="1:7" x14ac:dyDescent="0.2">
      <c r="A74">
        <v>73</v>
      </c>
      <c r="B74">
        <v>17</v>
      </c>
      <c r="C74" t="s">
        <v>178</v>
      </c>
      <c r="D74">
        <v>1251.7</v>
      </c>
      <c r="F74" s="8"/>
      <c r="G74" s="9"/>
    </row>
    <row r="75" spans="1:7" x14ac:dyDescent="0.2">
      <c r="A75">
        <v>74</v>
      </c>
      <c r="B75">
        <v>17</v>
      </c>
      <c r="C75" t="s">
        <v>174</v>
      </c>
      <c r="D75">
        <v>888.18</v>
      </c>
      <c r="F75" s="8"/>
      <c r="G75" s="9"/>
    </row>
    <row r="76" spans="1:7" x14ac:dyDescent="0.2">
      <c r="A76">
        <v>75</v>
      </c>
      <c r="B76">
        <v>17</v>
      </c>
      <c r="C76" t="s">
        <v>181</v>
      </c>
      <c r="D76">
        <v>1410.49</v>
      </c>
      <c r="F76" s="8"/>
      <c r="G76" s="9"/>
    </row>
    <row r="77" spans="1:7" x14ac:dyDescent="0.2">
      <c r="A77">
        <v>76</v>
      </c>
      <c r="B77">
        <v>17</v>
      </c>
      <c r="C77" t="s">
        <v>180</v>
      </c>
      <c r="D77">
        <v>872.3</v>
      </c>
      <c r="F77" s="8"/>
      <c r="G77" s="9"/>
    </row>
    <row r="78" spans="1:7" x14ac:dyDescent="0.2">
      <c r="A78">
        <v>77</v>
      </c>
      <c r="B78">
        <v>18</v>
      </c>
      <c r="C78" t="s">
        <v>177</v>
      </c>
      <c r="D78">
        <v>1699.59</v>
      </c>
      <c r="F78" s="8"/>
      <c r="G78" s="9"/>
    </row>
    <row r="79" spans="1:7" x14ac:dyDescent="0.2">
      <c r="A79">
        <v>78</v>
      </c>
      <c r="B79">
        <v>18</v>
      </c>
      <c r="C79" t="s">
        <v>181</v>
      </c>
      <c r="D79">
        <v>1491.22</v>
      </c>
      <c r="F79" s="8"/>
      <c r="G79" s="9"/>
    </row>
    <row r="80" spans="1:7" x14ac:dyDescent="0.2">
      <c r="A80">
        <v>79</v>
      </c>
      <c r="B80">
        <v>18</v>
      </c>
      <c r="C80" t="s">
        <v>183</v>
      </c>
      <c r="D80">
        <v>1689.57</v>
      </c>
      <c r="F80" s="8"/>
      <c r="G80" s="9"/>
    </row>
    <row r="81" spans="1:7" x14ac:dyDescent="0.2">
      <c r="A81">
        <v>80</v>
      </c>
      <c r="B81">
        <v>18</v>
      </c>
      <c r="C81" t="s">
        <v>182</v>
      </c>
      <c r="D81">
        <v>1845.31</v>
      </c>
      <c r="F81" s="8"/>
      <c r="G81" s="9"/>
    </row>
    <row r="82" spans="1:7" x14ac:dyDescent="0.2">
      <c r="A82">
        <v>81</v>
      </c>
      <c r="B82">
        <v>18</v>
      </c>
      <c r="C82" t="s">
        <v>179</v>
      </c>
      <c r="D82">
        <v>1038.93</v>
      </c>
      <c r="F82" s="8"/>
      <c r="G82" s="9"/>
    </row>
    <row r="83" spans="1:7" x14ac:dyDescent="0.2">
      <c r="A83">
        <v>82</v>
      </c>
      <c r="B83">
        <v>19</v>
      </c>
      <c r="C83" t="s">
        <v>178</v>
      </c>
      <c r="D83">
        <v>1139</v>
      </c>
      <c r="F83" s="8"/>
      <c r="G83" s="9"/>
    </row>
    <row r="84" spans="1:7" x14ac:dyDescent="0.2">
      <c r="A84">
        <v>83</v>
      </c>
      <c r="B84">
        <v>19</v>
      </c>
      <c r="C84" t="s">
        <v>179</v>
      </c>
      <c r="D84">
        <v>1529.03</v>
      </c>
      <c r="F84" s="8"/>
      <c r="G84" s="9"/>
    </row>
    <row r="85" spans="1:7" x14ac:dyDescent="0.2">
      <c r="A85">
        <v>84</v>
      </c>
      <c r="B85">
        <v>19</v>
      </c>
      <c r="C85" t="s">
        <v>177</v>
      </c>
      <c r="D85">
        <v>1101</v>
      </c>
      <c r="F85" s="8"/>
      <c r="G85" s="9"/>
    </row>
    <row r="86" spans="1:7" x14ac:dyDescent="0.2">
      <c r="A86">
        <v>85</v>
      </c>
      <c r="B86">
        <v>19</v>
      </c>
      <c r="C86" t="s">
        <v>181</v>
      </c>
      <c r="D86">
        <v>1123.73</v>
      </c>
      <c r="F86" s="8"/>
      <c r="G86" s="9"/>
    </row>
    <row r="87" spans="1:7" x14ac:dyDescent="0.2">
      <c r="A87">
        <v>86</v>
      </c>
      <c r="B87">
        <v>19</v>
      </c>
      <c r="C87" t="s">
        <v>176</v>
      </c>
      <c r="D87">
        <v>883.39</v>
      </c>
      <c r="F87" s="8"/>
      <c r="G87" s="9"/>
    </row>
    <row r="88" spans="1:7" x14ac:dyDescent="0.2">
      <c r="A88">
        <v>87</v>
      </c>
      <c r="B88">
        <v>19</v>
      </c>
      <c r="C88" t="s">
        <v>174</v>
      </c>
      <c r="D88">
        <v>1506.88</v>
      </c>
      <c r="F88" s="8"/>
      <c r="G88" s="9"/>
    </row>
    <row r="89" spans="1:7" x14ac:dyDescent="0.2">
      <c r="A89">
        <v>88</v>
      </c>
      <c r="B89">
        <v>20</v>
      </c>
      <c r="C89" t="s">
        <v>181</v>
      </c>
      <c r="D89">
        <v>5048.18</v>
      </c>
      <c r="F89" s="8"/>
      <c r="G89" s="9"/>
    </row>
    <row r="90" spans="1:7" x14ac:dyDescent="0.2">
      <c r="A90">
        <v>89</v>
      </c>
      <c r="B90">
        <v>20</v>
      </c>
      <c r="C90" t="s">
        <v>176</v>
      </c>
      <c r="D90">
        <v>4354.8</v>
      </c>
      <c r="F90" s="8"/>
      <c r="G90" s="9"/>
    </row>
    <row r="91" spans="1:7" x14ac:dyDescent="0.2">
      <c r="A91">
        <v>90</v>
      </c>
      <c r="B91">
        <v>20</v>
      </c>
      <c r="C91" t="s">
        <v>177</v>
      </c>
      <c r="D91">
        <v>4259.01</v>
      </c>
      <c r="F91" s="8"/>
      <c r="G91" s="9"/>
    </row>
    <row r="92" spans="1:7" x14ac:dyDescent="0.2">
      <c r="A92">
        <v>91</v>
      </c>
      <c r="B92">
        <v>21</v>
      </c>
      <c r="C92" t="s">
        <v>183</v>
      </c>
      <c r="D92">
        <v>5614.78</v>
      </c>
      <c r="F92" s="8"/>
      <c r="G92" s="9"/>
    </row>
    <row r="93" spans="1:7" x14ac:dyDescent="0.2">
      <c r="A93">
        <v>92</v>
      </c>
      <c r="B93">
        <v>21</v>
      </c>
      <c r="C93" t="s">
        <v>181</v>
      </c>
      <c r="D93">
        <v>3779.22</v>
      </c>
      <c r="F93" s="8"/>
      <c r="G93" s="9"/>
    </row>
    <row r="94" spans="1:7" x14ac:dyDescent="0.2">
      <c r="A94">
        <v>93</v>
      </c>
      <c r="B94">
        <v>21</v>
      </c>
      <c r="C94" t="s">
        <v>176</v>
      </c>
      <c r="D94">
        <v>3737.25</v>
      </c>
      <c r="F94" s="8"/>
      <c r="G94" s="9"/>
    </row>
    <row r="95" spans="1:7" x14ac:dyDescent="0.2">
      <c r="A95">
        <v>94</v>
      </c>
      <c r="B95">
        <v>21</v>
      </c>
      <c r="C95" t="s">
        <v>175</v>
      </c>
      <c r="D95">
        <v>4069.16</v>
      </c>
      <c r="F95" s="8"/>
      <c r="G95" s="9"/>
    </row>
    <row r="96" spans="1:7" x14ac:dyDescent="0.2">
      <c r="A96">
        <v>95</v>
      </c>
      <c r="B96">
        <v>21</v>
      </c>
      <c r="C96" t="s">
        <v>174</v>
      </c>
      <c r="D96">
        <v>3549.63</v>
      </c>
      <c r="F96" s="8"/>
      <c r="G96" s="9"/>
    </row>
    <row r="97" spans="1:7" x14ac:dyDescent="0.2">
      <c r="A97">
        <v>96</v>
      </c>
      <c r="B97">
        <v>22</v>
      </c>
      <c r="C97" t="s">
        <v>176</v>
      </c>
      <c r="D97">
        <v>3231.34</v>
      </c>
      <c r="F97" s="8"/>
      <c r="G97" s="9"/>
    </row>
    <row r="98" spans="1:7" x14ac:dyDescent="0.2">
      <c r="A98">
        <v>97</v>
      </c>
      <c r="B98">
        <v>22</v>
      </c>
      <c r="C98" t="s">
        <v>178</v>
      </c>
      <c r="D98">
        <v>3025.9</v>
      </c>
      <c r="F98" s="8"/>
      <c r="G98" s="9"/>
    </row>
    <row r="99" spans="1:7" x14ac:dyDescent="0.2">
      <c r="A99">
        <v>98</v>
      </c>
      <c r="B99">
        <v>22</v>
      </c>
      <c r="C99" t="s">
        <v>182</v>
      </c>
      <c r="D99">
        <v>3482.27</v>
      </c>
      <c r="F99" s="8"/>
      <c r="G99" s="9"/>
    </row>
    <row r="100" spans="1:7" x14ac:dyDescent="0.2">
      <c r="A100">
        <v>99</v>
      </c>
      <c r="B100">
        <v>22</v>
      </c>
      <c r="C100" t="s">
        <v>179</v>
      </c>
      <c r="D100">
        <v>2731.27</v>
      </c>
      <c r="F100" s="8"/>
      <c r="G100" s="9"/>
    </row>
    <row r="101" spans="1:7" x14ac:dyDescent="0.2">
      <c r="A101">
        <v>100</v>
      </c>
      <c r="B101">
        <v>22</v>
      </c>
      <c r="C101" t="s">
        <v>181</v>
      </c>
      <c r="D101">
        <v>3442.33</v>
      </c>
      <c r="F101" s="8"/>
      <c r="G101" s="9"/>
    </row>
    <row r="102" spans="1:7" x14ac:dyDescent="0.2">
      <c r="A102">
        <v>101</v>
      </c>
      <c r="B102">
        <v>22</v>
      </c>
      <c r="C102" t="s">
        <v>175</v>
      </c>
      <c r="D102">
        <v>3211.56</v>
      </c>
      <c r="F102" s="8"/>
      <c r="G102" s="9"/>
    </row>
    <row r="103" spans="1:7" x14ac:dyDescent="0.2">
      <c r="A103">
        <v>102</v>
      </c>
      <c r="B103">
        <v>23</v>
      </c>
      <c r="C103" t="s">
        <v>183</v>
      </c>
      <c r="D103">
        <v>5756.88</v>
      </c>
      <c r="F103" s="8"/>
      <c r="G103" s="9"/>
    </row>
    <row r="104" spans="1:7" x14ac:dyDescent="0.2">
      <c r="A104">
        <v>103</v>
      </c>
      <c r="B104">
        <v>23</v>
      </c>
      <c r="C104" t="s">
        <v>180</v>
      </c>
      <c r="D104">
        <v>6489.3</v>
      </c>
      <c r="F104" s="8"/>
      <c r="G104" s="9"/>
    </row>
    <row r="105" spans="1:7" x14ac:dyDescent="0.2">
      <c r="A105">
        <v>104</v>
      </c>
      <c r="B105">
        <v>23</v>
      </c>
      <c r="C105" t="s">
        <v>181</v>
      </c>
      <c r="D105">
        <v>6408.03</v>
      </c>
      <c r="F105" s="8"/>
      <c r="G105" s="9"/>
    </row>
    <row r="106" spans="1:7" x14ac:dyDescent="0.2">
      <c r="A106">
        <v>105</v>
      </c>
      <c r="B106">
        <v>23</v>
      </c>
      <c r="C106" t="s">
        <v>178</v>
      </c>
      <c r="D106">
        <v>3673.03</v>
      </c>
      <c r="F106" s="8"/>
      <c r="G106" s="9"/>
    </row>
    <row r="107" spans="1:7" x14ac:dyDescent="0.2">
      <c r="A107">
        <v>106</v>
      </c>
      <c r="B107">
        <v>23</v>
      </c>
      <c r="C107" t="s">
        <v>179</v>
      </c>
      <c r="D107">
        <v>4389.3999999999996</v>
      </c>
      <c r="F107" s="8"/>
      <c r="G107" s="9"/>
    </row>
    <row r="108" spans="1:7" x14ac:dyDescent="0.2">
      <c r="A108">
        <v>107</v>
      </c>
      <c r="B108">
        <v>24</v>
      </c>
      <c r="C108" t="s">
        <v>178</v>
      </c>
      <c r="D108">
        <v>2703.01</v>
      </c>
      <c r="F108" s="8"/>
      <c r="G108" s="9"/>
    </row>
    <row r="109" spans="1:7" x14ac:dyDescent="0.2">
      <c r="A109">
        <v>108</v>
      </c>
      <c r="B109">
        <v>24</v>
      </c>
      <c r="C109" t="s">
        <v>176</v>
      </c>
      <c r="D109">
        <v>2360.4499999999998</v>
      </c>
      <c r="F109" s="8"/>
      <c r="G109" s="9"/>
    </row>
    <row r="110" spans="1:7" x14ac:dyDescent="0.2">
      <c r="A110">
        <v>109</v>
      </c>
      <c r="B110">
        <v>24</v>
      </c>
      <c r="C110" t="s">
        <v>182</v>
      </c>
      <c r="D110">
        <v>4022.86</v>
      </c>
      <c r="F110" s="8"/>
      <c r="G110" s="9"/>
    </row>
    <row r="111" spans="1:7" x14ac:dyDescent="0.2">
      <c r="A111">
        <v>110</v>
      </c>
      <c r="B111">
        <v>25</v>
      </c>
      <c r="C111" t="s">
        <v>180</v>
      </c>
      <c r="D111">
        <v>1561.63</v>
      </c>
      <c r="F111" s="8"/>
      <c r="G111" s="9"/>
    </row>
    <row r="112" spans="1:7" x14ac:dyDescent="0.2">
      <c r="A112">
        <v>111</v>
      </c>
      <c r="B112">
        <v>25</v>
      </c>
      <c r="C112" t="s">
        <v>179</v>
      </c>
      <c r="D112">
        <v>2041.25</v>
      </c>
      <c r="F112" s="8"/>
      <c r="G112" s="9"/>
    </row>
    <row r="113" spans="1:7" x14ac:dyDescent="0.2">
      <c r="A113">
        <v>112</v>
      </c>
      <c r="B113">
        <v>25</v>
      </c>
      <c r="C113" t="s">
        <v>178</v>
      </c>
      <c r="D113">
        <v>2469.81</v>
      </c>
      <c r="F113" s="8"/>
      <c r="G113" s="9"/>
    </row>
    <row r="114" spans="1:7" x14ac:dyDescent="0.2">
      <c r="A114">
        <v>113</v>
      </c>
      <c r="B114">
        <v>26</v>
      </c>
      <c r="C114" t="s">
        <v>180</v>
      </c>
      <c r="D114">
        <v>3380.14</v>
      </c>
      <c r="F114" s="8"/>
      <c r="G114" s="9"/>
    </row>
    <row r="115" spans="1:7" x14ac:dyDescent="0.2">
      <c r="A115">
        <v>114</v>
      </c>
      <c r="B115">
        <v>26</v>
      </c>
      <c r="C115" t="s">
        <v>179</v>
      </c>
      <c r="D115">
        <v>3154.85</v>
      </c>
      <c r="F115" s="8"/>
      <c r="G115" s="9"/>
    </row>
    <row r="116" spans="1:7" x14ac:dyDescent="0.2">
      <c r="A116">
        <v>115</v>
      </c>
      <c r="B116">
        <v>26</v>
      </c>
      <c r="C116" t="s">
        <v>177</v>
      </c>
      <c r="D116">
        <v>3889.34</v>
      </c>
      <c r="F116" s="8"/>
      <c r="G116" s="9"/>
    </row>
    <row r="117" spans="1:7" x14ac:dyDescent="0.2">
      <c r="A117">
        <v>116</v>
      </c>
      <c r="B117">
        <v>27</v>
      </c>
      <c r="C117" t="s">
        <v>181</v>
      </c>
      <c r="D117">
        <v>4538.42</v>
      </c>
      <c r="F117" s="8"/>
      <c r="G117" s="9"/>
    </row>
    <row r="118" spans="1:7" x14ac:dyDescent="0.2">
      <c r="A118">
        <v>117</v>
      </c>
      <c r="B118">
        <v>27</v>
      </c>
      <c r="C118" t="s">
        <v>183</v>
      </c>
      <c r="D118">
        <v>4420.88</v>
      </c>
      <c r="F118" s="8"/>
      <c r="G118" s="9"/>
    </row>
    <row r="119" spans="1:7" x14ac:dyDescent="0.2">
      <c r="A119">
        <v>118</v>
      </c>
      <c r="B119">
        <v>27</v>
      </c>
      <c r="C119" t="s">
        <v>174</v>
      </c>
      <c r="D119">
        <v>4361.95</v>
      </c>
      <c r="F119" s="8"/>
      <c r="G119" s="9"/>
    </row>
    <row r="120" spans="1:7" x14ac:dyDescent="0.2">
      <c r="A120">
        <v>119</v>
      </c>
      <c r="B120">
        <v>28</v>
      </c>
      <c r="C120" t="s">
        <v>182</v>
      </c>
      <c r="D120">
        <v>3413.12</v>
      </c>
      <c r="F120" s="8"/>
      <c r="G120" s="9"/>
    </row>
    <row r="121" spans="1:7" x14ac:dyDescent="0.2">
      <c r="A121">
        <v>120</v>
      </c>
      <c r="B121">
        <v>28</v>
      </c>
      <c r="C121" t="s">
        <v>179</v>
      </c>
      <c r="D121">
        <v>2998.18</v>
      </c>
      <c r="F121" s="8"/>
      <c r="G121" s="9"/>
    </row>
    <row r="122" spans="1:7" x14ac:dyDescent="0.2">
      <c r="A122">
        <v>121</v>
      </c>
      <c r="B122">
        <v>28</v>
      </c>
      <c r="C122" t="s">
        <v>176</v>
      </c>
      <c r="D122">
        <v>3340.76</v>
      </c>
      <c r="F122" s="8"/>
      <c r="G122" s="9"/>
    </row>
    <row r="123" spans="1:7" x14ac:dyDescent="0.2">
      <c r="A123">
        <v>122</v>
      </c>
      <c r="B123">
        <v>28</v>
      </c>
      <c r="C123" t="s">
        <v>180</v>
      </c>
      <c r="D123">
        <v>4769.3900000000003</v>
      </c>
      <c r="F123" s="8"/>
      <c r="G123" s="9"/>
    </row>
    <row r="124" spans="1:7" x14ac:dyDescent="0.2">
      <c r="A124">
        <v>123</v>
      </c>
      <c r="B124">
        <v>28</v>
      </c>
      <c r="C124" t="s">
        <v>177</v>
      </c>
      <c r="D124">
        <v>3193.33</v>
      </c>
      <c r="F124" s="8"/>
      <c r="G124" s="9"/>
    </row>
    <row r="125" spans="1:7" x14ac:dyDescent="0.2">
      <c r="A125">
        <v>124</v>
      </c>
      <c r="B125">
        <v>29</v>
      </c>
      <c r="C125" t="s">
        <v>177</v>
      </c>
      <c r="D125">
        <v>1819.39</v>
      </c>
      <c r="F125" s="8"/>
      <c r="G125" s="9"/>
    </row>
    <row r="126" spans="1:7" x14ac:dyDescent="0.2">
      <c r="A126">
        <v>125</v>
      </c>
      <c r="B126">
        <v>29</v>
      </c>
      <c r="C126" t="s">
        <v>176</v>
      </c>
      <c r="D126">
        <v>1546.17</v>
      </c>
      <c r="F126" s="8"/>
      <c r="G126" s="9"/>
    </row>
    <row r="127" spans="1:7" x14ac:dyDescent="0.2">
      <c r="A127">
        <v>126</v>
      </c>
      <c r="B127">
        <v>29</v>
      </c>
      <c r="C127" t="s">
        <v>181</v>
      </c>
      <c r="D127">
        <v>1966.3</v>
      </c>
      <c r="F127" s="8"/>
      <c r="G127" s="9"/>
    </row>
    <row r="128" spans="1:7" x14ac:dyDescent="0.2">
      <c r="A128">
        <v>127</v>
      </c>
      <c r="B128">
        <v>29</v>
      </c>
      <c r="C128" t="s">
        <v>174</v>
      </c>
      <c r="D128">
        <v>2353.46</v>
      </c>
      <c r="F128" s="8"/>
      <c r="G128" s="9"/>
    </row>
    <row r="129" spans="1:7" x14ac:dyDescent="0.2">
      <c r="A129">
        <v>128</v>
      </c>
      <c r="B129">
        <v>29</v>
      </c>
      <c r="C129" t="s">
        <v>179</v>
      </c>
      <c r="D129">
        <v>1943.21</v>
      </c>
      <c r="F129" s="8"/>
      <c r="G129" s="9"/>
    </row>
    <row r="130" spans="1:7" x14ac:dyDescent="0.2">
      <c r="A130">
        <v>129</v>
      </c>
      <c r="B130">
        <v>30</v>
      </c>
      <c r="C130" t="s">
        <v>183</v>
      </c>
      <c r="D130">
        <v>3769.18</v>
      </c>
      <c r="F130" s="8"/>
      <c r="G130" s="9"/>
    </row>
    <row r="131" spans="1:7" x14ac:dyDescent="0.2">
      <c r="A131">
        <v>130</v>
      </c>
      <c r="B131">
        <v>30</v>
      </c>
      <c r="C131" t="s">
        <v>180</v>
      </c>
      <c r="D131">
        <v>3382.87</v>
      </c>
      <c r="F131" s="8"/>
      <c r="G131" s="9"/>
    </row>
    <row r="132" spans="1:7" x14ac:dyDescent="0.2">
      <c r="A132">
        <v>131</v>
      </c>
      <c r="B132">
        <v>30</v>
      </c>
      <c r="C132" t="s">
        <v>182</v>
      </c>
      <c r="D132">
        <v>5007.88</v>
      </c>
      <c r="F132" s="8"/>
      <c r="G132" s="9"/>
    </row>
    <row r="133" spans="1:7" x14ac:dyDescent="0.2">
      <c r="A133">
        <v>132</v>
      </c>
      <c r="B133">
        <v>30</v>
      </c>
      <c r="C133" t="s">
        <v>181</v>
      </c>
      <c r="D133">
        <v>4454.5</v>
      </c>
      <c r="F133" s="8"/>
      <c r="G133" s="9"/>
    </row>
    <row r="134" spans="1:7" x14ac:dyDescent="0.2">
      <c r="A134">
        <v>133</v>
      </c>
      <c r="B134">
        <v>31</v>
      </c>
      <c r="C134" t="s">
        <v>183</v>
      </c>
      <c r="D134">
        <v>1056.58</v>
      </c>
      <c r="F134" s="8"/>
      <c r="G134" s="9"/>
    </row>
    <row r="135" spans="1:7" x14ac:dyDescent="0.2">
      <c r="A135">
        <v>134</v>
      </c>
      <c r="B135">
        <v>31</v>
      </c>
      <c r="C135" t="s">
        <v>177</v>
      </c>
      <c r="D135">
        <v>1283.55</v>
      </c>
      <c r="F135" s="8"/>
      <c r="G135" s="9"/>
    </row>
    <row r="136" spans="1:7" x14ac:dyDescent="0.2">
      <c r="A136">
        <v>135</v>
      </c>
      <c r="B136">
        <v>31</v>
      </c>
      <c r="C136" t="s">
        <v>182</v>
      </c>
      <c r="D136">
        <v>1309.22</v>
      </c>
      <c r="F136" s="8"/>
      <c r="G136" s="9"/>
    </row>
    <row r="137" spans="1:7" x14ac:dyDescent="0.2">
      <c r="A137">
        <v>136</v>
      </c>
      <c r="B137">
        <v>31</v>
      </c>
      <c r="C137" t="s">
        <v>181</v>
      </c>
      <c r="D137">
        <v>723.11</v>
      </c>
      <c r="F137" s="8"/>
      <c r="G137" s="9"/>
    </row>
    <row r="138" spans="1:7" x14ac:dyDescent="0.2">
      <c r="A138">
        <v>137</v>
      </c>
      <c r="B138">
        <v>31</v>
      </c>
      <c r="C138" t="s">
        <v>178</v>
      </c>
      <c r="D138">
        <v>956.65</v>
      </c>
      <c r="F138" s="8"/>
      <c r="G138" s="9"/>
    </row>
    <row r="139" spans="1:7" x14ac:dyDescent="0.2">
      <c r="A139">
        <v>138</v>
      </c>
      <c r="B139">
        <v>32</v>
      </c>
      <c r="C139" t="s">
        <v>174</v>
      </c>
      <c r="D139">
        <v>2561.7800000000002</v>
      </c>
      <c r="F139" s="8"/>
      <c r="G139" s="9"/>
    </row>
    <row r="140" spans="1:7" x14ac:dyDescent="0.2">
      <c r="A140">
        <v>139</v>
      </c>
      <c r="B140">
        <v>32</v>
      </c>
      <c r="C140" t="s">
        <v>177</v>
      </c>
      <c r="D140">
        <v>2504.9899999999998</v>
      </c>
      <c r="F140" s="8"/>
      <c r="G140" s="9"/>
    </row>
    <row r="141" spans="1:7" x14ac:dyDescent="0.2">
      <c r="A141">
        <v>140</v>
      </c>
      <c r="B141">
        <v>32</v>
      </c>
      <c r="C141" t="s">
        <v>178</v>
      </c>
      <c r="D141">
        <v>1798.55</v>
      </c>
      <c r="F141" s="8"/>
      <c r="G141" s="9"/>
    </row>
    <row r="142" spans="1:7" x14ac:dyDescent="0.2">
      <c r="A142">
        <v>141</v>
      </c>
      <c r="B142">
        <v>32</v>
      </c>
      <c r="C142" t="s">
        <v>182</v>
      </c>
      <c r="D142">
        <v>1546.06</v>
      </c>
      <c r="F142" s="8"/>
      <c r="G142" s="9"/>
    </row>
    <row r="143" spans="1:7" x14ac:dyDescent="0.2">
      <c r="A143">
        <v>142</v>
      </c>
      <c r="B143">
        <v>32</v>
      </c>
      <c r="C143" t="s">
        <v>176</v>
      </c>
      <c r="D143">
        <v>2140.09</v>
      </c>
      <c r="F143" s="8"/>
      <c r="G143" s="9"/>
    </row>
    <row r="144" spans="1:7" x14ac:dyDescent="0.2">
      <c r="A144">
        <v>143</v>
      </c>
      <c r="B144">
        <v>32</v>
      </c>
      <c r="C144" t="s">
        <v>183</v>
      </c>
      <c r="D144">
        <v>2459.4499999999998</v>
      </c>
      <c r="F144" s="8"/>
      <c r="G144" s="9"/>
    </row>
    <row r="145" spans="1:7" x14ac:dyDescent="0.2">
      <c r="A145">
        <v>144</v>
      </c>
      <c r="B145">
        <v>33</v>
      </c>
      <c r="C145" t="s">
        <v>178</v>
      </c>
      <c r="D145">
        <v>2438.65</v>
      </c>
      <c r="F145" s="8"/>
      <c r="G145" s="9"/>
    </row>
    <row r="146" spans="1:7" x14ac:dyDescent="0.2">
      <c r="A146">
        <v>145</v>
      </c>
      <c r="B146">
        <v>33</v>
      </c>
      <c r="C146" t="s">
        <v>183</v>
      </c>
      <c r="D146">
        <v>2083.19</v>
      </c>
      <c r="F146" s="8"/>
      <c r="G146" s="9"/>
    </row>
    <row r="147" spans="1:7" x14ac:dyDescent="0.2">
      <c r="A147">
        <v>146</v>
      </c>
      <c r="B147">
        <v>33</v>
      </c>
      <c r="C147" t="s">
        <v>176</v>
      </c>
      <c r="D147">
        <v>3457.28</v>
      </c>
      <c r="F147" s="8"/>
      <c r="G147" s="9"/>
    </row>
    <row r="148" spans="1:7" x14ac:dyDescent="0.2">
      <c r="A148">
        <v>147</v>
      </c>
      <c r="B148">
        <v>33</v>
      </c>
      <c r="C148" t="s">
        <v>175</v>
      </c>
      <c r="D148">
        <v>3128.03</v>
      </c>
      <c r="F148" s="8"/>
      <c r="G148" s="9"/>
    </row>
    <row r="149" spans="1:7" x14ac:dyDescent="0.2">
      <c r="A149">
        <v>148</v>
      </c>
      <c r="B149">
        <v>34</v>
      </c>
      <c r="C149" t="s">
        <v>174</v>
      </c>
      <c r="D149">
        <v>4000.93</v>
      </c>
      <c r="F149" s="8"/>
      <c r="G149" s="9"/>
    </row>
    <row r="150" spans="1:7" x14ac:dyDescent="0.2">
      <c r="A150">
        <v>149</v>
      </c>
      <c r="B150">
        <v>34</v>
      </c>
      <c r="C150" t="s">
        <v>180</v>
      </c>
      <c r="D150">
        <v>3694.84</v>
      </c>
      <c r="F150" s="8"/>
      <c r="G150" s="9"/>
    </row>
    <row r="151" spans="1:7" x14ac:dyDescent="0.2">
      <c r="A151">
        <v>150</v>
      </c>
      <c r="B151">
        <v>34</v>
      </c>
      <c r="C151" t="s">
        <v>179</v>
      </c>
      <c r="D151">
        <v>4626.5</v>
      </c>
      <c r="F151" s="8"/>
      <c r="G151" s="9"/>
    </row>
    <row r="152" spans="1:7" x14ac:dyDescent="0.2">
      <c r="A152">
        <v>151</v>
      </c>
      <c r="B152">
        <v>34</v>
      </c>
      <c r="C152" t="s">
        <v>178</v>
      </c>
      <c r="D152">
        <v>3593.15</v>
      </c>
      <c r="F152" s="8"/>
      <c r="G152" s="9"/>
    </row>
    <row r="153" spans="1:7" x14ac:dyDescent="0.2">
      <c r="A153">
        <v>152</v>
      </c>
      <c r="B153">
        <v>34</v>
      </c>
      <c r="C153" t="s">
        <v>182</v>
      </c>
      <c r="D153">
        <v>4811.8</v>
      </c>
      <c r="F153" s="8"/>
      <c r="G153" s="9"/>
    </row>
    <row r="154" spans="1:7" x14ac:dyDescent="0.2">
      <c r="A154">
        <v>153</v>
      </c>
      <c r="B154">
        <v>35</v>
      </c>
      <c r="C154" t="s">
        <v>182</v>
      </c>
      <c r="D154">
        <v>2118.19</v>
      </c>
      <c r="F154" s="8"/>
      <c r="G154" s="9"/>
    </row>
    <row r="155" spans="1:7" x14ac:dyDescent="0.2">
      <c r="A155">
        <v>154</v>
      </c>
      <c r="B155">
        <v>35</v>
      </c>
      <c r="C155" t="s">
        <v>183</v>
      </c>
      <c r="D155">
        <v>2019.05</v>
      </c>
    </row>
    <row r="156" spans="1:7" x14ac:dyDescent="0.2">
      <c r="A156">
        <v>155</v>
      </c>
      <c r="B156">
        <v>35</v>
      </c>
      <c r="C156" t="s">
        <v>181</v>
      </c>
      <c r="D156">
        <v>1969.92</v>
      </c>
    </row>
    <row r="157" spans="1:7" x14ac:dyDescent="0.2">
      <c r="A157">
        <v>156</v>
      </c>
      <c r="B157">
        <v>35</v>
      </c>
      <c r="C157" t="s">
        <v>180</v>
      </c>
      <c r="D157">
        <v>2079.31</v>
      </c>
    </row>
    <row r="158" spans="1:7" x14ac:dyDescent="0.2">
      <c r="A158">
        <v>157</v>
      </c>
      <c r="B158">
        <v>35</v>
      </c>
      <c r="C158" t="s">
        <v>175</v>
      </c>
      <c r="D158">
        <v>2261.48</v>
      </c>
    </row>
    <row r="159" spans="1:7" x14ac:dyDescent="0.2">
      <c r="A159">
        <v>158</v>
      </c>
      <c r="B159">
        <v>36</v>
      </c>
      <c r="C159" t="s">
        <v>175</v>
      </c>
      <c r="D159">
        <v>2305.71</v>
      </c>
    </row>
    <row r="160" spans="1:7" x14ac:dyDescent="0.2">
      <c r="A160">
        <v>159</v>
      </c>
      <c r="B160">
        <v>36</v>
      </c>
      <c r="C160" t="s">
        <v>183</v>
      </c>
      <c r="D160">
        <v>2978.01</v>
      </c>
    </row>
    <row r="161" spans="1:4" x14ac:dyDescent="0.2">
      <c r="A161">
        <v>160</v>
      </c>
      <c r="B161">
        <v>36</v>
      </c>
      <c r="C161" t="s">
        <v>181</v>
      </c>
      <c r="D161">
        <v>2565.1999999999998</v>
      </c>
    </row>
    <row r="162" spans="1:4" x14ac:dyDescent="0.2">
      <c r="A162">
        <v>161</v>
      </c>
      <c r="B162">
        <v>36</v>
      </c>
      <c r="C162" t="s">
        <v>180</v>
      </c>
      <c r="D162">
        <v>2868.63</v>
      </c>
    </row>
    <row r="163" spans="1:4" x14ac:dyDescent="0.2">
      <c r="A163">
        <v>162</v>
      </c>
      <c r="B163">
        <v>36</v>
      </c>
      <c r="C163" t="s">
        <v>176</v>
      </c>
      <c r="D163">
        <v>2557.69</v>
      </c>
    </row>
    <row r="164" spans="1:4" x14ac:dyDescent="0.2">
      <c r="A164">
        <v>163</v>
      </c>
      <c r="B164">
        <v>36</v>
      </c>
      <c r="C164" t="s">
        <v>182</v>
      </c>
      <c r="D164">
        <v>3083.23</v>
      </c>
    </row>
    <row r="165" spans="1:4" x14ac:dyDescent="0.2">
      <c r="A165">
        <v>164</v>
      </c>
      <c r="B165">
        <v>37</v>
      </c>
      <c r="C165" t="s">
        <v>175</v>
      </c>
      <c r="D165">
        <v>2073.35</v>
      </c>
    </row>
    <row r="166" spans="1:4" x14ac:dyDescent="0.2">
      <c r="A166">
        <v>165</v>
      </c>
      <c r="B166">
        <v>37</v>
      </c>
      <c r="C166" t="s">
        <v>178</v>
      </c>
      <c r="D166">
        <v>3652.85</v>
      </c>
    </row>
    <row r="167" spans="1:4" x14ac:dyDescent="0.2">
      <c r="A167">
        <v>166</v>
      </c>
      <c r="B167">
        <v>37</v>
      </c>
      <c r="C167" t="s">
        <v>180</v>
      </c>
      <c r="D167">
        <v>2206.4299999999998</v>
      </c>
    </row>
    <row r="168" spans="1:4" x14ac:dyDescent="0.2">
      <c r="A168">
        <v>167</v>
      </c>
      <c r="B168">
        <v>37</v>
      </c>
      <c r="C168" t="s">
        <v>179</v>
      </c>
      <c r="D168">
        <v>2238.6999999999998</v>
      </c>
    </row>
    <row r="169" spans="1:4" x14ac:dyDescent="0.2">
      <c r="A169">
        <v>168</v>
      </c>
      <c r="B169">
        <v>37</v>
      </c>
      <c r="C169" t="s">
        <v>182</v>
      </c>
      <c r="D169">
        <v>2921.55</v>
      </c>
    </row>
    <row r="170" spans="1:4" x14ac:dyDescent="0.2">
      <c r="A170">
        <v>169</v>
      </c>
      <c r="B170">
        <v>38</v>
      </c>
      <c r="C170" t="s">
        <v>176</v>
      </c>
      <c r="D170">
        <v>651.24</v>
      </c>
    </row>
    <row r="171" spans="1:4" x14ac:dyDescent="0.2">
      <c r="A171">
        <v>170</v>
      </c>
      <c r="B171">
        <v>38</v>
      </c>
      <c r="C171" t="s">
        <v>179</v>
      </c>
      <c r="D171">
        <v>541.19000000000005</v>
      </c>
    </row>
    <row r="172" spans="1:4" x14ac:dyDescent="0.2">
      <c r="A172">
        <v>171</v>
      </c>
      <c r="B172">
        <v>38</v>
      </c>
      <c r="C172" t="s">
        <v>182</v>
      </c>
      <c r="D172">
        <v>428.38</v>
      </c>
    </row>
    <row r="173" spans="1:4" x14ac:dyDescent="0.2">
      <c r="A173">
        <v>172</v>
      </c>
      <c r="B173">
        <v>38</v>
      </c>
      <c r="C173" t="s">
        <v>177</v>
      </c>
      <c r="D173">
        <v>537.95000000000005</v>
      </c>
    </row>
    <row r="174" spans="1:4" x14ac:dyDescent="0.2">
      <c r="A174">
        <v>173</v>
      </c>
      <c r="B174">
        <v>38</v>
      </c>
      <c r="C174" t="s">
        <v>175</v>
      </c>
      <c r="D174">
        <v>430.54</v>
      </c>
    </row>
    <row r="175" spans="1:4" x14ac:dyDescent="0.2">
      <c r="A175">
        <v>174</v>
      </c>
      <c r="B175">
        <v>39</v>
      </c>
      <c r="C175" t="s">
        <v>181</v>
      </c>
      <c r="D175">
        <v>9843.33</v>
      </c>
    </row>
    <row r="176" spans="1:4" x14ac:dyDescent="0.2">
      <c r="A176">
        <v>175</v>
      </c>
      <c r="B176">
        <v>39</v>
      </c>
      <c r="C176" t="s">
        <v>178</v>
      </c>
      <c r="D176">
        <v>10307.49</v>
      </c>
    </row>
    <row r="177" spans="1:4" x14ac:dyDescent="0.2">
      <c r="A177">
        <v>176</v>
      </c>
      <c r="B177">
        <v>39</v>
      </c>
      <c r="C177" t="s">
        <v>183</v>
      </c>
      <c r="D177">
        <v>10526.26</v>
      </c>
    </row>
    <row r="178" spans="1:4" x14ac:dyDescent="0.2">
      <c r="A178">
        <v>177</v>
      </c>
      <c r="B178">
        <v>39</v>
      </c>
      <c r="C178" t="s">
        <v>176</v>
      </c>
      <c r="D178">
        <v>6655.73</v>
      </c>
    </row>
    <row r="179" spans="1:4" x14ac:dyDescent="0.2">
      <c r="A179">
        <v>178</v>
      </c>
      <c r="B179">
        <v>39</v>
      </c>
      <c r="C179" t="s">
        <v>179</v>
      </c>
      <c r="D179">
        <v>10445.23</v>
      </c>
    </row>
    <row r="180" spans="1:4" x14ac:dyDescent="0.2">
      <c r="A180">
        <v>179</v>
      </c>
      <c r="B180">
        <v>40</v>
      </c>
      <c r="C180" t="s">
        <v>179</v>
      </c>
      <c r="D180">
        <v>542.57000000000005</v>
      </c>
    </row>
    <row r="181" spans="1:4" x14ac:dyDescent="0.2">
      <c r="A181">
        <v>180</v>
      </c>
      <c r="B181">
        <v>40</v>
      </c>
      <c r="C181" t="s">
        <v>177</v>
      </c>
      <c r="D181">
        <v>638.51</v>
      </c>
    </row>
    <row r="182" spans="1:4" x14ac:dyDescent="0.2">
      <c r="A182">
        <v>181</v>
      </c>
      <c r="B182">
        <v>40</v>
      </c>
      <c r="C182" t="s">
        <v>182</v>
      </c>
      <c r="D182">
        <v>720.46</v>
      </c>
    </row>
    <row r="183" spans="1:4" x14ac:dyDescent="0.2">
      <c r="A183">
        <v>182</v>
      </c>
      <c r="B183">
        <v>40</v>
      </c>
      <c r="C183" t="s">
        <v>176</v>
      </c>
      <c r="D183">
        <v>577.79999999999995</v>
      </c>
    </row>
    <row r="184" spans="1:4" x14ac:dyDescent="0.2">
      <c r="A184">
        <v>183</v>
      </c>
      <c r="B184">
        <v>40</v>
      </c>
      <c r="C184" t="s">
        <v>178</v>
      </c>
      <c r="D184">
        <v>539.19000000000005</v>
      </c>
    </row>
    <row r="185" spans="1:4" x14ac:dyDescent="0.2">
      <c r="A185">
        <v>184</v>
      </c>
      <c r="B185">
        <v>41</v>
      </c>
      <c r="C185" t="s">
        <v>179</v>
      </c>
      <c r="D185">
        <v>1929.35</v>
      </c>
    </row>
    <row r="186" spans="1:4" x14ac:dyDescent="0.2">
      <c r="A186">
        <v>185</v>
      </c>
      <c r="B186">
        <v>41</v>
      </c>
      <c r="C186" t="s">
        <v>181</v>
      </c>
      <c r="D186">
        <v>1959.26</v>
      </c>
    </row>
    <row r="187" spans="1:4" x14ac:dyDescent="0.2">
      <c r="A187">
        <v>186</v>
      </c>
      <c r="B187">
        <v>41</v>
      </c>
      <c r="C187" t="s">
        <v>182</v>
      </c>
      <c r="D187">
        <v>1582.26</v>
      </c>
    </row>
    <row r="188" spans="1:4" x14ac:dyDescent="0.2">
      <c r="A188">
        <v>187</v>
      </c>
      <c r="B188">
        <v>41</v>
      </c>
      <c r="C188" t="s">
        <v>178</v>
      </c>
      <c r="D188">
        <v>1458.7</v>
      </c>
    </row>
    <row r="189" spans="1:4" x14ac:dyDescent="0.2">
      <c r="A189">
        <v>188</v>
      </c>
      <c r="B189">
        <v>41</v>
      </c>
      <c r="C189" t="s">
        <v>177</v>
      </c>
      <c r="D189">
        <v>1395.12</v>
      </c>
    </row>
    <row r="190" spans="1:4" x14ac:dyDescent="0.2">
      <c r="A190">
        <v>189</v>
      </c>
      <c r="B190">
        <v>41</v>
      </c>
      <c r="C190" t="s">
        <v>174</v>
      </c>
      <c r="D190">
        <v>1210.06</v>
      </c>
    </row>
    <row r="191" spans="1:4" x14ac:dyDescent="0.2">
      <c r="A191">
        <v>190</v>
      </c>
      <c r="B191">
        <v>42</v>
      </c>
      <c r="C191" t="s">
        <v>180</v>
      </c>
      <c r="D191">
        <v>421.6</v>
      </c>
    </row>
    <row r="192" spans="1:4" x14ac:dyDescent="0.2">
      <c r="A192">
        <v>191</v>
      </c>
      <c r="B192">
        <v>42</v>
      </c>
      <c r="C192" t="s">
        <v>183</v>
      </c>
      <c r="D192">
        <v>623.61</v>
      </c>
    </row>
    <row r="193" spans="1:4" x14ac:dyDescent="0.2">
      <c r="A193">
        <v>192</v>
      </c>
      <c r="B193">
        <v>42</v>
      </c>
      <c r="C193" t="s">
        <v>179</v>
      </c>
      <c r="D193">
        <v>495.16</v>
      </c>
    </row>
    <row r="194" spans="1:4" x14ac:dyDescent="0.2">
      <c r="A194">
        <v>193</v>
      </c>
      <c r="B194">
        <v>43</v>
      </c>
      <c r="C194" t="s">
        <v>176</v>
      </c>
      <c r="D194">
        <v>508.72</v>
      </c>
    </row>
    <row r="195" spans="1:4" x14ac:dyDescent="0.2">
      <c r="A195">
        <v>194</v>
      </c>
      <c r="B195">
        <v>43</v>
      </c>
      <c r="C195" t="s">
        <v>175</v>
      </c>
      <c r="D195">
        <v>389.57</v>
      </c>
    </row>
    <row r="196" spans="1:4" x14ac:dyDescent="0.2">
      <c r="A196">
        <v>195</v>
      </c>
      <c r="B196">
        <v>43</v>
      </c>
      <c r="C196" t="s">
        <v>181</v>
      </c>
      <c r="D196">
        <v>368.46</v>
      </c>
    </row>
    <row r="197" spans="1:4" x14ac:dyDescent="0.2">
      <c r="A197">
        <v>196</v>
      </c>
      <c r="B197">
        <v>43</v>
      </c>
      <c r="C197" t="s">
        <v>180</v>
      </c>
      <c r="D197">
        <v>510.99</v>
      </c>
    </row>
    <row r="198" spans="1:4" x14ac:dyDescent="0.2">
      <c r="A198">
        <v>197</v>
      </c>
      <c r="B198">
        <v>43</v>
      </c>
      <c r="C198" t="s">
        <v>183</v>
      </c>
      <c r="D198">
        <v>475.31</v>
      </c>
    </row>
    <row r="199" spans="1:4" x14ac:dyDescent="0.2">
      <c r="A199">
        <v>198</v>
      </c>
      <c r="B199">
        <v>43</v>
      </c>
      <c r="C199" t="s">
        <v>182</v>
      </c>
      <c r="D199">
        <v>420.13</v>
      </c>
    </row>
    <row r="200" spans="1:4" x14ac:dyDescent="0.2">
      <c r="A200">
        <v>199</v>
      </c>
      <c r="B200">
        <v>44</v>
      </c>
      <c r="C200" t="s">
        <v>179</v>
      </c>
      <c r="D200">
        <v>4050.63</v>
      </c>
    </row>
    <row r="201" spans="1:4" x14ac:dyDescent="0.2">
      <c r="A201">
        <v>200</v>
      </c>
      <c r="B201">
        <v>44</v>
      </c>
      <c r="C201" t="s">
        <v>183</v>
      </c>
      <c r="D201">
        <v>3742.61</v>
      </c>
    </row>
    <row r="202" spans="1:4" x14ac:dyDescent="0.2">
      <c r="A202">
        <v>201</v>
      </c>
      <c r="B202">
        <v>44</v>
      </c>
      <c r="C202" t="s">
        <v>178</v>
      </c>
      <c r="D202">
        <v>4401.2299999999996</v>
      </c>
    </row>
    <row r="203" spans="1:4" x14ac:dyDescent="0.2">
      <c r="A203">
        <v>202</v>
      </c>
      <c r="B203">
        <v>45</v>
      </c>
      <c r="C203" t="s">
        <v>178</v>
      </c>
      <c r="D203">
        <v>3581.59</v>
      </c>
    </row>
    <row r="204" spans="1:4" x14ac:dyDescent="0.2">
      <c r="A204">
        <v>203</v>
      </c>
      <c r="B204">
        <v>45</v>
      </c>
      <c r="C204" t="s">
        <v>174</v>
      </c>
      <c r="D204">
        <v>5298.01</v>
      </c>
    </row>
    <row r="205" spans="1:4" x14ac:dyDescent="0.2">
      <c r="A205">
        <v>204</v>
      </c>
      <c r="B205">
        <v>45</v>
      </c>
      <c r="C205" t="s">
        <v>179</v>
      </c>
      <c r="D205">
        <v>4150.21</v>
      </c>
    </row>
    <row r="206" spans="1:4" x14ac:dyDescent="0.2">
      <c r="A206">
        <v>205</v>
      </c>
      <c r="B206">
        <v>45</v>
      </c>
      <c r="C206" t="s">
        <v>183</v>
      </c>
      <c r="D206">
        <v>4972.84</v>
      </c>
    </row>
    <row r="207" spans="1:4" x14ac:dyDescent="0.2">
      <c r="A207">
        <v>206</v>
      </c>
      <c r="B207">
        <v>45</v>
      </c>
      <c r="C207" t="s">
        <v>182</v>
      </c>
      <c r="D207">
        <v>4177.99</v>
      </c>
    </row>
    <row r="208" spans="1:4" x14ac:dyDescent="0.2">
      <c r="A208">
        <v>207</v>
      </c>
      <c r="B208">
        <v>46</v>
      </c>
      <c r="C208" t="s">
        <v>183</v>
      </c>
      <c r="D208">
        <v>4875.42</v>
      </c>
    </row>
    <row r="209" spans="1:4" x14ac:dyDescent="0.2">
      <c r="A209">
        <v>208</v>
      </c>
      <c r="B209">
        <v>46</v>
      </c>
      <c r="C209" t="s">
        <v>176</v>
      </c>
      <c r="D209">
        <v>5386.56</v>
      </c>
    </row>
    <row r="210" spans="1:4" x14ac:dyDescent="0.2">
      <c r="A210">
        <v>209</v>
      </c>
      <c r="B210">
        <v>46</v>
      </c>
      <c r="C210" t="s">
        <v>182</v>
      </c>
      <c r="D210">
        <v>4648.6000000000004</v>
      </c>
    </row>
    <row r="211" spans="1:4" x14ac:dyDescent="0.2">
      <c r="A211">
        <v>210</v>
      </c>
      <c r="B211">
        <v>46</v>
      </c>
      <c r="C211" t="s">
        <v>180</v>
      </c>
      <c r="D211">
        <v>3854.13</v>
      </c>
    </row>
    <row r="212" spans="1:4" x14ac:dyDescent="0.2">
      <c r="A212">
        <v>211</v>
      </c>
      <c r="B212">
        <v>46</v>
      </c>
      <c r="C212" t="s">
        <v>178</v>
      </c>
      <c r="D212">
        <v>3723.68</v>
      </c>
    </row>
    <row r="213" spans="1:4" x14ac:dyDescent="0.2">
      <c r="A213">
        <v>212</v>
      </c>
      <c r="B213">
        <v>47</v>
      </c>
      <c r="C213" t="s">
        <v>182</v>
      </c>
      <c r="D213">
        <v>2170.73</v>
      </c>
    </row>
    <row r="214" spans="1:4" x14ac:dyDescent="0.2">
      <c r="A214">
        <v>213</v>
      </c>
      <c r="B214">
        <v>47</v>
      </c>
      <c r="C214" t="s">
        <v>176</v>
      </c>
      <c r="D214">
        <v>1652.7</v>
      </c>
    </row>
    <row r="215" spans="1:4" x14ac:dyDescent="0.2">
      <c r="A215">
        <v>214</v>
      </c>
      <c r="B215">
        <v>47</v>
      </c>
      <c r="C215" t="s">
        <v>177</v>
      </c>
      <c r="D215">
        <v>2197.19</v>
      </c>
    </row>
    <row r="216" spans="1:4" x14ac:dyDescent="0.2">
      <c r="A216">
        <v>215</v>
      </c>
      <c r="B216">
        <v>47</v>
      </c>
      <c r="C216" t="s">
        <v>178</v>
      </c>
      <c r="D216">
        <v>2308.21</v>
      </c>
    </row>
    <row r="217" spans="1:4" x14ac:dyDescent="0.2">
      <c r="A217">
        <v>216</v>
      </c>
      <c r="B217">
        <v>47</v>
      </c>
      <c r="C217" t="s">
        <v>175</v>
      </c>
      <c r="D217">
        <v>1926.39</v>
      </c>
    </row>
    <row r="218" spans="1:4" x14ac:dyDescent="0.2">
      <c r="A218">
        <v>217</v>
      </c>
      <c r="B218">
        <v>48</v>
      </c>
      <c r="C218" t="s">
        <v>175</v>
      </c>
      <c r="D218">
        <v>1222.72</v>
      </c>
    </row>
    <row r="219" spans="1:4" x14ac:dyDescent="0.2">
      <c r="A219">
        <v>218</v>
      </c>
      <c r="B219">
        <v>48</v>
      </c>
      <c r="C219" t="s">
        <v>174</v>
      </c>
      <c r="D219">
        <v>845.71</v>
      </c>
    </row>
    <row r="220" spans="1:4" x14ac:dyDescent="0.2">
      <c r="A220">
        <v>219</v>
      </c>
      <c r="B220">
        <v>48</v>
      </c>
      <c r="C220" t="s">
        <v>182</v>
      </c>
      <c r="D220">
        <v>814.22</v>
      </c>
    </row>
    <row r="221" spans="1:4" x14ac:dyDescent="0.2">
      <c r="A221">
        <v>220</v>
      </c>
      <c r="B221">
        <v>48</v>
      </c>
      <c r="C221" t="s">
        <v>180</v>
      </c>
      <c r="D221">
        <v>1318.8</v>
      </c>
    </row>
    <row r="222" spans="1:4" x14ac:dyDescent="0.2">
      <c r="A222">
        <v>221</v>
      </c>
      <c r="B222">
        <v>49</v>
      </c>
      <c r="C222" t="s">
        <v>180</v>
      </c>
      <c r="D222">
        <v>1901.17</v>
      </c>
    </row>
    <row r="223" spans="1:4" x14ac:dyDescent="0.2">
      <c r="A223">
        <v>222</v>
      </c>
      <c r="B223">
        <v>49</v>
      </c>
      <c r="C223" t="s">
        <v>181</v>
      </c>
      <c r="D223">
        <v>1718.77</v>
      </c>
    </row>
    <row r="224" spans="1:4" x14ac:dyDescent="0.2">
      <c r="A224">
        <v>223</v>
      </c>
      <c r="B224">
        <v>49</v>
      </c>
      <c r="C224" t="s">
        <v>178</v>
      </c>
      <c r="D224">
        <v>1166.3800000000001</v>
      </c>
    </row>
    <row r="225" spans="1:4" x14ac:dyDescent="0.2">
      <c r="A225">
        <v>224</v>
      </c>
      <c r="B225">
        <v>49</v>
      </c>
      <c r="C225" t="s">
        <v>179</v>
      </c>
      <c r="D225">
        <v>1755.85</v>
      </c>
    </row>
    <row r="226" spans="1:4" x14ac:dyDescent="0.2">
      <c r="A226">
        <v>225</v>
      </c>
      <c r="B226">
        <v>50</v>
      </c>
      <c r="C226" t="s">
        <v>178</v>
      </c>
      <c r="D226">
        <v>5991.47</v>
      </c>
    </row>
    <row r="227" spans="1:4" x14ac:dyDescent="0.2">
      <c r="A227">
        <v>226</v>
      </c>
      <c r="B227">
        <v>50</v>
      </c>
      <c r="C227" t="s">
        <v>174</v>
      </c>
      <c r="D227">
        <v>4455.4799999999996</v>
      </c>
    </row>
    <row r="228" spans="1:4" x14ac:dyDescent="0.2">
      <c r="A228">
        <v>227</v>
      </c>
      <c r="B228">
        <v>50</v>
      </c>
      <c r="C228" t="s">
        <v>175</v>
      </c>
      <c r="D228">
        <v>5001.43</v>
      </c>
    </row>
    <row r="229" spans="1:4" x14ac:dyDescent="0.2">
      <c r="A229">
        <v>228</v>
      </c>
      <c r="B229">
        <v>50</v>
      </c>
      <c r="C229" t="s">
        <v>176</v>
      </c>
      <c r="D229">
        <v>4479.3500000000004</v>
      </c>
    </row>
    <row r="230" spans="1:4" x14ac:dyDescent="0.2">
      <c r="A230">
        <v>229</v>
      </c>
      <c r="B230">
        <v>50</v>
      </c>
      <c r="C230" t="s">
        <v>179</v>
      </c>
      <c r="D230">
        <v>3899.71</v>
      </c>
    </row>
    <row r="231" spans="1:4" x14ac:dyDescent="0.2">
      <c r="A231">
        <v>230</v>
      </c>
      <c r="B231">
        <v>50</v>
      </c>
      <c r="C231" t="s">
        <v>177</v>
      </c>
      <c r="D231">
        <v>5630.45</v>
      </c>
    </row>
    <row r="232" spans="1:4" x14ac:dyDescent="0.2">
      <c r="A232">
        <v>231</v>
      </c>
      <c r="B232">
        <v>51</v>
      </c>
      <c r="C232" t="s">
        <v>177</v>
      </c>
      <c r="D232">
        <v>3979.17</v>
      </c>
    </row>
    <row r="233" spans="1:4" x14ac:dyDescent="0.2">
      <c r="A233">
        <v>232</v>
      </c>
      <c r="B233">
        <v>51</v>
      </c>
      <c r="C233" t="s">
        <v>180</v>
      </c>
      <c r="D233">
        <v>5417.51</v>
      </c>
    </row>
    <row r="234" spans="1:4" x14ac:dyDescent="0.2">
      <c r="A234">
        <v>233</v>
      </c>
      <c r="B234">
        <v>51</v>
      </c>
      <c r="C234" t="s">
        <v>175</v>
      </c>
      <c r="D234">
        <v>5251.16</v>
      </c>
    </row>
    <row r="235" spans="1:4" x14ac:dyDescent="0.2">
      <c r="A235">
        <v>234</v>
      </c>
      <c r="B235">
        <v>51</v>
      </c>
      <c r="C235" t="s">
        <v>183</v>
      </c>
      <c r="D235">
        <v>4080.51</v>
      </c>
    </row>
    <row r="236" spans="1:4" x14ac:dyDescent="0.2">
      <c r="A236">
        <v>235</v>
      </c>
      <c r="B236">
        <v>51</v>
      </c>
      <c r="C236" t="s">
        <v>182</v>
      </c>
      <c r="D236">
        <v>6870.22</v>
      </c>
    </row>
    <row r="237" spans="1:4" x14ac:dyDescent="0.2">
      <c r="A237">
        <v>236</v>
      </c>
      <c r="B237">
        <v>51</v>
      </c>
      <c r="C237" t="s">
        <v>181</v>
      </c>
      <c r="D237">
        <v>6703.53</v>
      </c>
    </row>
    <row r="238" spans="1:4" x14ac:dyDescent="0.2">
      <c r="A238">
        <v>237</v>
      </c>
      <c r="B238">
        <v>52</v>
      </c>
      <c r="C238" t="s">
        <v>177</v>
      </c>
      <c r="D238">
        <v>7621.02</v>
      </c>
    </row>
    <row r="239" spans="1:4" x14ac:dyDescent="0.2">
      <c r="A239">
        <v>238</v>
      </c>
      <c r="B239">
        <v>52</v>
      </c>
      <c r="C239" t="s">
        <v>180</v>
      </c>
      <c r="D239">
        <v>7521.96</v>
      </c>
    </row>
    <row r="240" spans="1:4" x14ac:dyDescent="0.2">
      <c r="A240">
        <v>239</v>
      </c>
      <c r="B240">
        <v>52</v>
      </c>
      <c r="C240" t="s">
        <v>182</v>
      </c>
      <c r="D240">
        <v>4598.93</v>
      </c>
    </row>
    <row r="241" spans="1:4" x14ac:dyDescent="0.2">
      <c r="A241">
        <v>240</v>
      </c>
      <c r="B241">
        <v>52</v>
      </c>
      <c r="C241" t="s">
        <v>178</v>
      </c>
      <c r="D241">
        <v>5290.45</v>
      </c>
    </row>
    <row r="242" spans="1:4" x14ac:dyDescent="0.2">
      <c r="A242">
        <v>241</v>
      </c>
      <c r="B242">
        <v>53</v>
      </c>
      <c r="C242" t="s">
        <v>175</v>
      </c>
      <c r="D242">
        <v>781.26</v>
      </c>
    </row>
    <row r="243" spans="1:4" x14ac:dyDescent="0.2">
      <c r="A243">
        <v>242</v>
      </c>
      <c r="B243">
        <v>53</v>
      </c>
      <c r="C243" t="s">
        <v>179</v>
      </c>
      <c r="D243">
        <v>887.33</v>
      </c>
    </row>
    <row r="244" spans="1:4" x14ac:dyDescent="0.2">
      <c r="A244">
        <v>243</v>
      </c>
      <c r="B244">
        <v>53</v>
      </c>
      <c r="C244" t="s">
        <v>177</v>
      </c>
      <c r="D244">
        <v>1169.72</v>
      </c>
    </row>
    <row r="245" spans="1:4" x14ac:dyDescent="0.2">
      <c r="A245">
        <v>244</v>
      </c>
      <c r="B245">
        <v>53</v>
      </c>
      <c r="C245" t="s">
        <v>178</v>
      </c>
      <c r="D245">
        <v>979.01</v>
      </c>
    </row>
    <row r="246" spans="1:4" x14ac:dyDescent="0.2">
      <c r="A246">
        <v>245</v>
      </c>
      <c r="B246">
        <v>54</v>
      </c>
      <c r="C246" t="s">
        <v>181</v>
      </c>
      <c r="D246">
        <v>3166.87</v>
      </c>
    </row>
    <row r="247" spans="1:4" x14ac:dyDescent="0.2">
      <c r="A247">
        <v>246</v>
      </c>
      <c r="B247">
        <v>54</v>
      </c>
      <c r="C247" t="s">
        <v>176</v>
      </c>
      <c r="D247">
        <v>3226.18</v>
      </c>
    </row>
    <row r="248" spans="1:4" x14ac:dyDescent="0.2">
      <c r="A248">
        <v>247</v>
      </c>
      <c r="B248">
        <v>54</v>
      </c>
      <c r="C248" t="s">
        <v>178</v>
      </c>
      <c r="D248">
        <v>2797.01</v>
      </c>
    </row>
    <row r="249" spans="1:4" x14ac:dyDescent="0.2">
      <c r="A249">
        <v>248</v>
      </c>
      <c r="B249">
        <v>54</v>
      </c>
      <c r="C249" t="s">
        <v>179</v>
      </c>
      <c r="D249">
        <v>2643.13</v>
      </c>
    </row>
    <row r="250" spans="1:4" x14ac:dyDescent="0.2">
      <c r="A250">
        <v>249</v>
      </c>
      <c r="B250">
        <v>55</v>
      </c>
      <c r="C250" t="s">
        <v>174</v>
      </c>
      <c r="D250">
        <v>2031.97</v>
      </c>
    </row>
    <row r="251" spans="1:4" x14ac:dyDescent="0.2">
      <c r="A251">
        <v>250</v>
      </c>
      <c r="B251">
        <v>55</v>
      </c>
      <c r="C251" t="s">
        <v>178</v>
      </c>
      <c r="D251">
        <v>1427.96</v>
      </c>
    </row>
    <row r="252" spans="1:4" x14ac:dyDescent="0.2">
      <c r="A252">
        <v>251</v>
      </c>
      <c r="B252">
        <v>55</v>
      </c>
      <c r="C252" t="s">
        <v>179</v>
      </c>
      <c r="D252">
        <v>1319.69</v>
      </c>
    </row>
    <row r="253" spans="1:4" x14ac:dyDescent="0.2">
      <c r="A253">
        <v>252</v>
      </c>
      <c r="B253">
        <v>55</v>
      </c>
      <c r="C253" t="s">
        <v>180</v>
      </c>
      <c r="D253">
        <v>1255.45</v>
      </c>
    </row>
    <row r="254" spans="1:4" x14ac:dyDescent="0.2">
      <c r="A254">
        <v>253</v>
      </c>
      <c r="B254">
        <v>56</v>
      </c>
      <c r="C254" t="s">
        <v>177</v>
      </c>
      <c r="D254">
        <v>2980.19</v>
      </c>
    </row>
    <row r="255" spans="1:4" x14ac:dyDescent="0.2">
      <c r="A255">
        <v>254</v>
      </c>
      <c r="B255">
        <v>56</v>
      </c>
      <c r="C255" t="s">
        <v>180</v>
      </c>
      <c r="D255">
        <v>3738.57</v>
      </c>
    </row>
    <row r="256" spans="1:4" x14ac:dyDescent="0.2">
      <c r="A256">
        <v>255</v>
      </c>
      <c r="B256">
        <v>56</v>
      </c>
      <c r="C256" t="s">
        <v>181</v>
      </c>
      <c r="D256">
        <v>4439.47</v>
      </c>
    </row>
    <row r="257" spans="1:4" x14ac:dyDescent="0.2">
      <c r="A257">
        <v>256</v>
      </c>
      <c r="B257">
        <v>56</v>
      </c>
      <c r="C257" t="s">
        <v>176</v>
      </c>
      <c r="D257">
        <v>2677.48</v>
      </c>
    </row>
    <row r="258" spans="1:4" x14ac:dyDescent="0.2">
      <c r="A258">
        <v>257</v>
      </c>
      <c r="B258">
        <v>57</v>
      </c>
      <c r="C258" t="s">
        <v>177</v>
      </c>
      <c r="D258">
        <v>1666.04</v>
      </c>
    </row>
    <row r="259" spans="1:4" x14ac:dyDescent="0.2">
      <c r="A259">
        <v>258</v>
      </c>
      <c r="B259">
        <v>57</v>
      </c>
      <c r="C259" t="s">
        <v>174</v>
      </c>
      <c r="D259">
        <v>2171.38</v>
      </c>
    </row>
    <row r="260" spans="1:4" x14ac:dyDescent="0.2">
      <c r="A260">
        <v>259</v>
      </c>
      <c r="B260">
        <v>57</v>
      </c>
      <c r="C260" t="s">
        <v>182</v>
      </c>
      <c r="D260">
        <v>1530</v>
      </c>
    </row>
    <row r="261" spans="1:4" x14ac:dyDescent="0.2">
      <c r="A261">
        <v>260</v>
      </c>
      <c r="B261">
        <v>57</v>
      </c>
      <c r="C261" t="s">
        <v>178</v>
      </c>
      <c r="D261">
        <v>1980.51</v>
      </c>
    </row>
    <row r="262" spans="1:4" x14ac:dyDescent="0.2">
      <c r="A262">
        <v>261</v>
      </c>
      <c r="B262">
        <v>58</v>
      </c>
      <c r="C262" t="s">
        <v>178</v>
      </c>
      <c r="D262">
        <v>1121.8499999999999</v>
      </c>
    </row>
    <row r="263" spans="1:4" x14ac:dyDescent="0.2">
      <c r="A263">
        <v>262</v>
      </c>
      <c r="B263">
        <v>58</v>
      </c>
      <c r="C263" t="s">
        <v>176</v>
      </c>
      <c r="D263">
        <v>1949.81</v>
      </c>
    </row>
    <row r="264" spans="1:4" x14ac:dyDescent="0.2">
      <c r="A264">
        <v>263</v>
      </c>
      <c r="B264">
        <v>58</v>
      </c>
      <c r="C264" t="s">
        <v>182</v>
      </c>
      <c r="D264">
        <v>1298.42</v>
      </c>
    </row>
    <row r="265" spans="1:4" x14ac:dyDescent="0.2">
      <c r="A265">
        <v>264</v>
      </c>
      <c r="B265">
        <v>58</v>
      </c>
      <c r="C265" t="s">
        <v>179</v>
      </c>
      <c r="D265">
        <v>1389.33</v>
      </c>
    </row>
    <row r="266" spans="1:4" x14ac:dyDescent="0.2">
      <c r="A266">
        <v>265</v>
      </c>
      <c r="B266">
        <v>59</v>
      </c>
      <c r="C266" t="s">
        <v>180</v>
      </c>
      <c r="D266">
        <v>4312.22</v>
      </c>
    </row>
    <row r="267" spans="1:4" x14ac:dyDescent="0.2">
      <c r="A267">
        <v>266</v>
      </c>
      <c r="B267">
        <v>59</v>
      </c>
      <c r="C267" t="s">
        <v>179</v>
      </c>
      <c r="D267">
        <v>7163.13</v>
      </c>
    </row>
    <row r="268" spans="1:4" x14ac:dyDescent="0.2">
      <c r="A268">
        <v>267</v>
      </c>
      <c r="B268">
        <v>59</v>
      </c>
      <c r="C268" t="s">
        <v>183</v>
      </c>
      <c r="D268">
        <v>7138.95</v>
      </c>
    </row>
    <row r="269" spans="1:4" x14ac:dyDescent="0.2">
      <c r="A269">
        <v>268</v>
      </c>
      <c r="B269">
        <v>59</v>
      </c>
      <c r="C269" t="s">
        <v>176</v>
      </c>
      <c r="D269">
        <v>5809.57</v>
      </c>
    </row>
    <row r="270" spans="1:4" x14ac:dyDescent="0.2">
      <c r="A270">
        <v>269</v>
      </c>
      <c r="B270">
        <v>60</v>
      </c>
      <c r="C270" t="s">
        <v>182</v>
      </c>
      <c r="D270">
        <v>3615.63</v>
      </c>
    </row>
    <row r="271" spans="1:4" x14ac:dyDescent="0.2">
      <c r="A271">
        <v>270</v>
      </c>
      <c r="B271">
        <v>60</v>
      </c>
      <c r="C271" t="s">
        <v>178</v>
      </c>
      <c r="D271">
        <v>2800.4</v>
      </c>
    </row>
    <row r="272" spans="1:4" x14ac:dyDescent="0.2">
      <c r="A272">
        <v>271</v>
      </c>
      <c r="B272">
        <v>60</v>
      </c>
      <c r="C272" t="s">
        <v>183</v>
      </c>
      <c r="D272">
        <v>2727.23</v>
      </c>
    </row>
    <row r="273" spans="1:4" x14ac:dyDescent="0.2">
      <c r="A273">
        <v>272</v>
      </c>
      <c r="B273">
        <v>61</v>
      </c>
      <c r="C273" t="s">
        <v>183</v>
      </c>
      <c r="D273">
        <v>378.82</v>
      </c>
    </row>
    <row r="274" spans="1:4" x14ac:dyDescent="0.2">
      <c r="A274">
        <v>273</v>
      </c>
      <c r="B274">
        <v>61</v>
      </c>
      <c r="C274" t="s">
        <v>182</v>
      </c>
      <c r="D274">
        <v>440.43</v>
      </c>
    </row>
    <row r="275" spans="1:4" x14ac:dyDescent="0.2">
      <c r="A275">
        <v>274</v>
      </c>
      <c r="B275">
        <v>61</v>
      </c>
      <c r="C275" t="s">
        <v>181</v>
      </c>
      <c r="D275">
        <v>509.17</v>
      </c>
    </row>
    <row r="276" spans="1:4" x14ac:dyDescent="0.2">
      <c r="A276">
        <v>275</v>
      </c>
      <c r="B276">
        <v>61</v>
      </c>
      <c r="C276" t="s">
        <v>176</v>
      </c>
      <c r="D276">
        <v>326.20999999999998</v>
      </c>
    </row>
    <row r="277" spans="1:4" x14ac:dyDescent="0.2">
      <c r="A277">
        <v>276</v>
      </c>
      <c r="B277">
        <v>61</v>
      </c>
      <c r="C277" t="s">
        <v>179</v>
      </c>
      <c r="D277">
        <v>404.15</v>
      </c>
    </row>
    <row r="278" spans="1:4" x14ac:dyDescent="0.2">
      <c r="A278">
        <v>277</v>
      </c>
      <c r="B278">
        <v>62</v>
      </c>
      <c r="C278" t="s">
        <v>182</v>
      </c>
      <c r="D278">
        <v>5698.27</v>
      </c>
    </row>
    <row r="279" spans="1:4" x14ac:dyDescent="0.2">
      <c r="A279">
        <v>278</v>
      </c>
      <c r="B279">
        <v>62</v>
      </c>
      <c r="C279" t="s">
        <v>179</v>
      </c>
      <c r="D279">
        <v>5976.01</v>
      </c>
    </row>
    <row r="280" spans="1:4" x14ac:dyDescent="0.2">
      <c r="A280">
        <v>279</v>
      </c>
      <c r="B280">
        <v>62</v>
      </c>
      <c r="C280" t="s">
        <v>176</v>
      </c>
      <c r="D280">
        <v>5006.7</v>
      </c>
    </row>
    <row r="281" spans="1:4" x14ac:dyDescent="0.2">
      <c r="A281">
        <v>280</v>
      </c>
      <c r="B281">
        <v>63</v>
      </c>
      <c r="C281" t="s">
        <v>183</v>
      </c>
      <c r="D281">
        <v>4908.74</v>
      </c>
    </row>
    <row r="282" spans="1:4" x14ac:dyDescent="0.2">
      <c r="A282">
        <v>281</v>
      </c>
      <c r="B282">
        <v>63</v>
      </c>
      <c r="C282" t="s">
        <v>176</v>
      </c>
      <c r="D282">
        <v>5573.01</v>
      </c>
    </row>
    <row r="283" spans="1:4" x14ac:dyDescent="0.2">
      <c r="A283">
        <v>282</v>
      </c>
      <c r="B283">
        <v>63</v>
      </c>
      <c r="C283" t="s">
        <v>178</v>
      </c>
      <c r="D283">
        <v>4419.95</v>
      </c>
    </row>
    <row r="284" spans="1:4" x14ac:dyDescent="0.2">
      <c r="A284">
        <v>283</v>
      </c>
      <c r="B284">
        <v>63</v>
      </c>
      <c r="C284" t="s">
        <v>179</v>
      </c>
      <c r="D284">
        <v>4535.18</v>
      </c>
    </row>
    <row r="285" spans="1:4" x14ac:dyDescent="0.2">
      <c r="A285">
        <v>284</v>
      </c>
      <c r="B285">
        <v>64</v>
      </c>
      <c r="C285" t="s">
        <v>183</v>
      </c>
      <c r="D285">
        <v>4038.92</v>
      </c>
    </row>
    <row r="286" spans="1:4" x14ac:dyDescent="0.2">
      <c r="A286">
        <v>285</v>
      </c>
      <c r="B286">
        <v>64</v>
      </c>
      <c r="C286" t="s">
        <v>178</v>
      </c>
      <c r="D286">
        <v>3709.62</v>
      </c>
    </row>
    <row r="287" spans="1:4" x14ac:dyDescent="0.2">
      <c r="A287">
        <v>286</v>
      </c>
      <c r="B287">
        <v>64</v>
      </c>
      <c r="C287" t="s">
        <v>180</v>
      </c>
      <c r="D287">
        <v>3597.49</v>
      </c>
    </row>
    <row r="288" spans="1:4" x14ac:dyDescent="0.2">
      <c r="A288">
        <v>287</v>
      </c>
      <c r="B288">
        <v>65</v>
      </c>
      <c r="C288" t="s">
        <v>178</v>
      </c>
      <c r="D288">
        <v>1695.14</v>
      </c>
    </row>
    <row r="289" spans="1:4" x14ac:dyDescent="0.2">
      <c r="A289">
        <v>288</v>
      </c>
      <c r="B289">
        <v>65</v>
      </c>
      <c r="C289" t="s">
        <v>179</v>
      </c>
      <c r="D289">
        <v>1470.83</v>
      </c>
    </row>
    <row r="290" spans="1:4" x14ac:dyDescent="0.2">
      <c r="A290">
        <v>289</v>
      </c>
      <c r="B290">
        <v>65</v>
      </c>
      <c r="C290" t="s">
        <v>180</v>
      </c>
      <c r="D290">
        <v>2284</v>
      </c>
    </row>
    <row r="291" spans="1:4" x14ac:dyDescent="0.2">
      <c r="A291">
        <v>290</v>
      </c>
      <c r="B291">
        <v>65</v>
      </c>
      <c r="C291" t="s">
        <v>183</v>
      </c>
      <c r="D291">
        <v>1697.42</v>
      </c>
    </row>
    <row r="292" spans="1:4" x14ac:dyDescent="0.2">
      <c r="A292">
        <v>291</v>
      </c>
      <c r="B292">
        <v>66</v>
      </c>
      <c r="C292" t="s">
        <v>175</v>
      </c>
      <c r="D292">
        <v>6403.18</v>
      </c>
    </row>
    <row r="293" spans="1:4" x14ac:dyDescent="0.2">
      <c r="A293">
        <v>292</v>
      </c>
      <c r="B293">
        <v>66</v>
      </c>
      <c r="C293" t="s">
        <v>177</v>
      </c>
      <c r="D293">
        <v>6578.86</v>
      </c>
    </row>
    <row r="294" spans="1:4" x14ac:dyDescent="0.2">
      <c r="A294">
        <v>293</v>
      </c>
      <c r="B294">
        <v>66</v>
      </c>
      <c r="C294" t="s">
        <v>176</v>
      </c>
      <c r="D294">
        <v>4958.57</v>
      </c>
    </row>
    <row r="295" spans="1:4" x14ac:dyDescent="0.2">
      <c r="A295">
        <v>294</v>
      </c>
      <c r="B295">
        <v>66</v>
      </c>
      <c r="C295" t="s">
        <v>174</v>
      </c>
      <c r="D295">
        <v>6799.28</v>
      </c>
    </row>
    <row r="296" spans="1:4" x14ac:dyDescent="0.2">
      <c r="A296">
        <v>295</v>
      </c>
      <c r="B296">
        <v>66</v>
      </c>
      <c r="C296" t="s">
        <v>182</v>
      </c>
      <c r="D296">
        <v>5518.8</v>
      </c>
    </row>
    <row r="297" spans="1:4" x14ac:dyDescent="0.2">
      <c r="A297">
        <v>296</v>
      </c>
      <c r="B297">
        <v>67</v>
      </c>
      <c r="C297" t="s">
        <v>175</v>
      </c>
      <c r="D297">
        <v>6290.67</v>
      </c>
    </row>
    <row r="298" spans="1:4" x14ac:dyDescent="0.2">
      <c r="A298">
        <v>297</v>
      </c>
      <c r="B298">
        <v>67</v>
      </c>
      <c r="C298" t="s">
        <v>181</v>
      </c>
      <c r="D298">
        <v>9185.76</v>
      </c>
    </row>
    <row r="299" spans="1:4" x14ac:dyDescent="0.2">
      <c r="A299">
        <v>298</v>
      </c>
      <c r="B299">
        <v>67</v>
      </c>
      <c r="C299" t="s">
        <v>179</v>
      </c>
      <c r="D299">
        <v>5732.67</v>
      </c>
    </row>
    <row r="300" spans="1:4" x14ac:dyDescent="0.2">
      <c r="A300">
        <v>299</v>
      </c>
      <c r="B300">
        <v>68</v>
      </c>
      <c r="C300" t="s">
        <v>176</v>
      </c>
      <c r="D300">
        <v>960.9</v>
      </c>
    </row>
    <row r="301" spans="1:4" x14ac:dyDescent="0.2">
      <c r="A301">
        <v>300</v>
      </c>
      <c r="B301">
        <v>68</v>
      </c>
      <c r="C301" t="s">
        <v>175</v>
      </c>
      <c r="D301">
        <v>609.80999999999995</v>
      </c>
    </row>
    <row r="302" spans="1:4" x14ac:dyDescent="0.2">
      <c r="A302">
        <v>301</v>
      </c>
      <c r="B302">
        <v>68</v>
      </c>
      <c r="C302" t="s">
        <v>178</v>
      </c>
      <c r="D302">
        <v>772.83</v>
      </c>
    </row>
    <row r="303" spans="1:4" x14ac:dyDescent="0.2">
      <c r="A303">
        <v>302</v>
      </c>
      <c r="B303">
        <v>68</v>
      </c>
      <c r="C303" t="s">
        <v>174</v>
      </c>
      <c r="D303">
        <v>929.15</v>
      </c>
    </row>
    <row r="304" spans="1:4" x14ac:dyDescent="0.2">
      <c r="A304">
        <v>303</v>
      </c>
      <c r="B304">
        <v>68</v>
      </c>
      <c r="C304" t="s">
        <v>177</v>
      </c>
      <c r="D304">
        <v>572.94000000000005</v>
      </c>
    </row>
    <row r="305" spans="1:4" x14ac:dyDescent="0.2">
      <c r="A305">
        <v>304</v>
      </c>
      <c r="B305">
        <v>68</v>
      </c>
      <c r="C305" t="s">
        <v>181</v>
      </c>
      <c r="D305">
        <v>931.65</v>
      </c>
    </row>
    <row r="306" spans="1:4" x14ac:dyDescent="0.2">
      <c r="A306">
        <v>305</v>
      </c>
      <c r="B306">
        <v>69</v>
      </c>
      <c r="C306" t="s">
        <v>177</v>
      </c>
      <c r="D306">
        <v>673.86</v>
      </c>
    </row>
    <row r="307" spans="1:4" x14ac:dyDescent="0.2">
      <c r="A307">
        <v>306</v>
      </c>
      <c r="B307">
        <v>69</v>
      </c>
      <c r="C307" t="s">
        <v>179</v>
      </c>
      <c r="D307">
        <v>832.68</v>
      </c>
    </row>
    <row r="308" spans="1:4" x14ac:dyDescent="0.2">
      <c r="A308">
        <v>307</v>
      </c>
      <c r="B308">
        <v>69</v>
      </c>
      <c r="C308" t="s">
        <v>183</v>
      </c>
      <c r="D308">
        <v>804.64</v>
      </c>
    </row>
    <row r="309" spans="1:4" x14ac:dyDescent="0.2">
      <c r="A309">
        <v>308</v>
      </c>
      <c r="B309">
        <v>69</v>
      </c>
      <c r="C309" t="s">
        <v>181</v>
      </c>
      <c r="D309">
        <v>906.02</v>
      </c>
    </row>
    <row r="310" spans="1:4" x14ac:dyDescent="0.2">
      <c r="A310">
        <v>309</v>
      </c>
      <c r="B310">
        <v>69</v>
      </c>
      <c r="C310" t="s">
        <v>174</v>
      </c>
      <c r="D310">
        <v>830.68</v>
      </c>
    </row>
    <row r="311" spans="1:4" x14ac:dyDescent="0.2">
      <c r="A311">
        <v>310</v>
      </c>
      <c r="B311">
        <v>70</v>
      </c>
      <c r="C311" t="s">
        <v>175</v>
      </c>
      <c r="D311">
        <v>2607.62</v>
      </c>
    </row>
    <row r="312" spans="1:4" x14ac:dyDescent="0.2">
      <c r="A312">
        <v>311</v>
      </c>
      <c r="B312">
        <v>70</v>
      </c>
      <c r="C312" t="s">
        <v>180</v>
      </c>
      <c r="D312">
        <v>2198.61</v>
      </c>
    </row>
    <row r="313" spans="1:4" x14ac:dyDescent="0.2">
      <c r="A313">
        <v>312</v>
      </c>
      <c r="B313">
        <v>70</v>
      </c>
      <c r="C313" t="s">
        <v>174</v>
      </c>
      <c r="D313">
        <v>1521.81</v>
      </c>
    </row>
    <row r="314" spans="1:4" x14ac:dyDescent="0.2">
      <c r="A314">
        <v>313</v>
      </c>
      <c r="B314">
        <v>70</v>
      </c>
      <c r="C314" t="s">
        <v>183</v>
      </c>
      <c r="D314">
        <v>1828.57</v>
      </c>
    </row>
    <row r="315" spans="1:4" x14ac:dyDescent="0.2">
      <c r="A315">
        <v>314</v>
      </c>
      <c r="B315">
        <v>70</v>
      </c>
      <c r="C315" t="s">
        <v>181</v>
      </c>
      <c r="D315">
        <v>2384.44</v>
      </c>
    </row>
    <row r="316" spans="1:4" x14ac:dyDescent="0.2">
      <c r="A316">
        <v>315</v>
      </c>
      <c r="B316">
        <v>70</v>
      </c>
      <c r="C316" t="s">
        <v>179</v>
      </c>
      <c r="D316">
        <v>2411.1999999999998</v>
      </c>
    </row>
    <row r="317" spans="1:4" x14ac:dyDescent="0.2">
      <c r="A317">
        <v>316</v>
      </c>
      <c r="B317">
        <v>71</v>
      </c>
      <c r="C317" t="s">
        <v>181</v>
      </c>
      <c r="D317">
        <v>2793.56</v>
      </c>
    </row>
    <row r="318" spans="1:4" x14ac:dyDescent="0.2">
      <c r="A318">
        <v>317</v>
      </c>
      <c r="B318">
        <v>71</v>
      </c>
      <c r="C318" t="s">
        <v>175</v>
      </c>
      <c r="D318">
        <v>2452.9499999999998</v>
      </c>
    </row>
    <row r="319" spans="1:4" x14ac:dyDescent="0.2">
      <c r="A319">
        <v>318</v>
      </c>
      <c r="B319">
        <v>71</v>
      </c>
      <c r="C319" t="s">
        <v>178</v>
      </c>
      <c r="D319">
        <v>2199.6799999999998</v>
      </c>
    </row>
    <row r="320" spans="1:4" x14ac:dyDescent="0.2">
      <c r="A320">
        <v>319</v>
      </c>
      <c r="B320">
        <v>72</v>
      </c>
      <c r="C320" t="s">
        <v>176</v>
      </c>
      <c r="D320">
        <v>6080.91</v>
      </c>
    </row>
    <row r="321" spans="1:4" x14ac:dyDescent="0.2">
      <c r="A321">
        <v>320</v>
      </c>
      <c r="B321">
        <v>72</v>
      </c>
      <c r="C321" t="s">
        <v>183</v>
      </c>
      <c r="D321">
        <v>3968.45</v>
      </c>
    </row>
    <row r="322" spans="1:4" x14ac:dyDescent="0.2">
      <c r="A322">
        <v>321</v>
      </c>
      <c r="B322">
        <v>72</v>
      </c>
      <c r="C322" t="s">
        <v>177</v>
      </c>
      <c r="D322">
        <v>5967.16</v>
      </c>
    </row>
    <row r="323" spans="1:4" x14ac:dyDescent="0.2">
      <c r="A323">
        <v>322</v>
      </c>
      <c r="B323">
        <v>72</v>
      </c>
      <c r="C323" t="s">
        <v>175</v>
      </c>
      <c r="D323">
        <v>4443.84</v>
      </c>
    </row>
    <row r="324" spans="1:4" x14ac:dyDescent="0.2">
      <c r="A324">
        <v>323</v>
      </c>
      <c r="B324">
        <v>72</v>
      </c>
      <c r="C324" t="s">
        <v>179</v>
      </c>
      <c r="D324">
        <v>5592.6</v>
      </c>
    </row>
    <row r="325" spans="1:4" x14ac:dyDescent="0.2">
      <c r="A325">
        <v>324</v>
      </c>
      <c r="B325">
        <v>73</v>
      </c>
      <c r="C325" t="s">
        <v>175</v>
      </c>
      <c r="D325">
        <v>6400.73</v>
      </c>
    </row>
    <row r="326" spans="1:4" x14ac:dyDescent="0.2">
      <c r="A326">
        <v>325</v>
      </c>
      <c r="B326">
        <v>73</v>
      </c>
      <c r="C326" t="s">
        <v>176</v>
      </c>
      <c r="D326">
        <v>5587.3</v>
      </c>
    </row>
    <row r="327" spans="1:4" x14ac:dyDescent="0.2">
      <c r="A327">
        <v>326</v>
      </c>
      <c r="B327">
        <v>73</v>
      </c>
      <c r="C327" t="s">
        <v>182</v>
      </c>
      <c r="D327">
        <v>4965.68</v>
      </c>
    </row>
    <row r="328" spans="1:4" x14ac:dyDescent="0.2">
      <c r="A328">
        <v>327</v>
      </c>
      <c r="B328">
        <v>73</v>
      </c>
      <c r="C328" t="s">
        <v>177</v>
      </c>
      <c r="D328">
        <v>6300.29</v>
      </c>
    </row>
    <row r="329" spans="1:4" x14ac:dyDescent="0.2">
      <c r="A329">
        <v>328</v>
      </c>
      <c r="B329">
        <v>73</v>
      </c>
      <c r="C329" t="s">
        <v>178</v>
      </c>
      <c r="D329">
        <v>4477.87</v>
      </c>
    </row>
    <row r="330" spans="1:4" x14ac:dyDescent="0.2">
      <c r="A330">
        <v>329</v>
      </c>
      <c r="B330">
        <v>73</v>
      </c>
      <c r="C330" t="s">
        <v>181</v>
      </c>
      <c r="D330">
        <v>4553.84</v>
      </c>
    </row>
    <row r="331" spans="1:4" x14ac:dyDescent="0.2">
      <c r="A331">
        <v>330</v>
      </c>
      <c r="B331">
        <v>74</v>
      </c>
      <c r="C331" t="s">
        <v>174</v>
      </c>
      <c r="D331">
        <v>2357.7399999999998</v>
      </c>
    </row>
    <row r="332" spans="1:4" x14ac:dyDescent="0.2">
      <c r="A332">
        <v>331</v>
      </c>
      <c r="B332">
        <v>74</v>
      </c>
      <c r="C332" t="s">
        <v>175</v>
      </c>
      <c r="D332">
        <v>2370.31</v>
      </c>
    </row>
    <row r="333" spans="1:4" x14ac:dyDescent="0.2">
      <c r="A333">
        <v>332</v>
      </c>
      <c r="B333">
        <v>74</v>
      </c>
      <c r="C333" t="s">
        <v>180</v>
      </c>
      <c r="D333">
        <v>2725.2</v>
      </c>
    </row>
    <row r="334" spans="1:4" x14ac:dyDescent="0.2">
      <c r="A334">
        <v>333</v>
      </c>
      <c r="B334">
        <v>74</v>
      </c>
      <c r="C334" t="s">
        <v>182</v>
      </c>
      <c r="D334">
        <v>2373.13</v>
      </c>
    </row>
    <row r="335" spans="1:4" x14ac:dyDescent="0.2">
      <c r="A335">
        <v>334</v>
      </c>
      <c r="B335">
        <v>74</v>
      </c>
      <c r="C335" t="s">
        <v>183</v>
      </c>
      <c r="D335">
        <v>3103.14</v>
      </c>
    </row>
    <row r="336" spans="1:4" x14ac:dyDescent="0.2">
      <c r="A336">
        <v>335</v>
      </c>
      <c r="B336">
        <v>75</v>
      </c>
      <c r="C336" t="s">
        <v>178</v>
      </c>
      <c r="D336">
        <v>3197.19</v>
      </c>
    </row>
    <row r="337" spans="1:4" x14ac:dyDescent="0.2">
      <c r="A337">
        <v>336</v>
      </c>
      <c r="B337">
        <v>75</v>
      </c>
      <c r="C337" t="s">
        <v>182</v>
      </c>
      <c r="D337">
        <v>3210.2</v>
      </c>
    </row>
    <row r="338" spans="1:4" x14ac:dyDescent="0.2">
      <c r="A338">
        <v>337</v>
      </c>
      <c r="B338">
        <v>75</v>
      </c>
      <c r="C338" t="s">
        <v>181</v>
      </c>
      <c r="D338">
        <v>2195.9699999999998</v>
      </c>
    </row>
    <row r="339" spans="1:4" x14ac:dyDescent="0.2">
      <c r="A339">
        <v>338</v>
      </c>
      <c r="B339">
        <v>75</v>
      </c>
      <c r="C339" t="s">
        <v>174</v>
      </c>
      <c r="D339">
        <v>3896.04</v>
      </c>
    </row>
    <row r="340" spans="1:4" x14ac:dyDescent="0.2">
      <c r="A340">
        <v>339</v>
      </c>
      <c r="B340">
        <v>75</v>
      </c>
      <c r="C340" t="s">
        <v>175</v>
      </c>
      <c r="D340">
        <v>3477.01</v>
      </c>
    </row>
    <row r="341" spans="1:4" x14ac:dyDescent="0.2">
      <c r="A341">
        <v>340</v>
      </c>
      <c r="B341">
        <v>75</v>
      </c>
      <c r="C341" t="s">
        <v>180</v>
      </c>
      <c r="D341">
        <v>3785.41</v>
      </c>
    </row>
    <row r="342" spans="1:4" x14ac:dyDescent="0.2">
      <c r="A342">
        <v>341</v>
      </c>
      <c r="B342">
        <v>76</v>
      </c>
      <c r="C342" t="s">
        <v>175</v>
      </c>
      <c r="D342">
        <v>967.23</v>
      </c>
    </row>
    <row r="343" spans="1:4" x14ac:dyDescent="0.2">
      <c r="A343">
        <v>342</v>
      </c>
      <c r="B343">
        <v>76</v>
      </c>
      <c r="C343" t="s">
        <v>177</v>
      </c>
      <c r="D343">
        <v>867.47</v>
      </c>
    </row>
    <row r="344" spans="1:4" x14ac:dyDescent="0.2">
      <c r="A344">
        <v>343</v>
      </c>
      <c r="B344">
        <v>76</v>
      </c>
      <c r="C344" t="s">
        <v>179</v>
      </c>
      <c r="D344">
        <v>818.26</v>
      </c>
    </row>
    <row r="345" spans="1:4" x14ac:dyDescent="0.2">
      <c r="A345">
        <v>344</v>
      </c>
      <c r="B345">
        <v>76</v>
      </c>
      <c r="C345" t="s">
        <v>174</v>
      </c>
      <c r="D345">
        <v>829.43</v>
      </c>
    </row>
    <row r="346" spans="1:4" x14ac:dyDescent="0.2">
      <c r="A346">
        <v>345</v>
      </c>
      <c r="B346">
        <v>76</v>
      </c>
      <c r="C346" t="s">
        <v>180</v>
      </c>
      <c r="D346">
        <v>677.24</v>
      </c>
    </row>
    <row r="347" spans="1:4" x14ac:dyDescent="0.2">
      <c r="A347">
        <v>346</v>
      </c>
      <c r="B347">
        <v>77</v>
      </c>
      <c r="C347" t="s">
        <v>183</v>
      </c>
      <c r="D347">
        <v>2806.41</v>
      </c>
    </row>
    <row r="348" spans="1:4" x14ac:dyDescent="0.2">
      <c r="A348">
        <v>347</v>
      </c>
      <c r="B348">
        <v>77</v>
      </c>
      <c r="C348" t="s">
        <v>176</v>
      </c>
      <c r="D348">
        <v>3994.94</v>
      </c>
    </row>
    <row r="349" spans="1:4" x14ac:dyDescent="0.2">
      <c r="A349">
        <v>348</v>
      </c>
      <c r="B349">
        <v>77</v>
      </c>
      <c r="C349" t="s">
        <v>177</v>
      </c>
      <c r="D349">
        <v>4803.45</v>
      </c>
    </row>
    <row r="350" spans="1:4" x14ac:dyDescent="0.2">
      <c r="A350">
        <v>349</v>
      </c>
      <c r="B350">
        <v>77</v>
      </c>
      <c r="C350" t="s">
        <v>178</v>
      </c>
      <c r="D350">
        <v>4217.34</v>
      </c>
    </row>
    <row r="351" spans="1:4" x14ac:dyDescent="0.2">
      <c r="A351">
        <v>350</v>
      </c>
      <c r="B351">
        <v>77</v>
      </c>
      <c r="C351" t="s">
        <v>174</v>
      </c>
      <c r="D351">
        <v>4874.21</v>
      </c>
    </row>
    <row r="352" spans="1:4" x14ac:dyDescent="0.2">
      <c r="A352">
        <v>351</v>
      </c>
      <c r="B352">
        <v>78</v>
      </c>
      <c r="C352" t="s">
        <v>176</v>
      </c>
      <c r="D352">
        <v>425.4</v>
      </c>
    </row>
    <row r="353" spans="1:4" x14ac:dyDescent="0.2">
      <c r="A353">
        <v>352</v>
      </c>
      <c r="B353">
        <v>78</v>
      </c>
      <c r="C353" t="s">
        <v>174</v>
      </c>
      <c r="D353">
        <v>384.02</v>
      </c>
    </row>
    <row r="354" spans="1:4" x14ac:dyDescent="0.2">
      <c r="A354">
        <v>353</v>
      </c>
      <c r="B354">
        <v>78</v>
      </c>
      <c r="C354" t="s">
        <v>183</v>
      </c>
      <c r="D354">
        <v>383.47</v>
      </c>
    </row>
    <row r="355" spans="1:4" x14ac:dyDescent="0.2">
      <c r="A355">
        <v>354</v>
      </c>
      <c r="B355">
        <v>78</v>
      </c>
      <c r="C355" t="s">
        <v>178</v>
      </c>
      <c r="D355">
        <v>444.97</v>
      </c>
    </row>
    <row r="356" spans="1:4" x14ac:dyDescent="0.2">
      <c r="A356">
        <v>355</v>
      </c>
      <c r="B356">
        <v>78</v>
      </c>
      <c r="C356" t="s">
        <v>177</v>
      </c>
      <c r="D356">
        <v>354.1</v>
      </c>
    </row>
    <row r="357" spans="1:4" x14ac:dyDescent="0.2">
      <c r="A357">
        <v>356</v>
      </c>
      <c r="B357">
        <v>79</v>
      </c>
      <c r="C357" t="s">
        <v>179</v>
      </c>
      <c r="D357">
        <v>202.2</v>
      </c>
    </row>
    <row r="358" spans="1:4" x14ac:dyDescent="0.2">
      <c r="A358">
        <v>357</v>
      </c>
      <c r="B358">
        <v>79</v>
      </c>
      <c r="C358" t="s">
        <v>176</v>
      </c>
      <c r="D358">
        <v>198.07</v>
      </c>
    </row>
    <row r="359" spans="1:4" x14ac:dyDescent="0.2">
      <c r="A359">
        <v>358</v>
      </c>
      <c r="B359">
        <v>79</v>
      </c>
      <c r="C359" t="s">
        <v>174</v>
      </c>
      <c r="D359">
        <v>166</v>
      </c>
    </row>
    <row r="360" spans="1:4" x14ac:dyDescent="0.2">
      <c r="A360">
        <v>359</v>
      </c>
      <c r="B360">
        <v>79</v>
      </c>
      <c r="C360" t="s">
        <v>181</v>
      </c>
      <c r="D360">
        <v>221.75</v>
      </c>
    </row>
    <row r="361" spans="1:4" x14ac:dyDescent="0.2">
      <c r="A361">
        <v>360</v>
      </c>
      <c r="B361">
        <v>80</v>
      </c>
      <c r="C361" t="s">
        <v>183</v>
      </c>
      <c r="D361">
        <v>5147.8100000000004</v>
      </c>
    </row>
    <row r="362" spans="1:4" x14ac:dyDescent="0.2">
      <c r="A362">
        <v>361</v>
      </c>
      <c r="B362">
        <v>80</v>
      </c>
      <c r="C362" t="s">
        <v>174</v>
      </c>
      <c r="D362">
        <v>4237.3</v>
      </c>
    </row>
    <row r="363" spans="1:4" x14ac:dyDescent="0.2">
      <c r="A363">
        <v>362</v>
      </c>
      <c r="B363">
        <v>80</v>
      </c>
      <c r="C363" t="s">
        <v>175</v>
      </c>
      <c r="D363">
        <v>3572.48</v>
      </c>
    </row>
    <row r="364" spans="1:4" x14ac:dyDescent="0.2">
      <c r="A364">
        <v>363</v>
      </c>
      <c r="B364">
        <v>81</v>
      </c>
      <c r="C364" t="s">
        <v>174</v>
      </c>
      <c r="D364">
        <v>268.70999999999998</v>
      </c>
    </row>
    <row r="365" spans="1:4" x14ac:dyDescent="0.2">
      <c r="A365">
        <v>364</v>
      </c>
      <c r="B365">
        <v>81</v>
      </c>
      <c r="C365" t="s">
        <v>177</v>
      </c>
      <c r="D365">
        <v>256.70999999999998</v>
      </c>
    </row>
    <row r="366" spans="1:4" x14ac:dyDescent="0.2">
      <c r="A366">
        <v>365</v>
      </c>
      <c r="B366">
        <v>81</v>
      </c>
      <c r="C366" t="s">
        <v>176</v>
      </c>
      <c r="D366">
        <v>313.37</v>
      </c>
    </row>
    <row r="367" spans="1:4" x14ac:dyDescent="0.2">
      <c r="A367">
        <v>366</v>
      </c>
      <c r="B367">
        <v>81</v>
      </c>
      <c r="C367" t="s">
        <v>181</v>
      </c>
      <c r="D367">
        <v>355.12</v>
      </c>
    </row>
    <row r="368" spans="1:4" x14ac:dyDescent="0.2">
      <c r="A368">
        <v>367</v>
      </c>
      <c r="B368">
        <v>81</v>
      </c>
      <c r="C368" t="s">
        <v>182</v>
      </c>
      <c r="D368">
        <v>257.66000000000003</v>
      </c>
    </row>
    <row r="369" spans="1:4" x14ac:dyDescent="0.2">
      <c r="A369">
        <v>368</v>
      </c>
      <c r="B369">
        <v>82</v>
      </c>
      <c r="C369" t="s">
        <v>176</v>
      </c>
      <c r="D369">
        <v>2666.58</v>
      </c>
    </row>
    <row r="370" spans="1:4" x14ac:dyDescent="0.2">
      <c r="A370">
        <v>369</v>
      </c>
      <c r="B370">
        <v>82</v>
      </c>
      <c r="C370" t="s">
        <v>175</v>
      </c>
      <c r="D370">
        <v>2629.1</v>
      </c>
    </row>
    <row r="371" spans="1:4" x14ac:dyDescent="0.2">
      <c r="A371">
        <v>370</v>
      </c>
      <c r="B371">
        <v>82</v>
      </c>
      <c r="C371" t="s">
        <v>180</v>
      </c>
      <c r="D371">
        <v>2324.1</v>
      </c>
    </row>
    <row r="372" spans="1:4" x14ac:dyDescent="0.2">
      <c r="A372">
        <v>371</v>
      </c>
      <c r="B372">
        <v>82</v>
      </c>
      <c r="C372" t="s">
        <v>178</v>
      </c>
      <c r="D372">
        <v>2943.41</v>
      </c>
    </row>
    <row r="373" spans="1:4" x14ac:dyDescent="0.2">
      <c r="A373">
        <v>372</v>
      </c>
      <c r="B373">
        <v>82</v>
      </c>
      <c r="C373" t="s">
        <v>177</v>
      </c>
      <c r="D373">
        <v>2525.35</v>
      </c>
    </row>
    <row r="374" spans="1:4" x14ac:dyDescent="0.2">
      <c r="A374">
        <v>373</v>
      </c>
      <c r="B374">
        <v>83</v>
      </c>
      <c r="C374" t="s">
        <v>181</v>
      </c>
      <c r="D374">
        <v>3113.48</v>
      </c>
    </row>
    <row r="375" spans="1:4" x14ac:dyDescent="0.2">
      <c r="A375">
        <v>374</v>
      </c>
      <c r="B375">
        <v>83</v>
      </c>
      <c r="C375" t="s">
        <v>182</v>
      </c>
      <c r="D375">
        <v>2613.1</v>
      </c>
    </row>
    <row r="376" spans="1:4" x14ac:dyDescent="0.2">
      <c r="A376">
        <v>375</v>
      </c>
      <c r="B376">
        <v>83</v>
      </c>
      <c r="C376" t="s">
        <v>174</v>
      </c>
      <c r="D376">
        <v>3034.41</v>
      </c>
    </row>
    <row r="377" spans="1:4" x14ac:dyDescent="0.2">
      <c r="A377">
        <v>376</v>
      </c>
      <c r="B377">
        <v>83</v>
      </c>
      <c r="C377" t="s">
        <v>176</v>
      </c>
      <c r="D377">
        <v>3199.95</v>
      </c>
    </row>
    <row r="378" spans="1:4" x14ac:dyDescent="0.2">
      <c r="A378">
        <v>377</v>
      </c>
      <c r="B378">
        <v>84</v>
      </c>
      <c r="C378" t="s">
        <v>176</v>
      </c>
      <c r="D378">
        <v>2710.83</v>
      </c>
    </row>
    <row r="379" spans="1:4" x14ac:dyDescent="0.2">
      <c r="A379">
        <v>378</v>
      </c>
      <c r="B379">
        <v>84</v>
      </c>
      <c r="C379" t="s">
        <v>179</v>
      </c>
      <c r="D379">
        <v>3049.83</v>
      </c>
    </row>
    <row r="380" spans="1:4" x14ac:dyDescent="0.2">
      <c r="A380">
        <v>379</v>
      </c>
      <c r="B380">
        <v>84</v>
      </c>
      <c r="C380" t="s">
        <v>174</v>
      </c>
      <c r="D380">
        <v>2428.2600000000002</v>
      </c>
    </row>
    <row r="381" spans="1:4" x14ac:dyDescent="0.2">
      <c r="A381">
        <v>380</v>
      </c>
      <c r="B381">
        <v>84</v>
      </c>
      <c r="C381" t="s">
        <v>182</v>
      </c>
      <c r="D381">
        <v>2166.7800000000002</v>
      </c>
    </row>
    <row r="382" spans="1:4" x14ac:dyDescent="0.2">
      <c r="A382">
        <v>381</v>
      </c>
      <c r="B382">
        <v>85</v>
      </c>
      <c r="C382" t="s">
        <v>176</v>
      </c>
      <c r="D382">
        <v>2890.47</v>
      </c>
    </row>
    <row r="383" spans="1:4" x14ac:dyDescent="0.2">
      <c r="A383">
        <v>382</v>
      </c>
      <c r="B383">
        <v>85</v>
      </c>
      <c r="C383" t="s">
        <v>177</v>
      </c>
      <c r="D383">
        <v>3722.82</v>
      </c>
    </row>
    <row r="384" spans="1:4" x14ac:dyDescent="0.2">
      <c r="A384">
        <v>383</v>
      </c>
      <c r="B384">
        <v>85</v>
      </c>
      <c r="C384" t="s">
        <v>178</v>
      </c>
      <c r="D384">
        <v>2883.12</v>
      </c>
    </row>
    <row r="385" spans="1:4" x14ac:dyDescent="0.2">
      <c r="A385">
        <v>384</v>
      </c>
      <c r="B385">
        <v>85</v>
      </c>
      <c r="C385" t="s">
        <v>183</v>
      </c>
      <c r="D385">
        <v>4259.5200000000004</v>
      </c>
    </row>
    <row r="386" spans="1:4" x14ac:dyDescent="0.2">
      <c r="A386">
        <v>385</v>
      </c>
      <c r="B386">
        <v>85</v>
      </c>
      <c r="C386" t="s">
        <v>175</v>
      </c>
      <c r="D386">
        <v>2945.32</v>
      </c>
    </row>
    <row r="387" spans="1:4" x14ac:dyDescent="0.2">
      <c r="A387">
        <v>386</v>
      </c>
      <c r="B387">
        <v>86</v>
      </c>
      <c r="C387" t="s">
        <v>177</v>
      </c>
      <c r="D387">
        <v>3675.94</v>
      </c>
    </row>
    <row r="388" spans="1:4" x14ac:dyDescent="0.2">
      <c r="A388">
        <v>387</v>
      </c>
      <c r="B388">
        <v>86</v>
      </c>
      <c r="C388" t="s">
        <v>174</v>
      </c>
      <c r="D388">
        <v>2032.57</v>
      </c>
    </row>
    <row r="389" spans="1:4" x14ac:dyDescent="0.2">
      <c r="A389">
        <v>388</v>
      </c>
      <c r="B389">
        <v>86</v>
      </c>
      <c r="C389" t="s">
        <v>179</v>
      </c>
      <c r="D389">
        <v>3465.46</v>
      </c>
    </row>
    <row r="390" spans="1:4" x14ac:dyDescent="0.2">
      <c r="A390">
        <v>389</v>
      </c>
      <c r="B390">
        <v>86</v>
      </c>
      <c r="C390" t="s">
        <v>183</v>
      </c>
      <c r="D390">
        <v>2270.41</v>
      </c>
    </row>
    <row r="391" spans="1:4" x14ac:dyDescent="0.2">
      <c r="A391">
        <v>390</v>
      </c>
      <c r="B391">
        <v>86</v>
      </c>
      <c r="C391" t="s">
        <v>175</v>
      </c>
      <c r="D391">
        <v>3151</v>
      </c>
    </row>
    <row r="392" spans="1:4" x14ac:dyDescent="0.2">
      <c r="A392">
        <v>391</v>
      </c>
      <c r="B392">
        <v>87</v>
      </c>
      <c r="C392" t="s">
        <v>175</v>
      </c>
      <c r="D392">
        <v>552.11</v>
      </c>
    </row>
    <row r="393" spans="1:4" x14ac:dyDescent="0.2">
      <c r="A393">
        <v>392</v>
      </c>
      <c r="B393">
        <v>87</v>
      </c>
      <c r="C393" t="s">
        <v>177</v>
      </c>
      <c r="D393">
        <v>499.31</v>
      </c>
    </row>
    <row r="394" spans="1:4" x14ac:dyDescent="0.2">
      <c r="A394">
        <v>393</v>
      </c>
      <c r="B394">
        <v>87</v>
      </c>
      <c r="C394" t="s">
        <v>183</v>
      </c>
      <c r="D394">
        <v>474.01</v>
      </c>
    </row>
    <row r="395" spans="1:4" x14ac:dyDescent="0.2">
      <c r="A395">
        <v>394</v>
      </c>
      <c r="B395">
        <v>87</v>
      </c>
      <c r="C395" t="s">
        <v>181</v>
      </c>
      <c r="D395">
        <v>449.74</v>
      </c>
    </row>
    <row r="396" spans="1:4" x14ac:dyDescent="0.2">
      <c r="A396">
        <v>395</v>
      </c>
      <c r="B396">
        <v>88</v>
      </c>
      <c r="C396" t="s">
        <v>180</v>
      </c>
      <c r="D396">
        <v>6564.27</v>
      </c>
    </row>
    <row r="397" spans="1:4" x14ac:dyDescent="0.2">
      <c r="A397">
        <v>396</v>
      </c>
      <c r="B397">
        <v>88</v>
      </c>
      <c r="C397" t="s">
        <v>182</v>
      </c>
      <c r="D397">
        <v>3862.09</v>
      </c>
    </row>
    <row r="398" spans="1:4" x14ac:dyDescent="0.2">
      <c r="A398">
        <v>397</v>
      </c>
      <c r="B398">
        <v>88</v>
      </c>
      <c r="C398" t="s">
        <v>183</v>
      </c>
      <c r="D398">
        <v>3629.89</v>
      </c>
    </row>
    <row r="399" spans="1:4" x14ac:dyDescent="0.2">
      <c r="A399">
        <v>398</v>
      </c>
      <c r="B399">
        <v>88</v>
      </c>
      <c r="C399" t="s">
        <v>179</v>
      </c>
      <c r="D399">
        <v>5869.77</v>
      </c>
    </row>
    <row r="400" spans="1:4" x14ac:dyDescent="0.2">
      <c r="A400">
        <v>399</v>
      </c>
      <c r="B400">
        <v>89</v>
      </c>
      <c r="C400" t="s">
        <v>176</v>
      </c>
      <c r="D400">
        <v>862.73</v>
      </c>
    </row>
    <row r="401" spans="1:4" x14ac:dyDescent="0.2">
      <c r="A401">
        <v>400</v>
      </c>
      <c r="B401" t="s">
        <v>184</v>
      </c>
      <c r="C401" t="s">
        <v>183</v>
      </c>
      <c r="D401">
        <v>768.74</v>
      </c>
    </row>
    <row r="402" spans="1:4" x14ac:dyDescent="0.2">
      <c r="A402">
        <v>401</v>
      </c>
      <c r="B402">
        <v>89</v>
      </c>
      <c r="C402" t="s">
        <v>177</v>
      </c>
      <c r="D402">
        <v>963.31</v>
      </c>
    </row>
    <row r="403" spans="1:4" x14ac:dyDescent="0.2">
      <c r="A403">
        <v>402</v>
      </c>
      <c r="B403">
        <v>90</v>
      </c>
      <c r="C403" t="s">
        <v>175</v>
      </c>
      <c r="D403">
        <v>2329.46</v>
      </c>
    </row>
    <row r="404" spans="1:4" x14ac:dyDescent="0.2">
      <c r="A404">
        <v>403</v>
      </c>
      <c r="B404">
        <v>90</v>
      </c>
      <c r="C404" t="s">
        <v>177</v>
      </c>
      <c r="D404">
        <v>2478.37</v>
      </c>
    </row>
    <row r="405" spans="1:4" x14ac:dyDescent="0.2">
      <c r="A405">
        <v>404</v>
      </c>
      <c r="B405">
        <v>90</v>
      </c>
      <c r="C405" t="s">
        <v>182</v>
      </c>
      <c r="D405">
        <v>1980.78</v>
      </c>
    </row>
    <row r="406" spans="1:4" x14ac:dyDescent="0.2">
      <c r="A406">
        <v>405</v>
      </c>
      <c r="B406">
        <v>90</v>
      </c>
      <c r="C406" t="s">
        <v>180</v>
      </c>
      <c r="D406">
        <v>2870.41</v>
      </c>
    </row>
    <row r="407" spans="1:4" x14ac:dyDescent="0.2">
      <c r="A407">
        <v>406</v>
      </c>
      <c r="B407">
        <v>91</v>
      </c>
      <c r="C407" t="s">
        <v>174</v>
      </c>
      <c r="D407">
        <v>4554.55</v>
      </c>
    </row>
    <row r="408" spans="1:4" x14ac:dyDescent="0.2">
      <c r="A408">
        <v>407</v>
      </c>
      <c r="B408">
        <v>91</v>
      </c>
      <c r="C408" t="s">
        <v>178</v>
      </c>
      <c r="D408">
        <v>4882.3599999999997</v>
      </c>
    </row>
    <row r="409" spans="1:4" x14ac:dyDescent="0.2">
      <c r="A409">
        <v>408</v>
      </c>
      <c r="B409">
        <v>91</v>
      </c>
      <c r="C409" t="s">
        <v>182</v>
      </c>
      <c r="D409">
        <v>5826.51</v>
      </c>
    </row>
    <row r="410" spans="1:4" x14ac:dyDescent="0.2">
      <c r="A410">
        <v>409</v>
      </c>
      <c r="B410">
        <v>91</v>
      </c>
      <c r="C410" t="s">
        <v>177</v>
      </c>
      <c r="D410">
        <v>5600.51</v>
      </c>
    </row>
    <row r="411" spans="1:4" x14ac:dyDescent="0.2">
      <c r="A411">
        <v>410</v>
      </c>
      <c r="B411">
        <v>91</v>
      </c>
      <c r="C411" t="s">
        <v>176</v>
      </c>
      <c r="D411">
        <v>3235.75</v>
      </c>
    </row>
    <row r="412" spans="1:4" x14ac:dyDescent="0.2">
      <c r="A412">
        <v>411</v>
      </c>
      <c r="B412">
        <v>91</v>
      </c>
      <c r="C412" t="s">
        <v>181</v>
      </c>
      <c r="D412">
        <v>4593.78</v>
      </c>
    </row>
    <row r="413" spans="1:4" x14ac:dyDescent="0.2">
      <c r="A413">
        <v>412</v>
      </c>
      <c r="B413">
        <v>92</v>
      </c>
      <c r="C413" t="s">
        <v>177</v>
      </c>
      <c r="D413">
        <v>5699.88</v>
      </c>
    </row>
    <row r="414" spans="1:4" x14ac:dyDescent="0.2">
      <c r="A414">
        <v>413</v>
      </c>
      <c r="B414">
        <v>92</v>
      </c>
      <c r="C414" t="s">
        <v>176</v>
      </c>
      <c r="D414">
        <v>4816.3500000000004</v>
      </c>
    </row>
    <row r="415" spans="1:4" x14ac:dyDescent="0.2">
      <c r="A415">
        <v>414</v>
      </c>
      <c r="B415">
        <v>92</v>
      </c>
      <c r="C415" t="s">
        <v>174</v>
      </c>
      <c r="D415">
        <v>5078.2</v>
      </c>
    </row>
    <row r="416" spans="1:4" x14ac:dyDescent="0.2">
      <c r="A416">
        <v>415</v>
      </c>
      <c r="B416">
        <v>92</v>
      </c>
      <c r="C416" t="s">
        <v>181</v>
      </c>
      <c r="D416">
        <v>5956.89</v>
      </c>
    </row>
    <row r="417" spans="1:4" x14ac:dyDescent="0.2">
      <c r="A417">
        <v>416</v>
      </c>
      <c r="B417">
        <v>93</v>
      </c>
      <c r="C417" t="s">
        <v>180</v>
      </c>
      <c r="D417">
        <v>1108.1500000000001</v>
      </c>
    </row>
    <row r="418" spans="1:4" x14ac:dyDescent="0.2">
      <c r="A418">
        <v>417</v>
      </c>
      <c r="B418">
        <v>93</v>
      </c>
      <c r="C418" t="s">
        <v>176</v>
      </c>
      <c r="D418">
        <v>986.63</v>
      </c>
    </row>
    <row r="419" spans="1:4" x14ac:dyDescent="0.2">
      <c r="A419">
        <v>418</v>
      </c>
      <c r="B419">
        <v>93</v>
      </c>
      <c r="C419" t="s">
        <v>177</v>
      </c>
      <c r="D419">
        <v>878.23</v>
      </c>
    </row>
    <row r="420" spans="1:4" x14ac:dyDescent="0.2">
      <c r="A420">
        <v>419</v>
      </c>
      <c r="B420">
        <v>94</v>
      </c>
      <c r="C420" t="s">
        <v>175</v>
      </c>
      <c r="D420">
        <v>6269.72</v>
      </c>
    </row>
    <row r="421" spans="1:4" x14ac:dyDescent="0.2">
      <c r="A421">
        <v>420</v>
      </c>
      <c r="B421">
        <v>94</v>
      </c>
      <c r="C421" t="s">
        <v>177</v>
      </c>
      <c r="D421">
        <v>5847.02</v>
      </c>
    </row>
    <row r="422" spans="1:4" x14ac:dyDescent="0.2">
      <c r="A422">
        <v>421</v>
      </c>
      <c r="B422">
        <v>94</v>
      </c>
      <c r="C422" t="s">
        <v>174</v>
      </c>
      <c r="D422">
        <v>7000.95</v>
      </c>
    </row>
    <row r="423" spans="1:4" x14ac:dyDescent="0.2">
      <c r="A423">
        <v>422</v>
      </c>
      <c r="B423">
        <v>94</v>
      </c>
      <c r="C423" t="s">
        <v>181</v>
      </c>
      <c r="D423">
        <v>6226.59</v>
      </c>
    </row>
    <row r="424" spans="1:4" x14ac:dyDescent="0.2">
      <c r="A424">
        <v>423</v>
      </c>
      <c r="B424">
        <v>94</v>
      </c>
      <c r="C424" t="s">
        <v>182</v>
      </c>
      <c r="D424">
        <v>6160.07</v>
      </c>
    </row>
    <row r="425" spans="1:4" x14ac:dyDescent="0.2">
      <c r="A425">
        <v>424</v>
      </c>
      <c r="B425">
        <v>94</v>
      </c>
      <c r="C425" t="s">
        <v>179</v>
      </c>
      <c r="D425">
        <v>7409.18</v>
      </c>
    </row>
    <row r="426" spans="1:4" x14ac:dyDescent="0.2">
      <c r="A426">
        <v>425</v>
      </c>
      <c r="B426">
        <v>95</v>
      </c>
      <c r="C426" t="s">
        <v>183</v>
      </c>
      <c r="D426">
        <v>2508.11</v>
      </c>
    </row>
    <row r="427" spans="1:4" x14ac:dyDescent="0.2">
      <c r="A427">
        <v>426</v>
      </c>
      <c r="B427">
        <v>95</v>
      </c>
      <c r="C427" t="s">
        <v>176</v>
      </c>
      <c r="D427">
        <v>3888.58</v>
      </c>
    </row>
    <row r="428" spans="1:4" x14ac:dyDescent="0.2">
      <c r="A428">
        <v>427</v>
      </c>
      <c r="B428">
        <v>95</v>
      </c>
      <c r="C428" t="s">
        <v>177</v>
      </c>
      <c r="D428">
        <v>2782.14</v>
      </c>
    </row>
    <row r="429" spans="1:4" x14ac:dyDescent="0.2">
      <c r="A429">
        <v>428</v>
      </c>
      <c r="B429">
        <v>95</v>
      </c>
      <c r="C429" t="s">
        <v>179</v>
      </c>
      <c r="D429">
        <v>2438.5</v>
      </c>
    </row>
    <row r="430" spans="1:4" x14ac:dyDescent="0.2">
      <c r="A430">
        <v>429</v>
      </c>
      <c r="B430">
        <v>95</v>
      </c>
      <c r="C430" t="s">
        <v>182</v>
      </c>
      <c r="D430">
        <v>2371.29</v>
      </c>
    </row>
    <row r="431" spans="1:4" x14ac:dyDescent="0.2">
      <c r="A431">
        <v>430</v>
      </c>
      <c r="B431">
        <v>96</v>
      </c>
      <c r="C431" t="s">
        <v>176</v>
      </c>
      <c r="D431">
        <v>3609.72</v>
      </c>
    </row>
    <row r="432" spans="1:4" x14ac:dyDescent="0.2">
      <c r="A432">
        <v>431</v>
      </c>
      <c r="B432">
        <v>96</v>
      </c>
      <c r="C432" t="s">
        <v>178</v>
      </c>
      <c r="D432">
        <v>3061.92</v>
      </c>
    </row>
    <row r="433" spans="1:4" x14ac:dyDescent="0.2">
      <c r="A433">
        <v>432</v>
      </c>
      <c r="B433">
        <v>96</v>
      </c>
      <c r="C433" t="s">
        <v>175</v>
      </c>
      <c r="D433">
        <v>4488.6400000000003</v>
      </c>
    </row>
    <row r="434" spans="1:4" x14ac:dyDescent="0.2">
      <c r="A434">
        <v>433</v>
      </c>
      <c r="B434">
        <v>96</v>
      </c>
      <c r="C434" t="s">
        <v>181</v>
      </c>
      <c r="D434">
        <v>3594.53</v>
      </c>
    </row>
    <row r="435" spans="1:4" x14ac:dyDescent="0.2">
      <c r="A435">
        <v>434</v>
      </c>
      <c r="B435">
        <v>96</v>
      </c>
      <c r="C435" t="s">
        <v>182</v>
      </c>
      <c r="D435">
        <v>3139.78</v>
      </c>
    </row>
    <row r="436" spans="1:4" x14ac:dyDescent="0.2">
      <c r="A436">
        <v>435</v>
      </c>
      <c r="B436">
        <v>97</v>
      </c>
      <c r="C436" t="s">
        <v>174</v>
      </c>
      <c r="D436">
        <v>2364.7800000000002</v>
      </c>
    </row>
    <row r="437" spans="1:4" x14ac:dyDescent="0.2">
      <c r="A437">
        <v>436</v>
      </c>
      <c r="B437">
        <v>97</v>
      </c>
      <c r="C437" t="s">
        <v>179</v>
      </c>
      <c r="D437">
        <v>2580.11</v>
      </c>
    </row>
    <row r="438" spans="1:4" x14ac:dyDescent="0.2">
      <c r="A438">
        <v>437</v>
      </c>
      <c r="B438">
        <v>97</v>
      </c>
      <c r="C438" t="s">
        <v>180</v>
      </c>
      <c r="D438">
        <v>2384.67</v>
      </c>
    </row>
    <row r="439" spans="1:4" x14ac:dyDescent="0.2">
      <c r="A439">
        <v>438</v>
      </c>
      <c r="B439">
        <v>97</v>
      </c>
      <c r="C439" t="s">
        <v>176</v>
      </c>
      <c r="D439">
        <v>2529.92</v>
      </c>
    </row>
    <row r="440" spans="1:4" x14ac:dyDescent="0.2">
      <c r="A440">
        <v>439</v>
      </c>
      <c r="B440">
        <v>98</v>
      </c>
      <c r="C440" t="s">
        <v>176</v>
      </c>
      <c r="D440">
        <v>8212.06</v>
      </c>
    </row>
    <row r="441" spans="1:4" x14ac:dyDescent="0.2">
      <c r="A441">
        <v>440</v>
      </c>
      <c r="B441">
        <v>98</v>
      </c>
      <c r="C441" t="s">
        <v>175</v>
      </c>
      <c r="D441">
        <v>6056.08</v>
      </c>
    </row>
    <row r="442" spans="1:4" x14ac:dyDescent="0.2">
      <c r="A442">
        <v>441</v>
      </c>
      <c r="B442">
        <v>98</v>
      </c>
      <c r="C442" t="s">
        <v>177</v>
      </c>
      <c r="D442">
        <v>5332.93</v>
      </c>
    </row>
    <row r="443" spans="1:4" x14ac:dyDescent="0.2">
      <c r="A443">
        <v>442</v>
      </c>
      <c r="B443">
        <v>99</v>
      </c>
      <c r="C443" t="s">
        <v>176</v>
      </c>
      <c r="D443">
        <v>903.08</v>
      </c>
    </row>
    <row r="444" spans="1:4" x14ac:dyDescent="0.2">
      <c r="A444">
        <v>443</v>
      </c>
      <c r="B444">
        <v>99</v>
      </c>
      <c r="C444" t="s">
        <v>181</v>
      </c>
      <c r="D444">
        <v>917.31</v>
      </c>
    </row>
    <row r="445" spans="1:4" x14ac:dyDescent="0.2">
      <c r="A445">
        <v>444</v>
      </c>
      <c r="B445">
        <v>99</v>
      </c>
      <c r="C445" t="s">
        <v>179</v>
      </c>
      <c r="D445">
        <v>844.91</v>
      </c>
    </row>
    <row r="446" spans="1:4" x14ac:dyDescent="0.2">
      <c r="A446">
        <v>445</v>
      </c>
      <c r="B446">
        <v>99</v>
      </c>
      <c r="C446" t="s">
        <v>177</v>
      </c>
      <c r="D446">
        <v>1142.47</v>
      </c>
    </row>
    <row r="447" spans="1:4" x14ac:dyDescent="0.2">
      <c r="A447">
        <v>446</v>
      </c>
      <c r="B447">
        <v>99</v>
      </c>
      <c r="C447" t="s">
        <v>178</v>
      </c>
      <c r="D447">
        <v>1085.3800000000001</v>
      </c>
    </row>
    <row r="448" spans="1:4" x14ac:dyDescent="0.2">
      <c r="A448">
        <v>447</v>
      </c>
      <c r="B448">
        <v>99</v>
      </c>
      <c r="C448" t="s">
        <v>182</v>
      </c>
      <c r="D448">
        <v>859.45</v>
      </c>
    </row>
    <row r="449" spans="1:4" x14ac:dyDescent="0.2">
      <c r="A449">
        <v>448</v>
      </c>
      <c r="B449">
        <v>100</v>
      </c>
      <c r="C449" t="s">
        <v>176</v>
      </c>
      <c r="D449">
        <v>3454.96</v>
      </c>
    </row>
    <row r="450" spans="1:4" x14ac:dyDescent="0.2">
      <c r="A450">
        <v>449</v>
      </c>
      <c r="B450">
        <v>100</v>
      </c>
      <c r="C450" t="s">
        <v>174</v>
      </c>
      <c r="D450">
        <v>3712.16</v>
      </c>
    </row>
    <row r="451" spans="1:4" x14ac:dyDescent="0.2">
      <c r="A451">
        <v>450</v>
      </c>
      <c r="B451">
        <v>100</v>
      </c>
      <c r="C451" t="s">
        <v>175</v>
      </c>
      <c r="D451">
        <v>4275.63</v>
      </c>
    </row>
    <row r="452" spans="1:4" x14ac:dyDescent="0.2">
      <c r="A452">
        <v>451</v>
      </c>
      <c r="B452">
        <v>100</v>
      </c>
      <c r="C452" t="s">
        <v>182</v>
      </c>
      <c r="D452">
        <v>3195.6</v>
      </c>
    </row>
    <row r="453" spans="1:4" x14ac:dyDescent="0.2">
      <c r="A453">
        <v>452</v>
      </c>
      <c r="B453">
        <v>101</v>
      </c>
      <c r="C453" t="s">
        <v>180</v>
      </c>
      <c r="D453">
        <v>5371.25</v>
      </c>
    </row>
    <row r="454" spans="1:4" x14ac:dyDescent="0.2">
      <c r="A454">
        <v>453</v>
      </c>
      <c r="B454">
        <v>101</v>
      </c>
      <c r="C454" t="s">
        <v>178</v>
      </c>
      <c r="D454">
        <v>8095.48</v>
      </c>
    </row>
    <row r="455" spans="1:4" x14ac:dyDescent="0.2">
      <c r="A455">
        <v>454</v>
      </c>
      <c r="B455">
        <v>101</v>
      </c>
      <c r="C455" t="s">
        <v>176</v>
      </c>
      <c r="D455">
        <v>5687.19</v>
      </c>
    </row>
    <row r="456" spans="1:4" x14ac:dyDescent="0.2">
      <c r="A456">
        <v>455</v>
      </c>
      <c r="B456">
        <v>101</v>
      </c>
      <c r="C456" t="s">
        <v>182</v>
      </c>
      <c r="D456">
        <v>5120</v>
      </c>
    </row>
    <row r="457" spans="1:4" x14ac:dyDescent="0.2">
      <c r="A457">
        <v>456</v>
      </c>
      <c r="B457">
        <v>101</v>
      </c>
      <c r="C457" t="s">
        <v>183</v>
      </c>
      <c r="D457">
        <v>6066.17</v>
      </c>
    </row>
    <row r="458" spans="1:4" x14ac:dyDescent="0.2">
      <c r="A458">
        <v>457</v>
      </c>
      <c r="B458">
        <v>102</v>
      </c>
      <c r="C458" t="s">
        <v>182</v>
      </c>
      <c r="D458">
        <v>3244.06</v>
      </c>
    </row>
    <row r="459" spans="1:4" x14ac:dyDescent="0.2">
      <c r="A459">
        <v>458</v>
      </c>
      <c r="B459">
        <v>102</v>
      </c>
      <c r="C459" t="s">
        <v>180</v>
      </c>
      <c r="D459">
        <v>3114.33</v>
      </c>
    </row>
    <row r="460" spans="1:4" x14ac:dyDescent="0.2">
      <c r="A460">
        <v>459</v>
      </c>
      <c r="B460">
        <v>102</v>
      </c>
      <c r="C460" t="s">
        <v>181</v>
      </c>
      <c r="D460">
        <v>1864.13</v>
      </c>
    </row>
    <row r="461" spans="1:4" x14ac:dyDescent="0.2">
      <c r="A461">
        <v>460</v>
      </c>
      <c r="B461">
        <v>103</v>
      </c>
      <c r="C461" t="s">
        <v>176</v>
      </c>
      <c r="D461">
        <v>4571.92</v>
      </c>
    </row>
    <row r="462" spans="1:4" x14ac:dyDescent="0.2">
      <c r="A462">
        <v>461</v>
      </c>
      <c r="B462">
        <v>103</v>
      </c>
      <c r="C462" t="s">
        <v>177</v>
      </c>
      <c r="D462">
        <v>6692.9</v>
      </c>
    </row>
    <row r="463" spans="1:4" x14ac:dyDescent="0.2">
      <c r="A463">
        <v>462</v>
      </c>
      <c r="B463">
        <v>103</v>
      </c>
      <c r="C463" t="s">
        <v>175</v>
      </c>
      <c r="D463">
        <v>7592.39</v>
      </c>
    </row>
    <row r="464" spans="1:4" x14ac:dyDescent="0.2">
      <c r="A464">
        <v>463</v>
      </c>
      <c r="B464">
        <v>103</v>
      </c>
      <c r="C464" t="s">
        <v>180</v>
      </c>
      <c r="D464">
        <v>6974.12</v>
      </c>
    </row>
    <row r="465" spans="1:4" x14ac:dyDescent="0.2">
      <c r="A465">
        <v>464</v>
      </c>
      <c r="B465">
        <v>104</v>
      </c>
      <c r="C465" t="s">
        <v>174</v>
      </c>
      <c r="D465">
        <v>5747.88</v>
      </c>
    </row>
    <row r="466" spans="1:4" x14ac:dyDescent="0.2">
      <c r="A466">
        <v>465</v>
      </c>
      <c r="B466">
        <v>104</v>
      </c>
      <c r="C466" t="s">
        <v>176</v>
      </c>
      <c r="D466">
        <v>4120.01</v>
      </c>
    </row>
    <row r="467" spans="1:4" x14ac:dyDescent="0.2">
      <c r="A467">
        <v>466</v>
      </c>
      <c r="B467">
        <v>104</v>
      </c>
      <c r="C467" t="s">
        <v>179</v>
      </c>
      <c r="D467">
        <v>5496.15</v>
      </c>
    </row>
    <row r="468" spans="1:4" x14ac:dyDescent="0.2">
      <c r="A468">
        <v>467</v>
      </c>
      <c r="B468">
        <v>105</v>
      </c>
      <c r="C468" t="s">
        <v>180</v>
      </c>
      <c r="D468">
        <v>4147.82</v>
      </c>
    </row>
    <row r="469" spans="1:4" x14ac:dyDescent="0.2">
      <c r="A469">
        <v>468</v>
      </c>
      <c r="B469">
        <v>105</v>
      </c>
      <c r="C469" t="s">
        <v>177</v>
      </c>
      <c r="D469">
        <v>4093.05</v>
      </c>
    </row>
    <row r="470" spans="1:4" x14ac:dyDescent="0.2">
      <c r="A470">
        <v>469</v>
      </c>
      <c r="B470">
        <v>105</v>
      </c>
      <c r="C470" t="s">
        <v>182</v>
      </c>
      <c r="D470">
        <v>5458.59</v>
      </c>
    </row>
    <row r="471" spans="1:4" x14ac:dyDescent="0.2">
      <c r="A471">
        <v>470</v>
      </c>
      <c r="B471">
        <v>105</v>
      </c>
      <c r="C471" t="s">
        <v>179</v>
      </c>
      <c r="D471">
        <v>4730.8900000000003</v>
      </c>
    </row>
    <row r="472" spans="1:4" x14ac:dyDescent="0.2">
      <c r="A472">
        <v>471</v>
      </c>
      <c r="B472">
        <v>105</v>
      </c>
      <c r="C472" t="s">
        <v>178</v>
      </c>
      <c r="D472">
        <v>4494.78</v>
      </c>
    </row>
    <row r="473" spans="1:4" x14ac:dyDescent="0.2">
      <c r="A473">
        <v>472</v>
      </c>
      <c r="B473">
        <v>105</v>
      </c>
      <c r="C473" t="s">
        <v>181</v>
      </c>
      <c r="D473">
        <v>5748.18</v>
      </c>
    </row>
    <row r="474" spans="1:4" x14ac:dyDescent="0.2">
      <c r="A474">
        <v>473</v>
      </c>
      <c r="B474">
        <v>106</v>
      </c>
      <c r="C474" t="s">
        <v>178</v>
      </c>
      <c r="D474">
        <v>562.14</v>
      </c>
    </row>
    <row r="475" spans="1:4" x14ac:dyDescent="0.2">
      <c r="A475">
        <v>474</v>
      </c>
      <c r="B475">
        <v>106</v>
      </c>
      <c r="C475" t="s">
        <v>174</v>
      </c>
      <c r="D475">
        <v>634.82000000000005</v>
      </c>
    </row>
    <row r="476" spans="1:4" x14ac:dyDescent="0.2">
      <c r="A476">
        <v>475</v>
      </c>
      <c r="B476">
        <v>106</v>
      </c>
      <c r="C476" t="s">
        <v>177</v>
      </c>
      <c r="D476">
        <v>768.89</v>
      </c>
    </row>
    <row r="477" spans="1:4" x14ac:dyDescent="0.2">
      <c r="A477">
        <v>476</v>
      </c>
      <c r="B477">
        <v>106</v>
      </c>
      <c r="C477" t="s">
        <v>179</v>
      </c>
      <c r="D477">
        <v>898.44</v>
      </c>
    </row>
    <row r="478" spans="1:4" x14ac:dyDescent="0.2">
      <c r="A478">
        <v>477</v>
      </c>
      <c r="B478">
        <v>106</v>
      </c>
      <c r="C478" t="s">
        <v>183</v>
      </c>
      <c r="D478">
        <v>612.63</v>
      </c>
    </row>
    <row r="479" spans="1:4" x14ac:dyDescent="0.2">
      <c r="A479">
        <v>478</v>
      </c>
      <c r="B479">
        <v>107</v>
      </c>
      <c r="C479" t="s">
        <v>180</v>
      </c>
      <c r="D479">
        <v>821.97</v>
      </c>
    </row>
    <row r="480" spans="1:4" x14ac:dyDescent="0.2">
      <c r="A480">
        <v>479</v>
      </c>
      <c r="B480">
        <v>107</v>
      </c>
      <c r="C480" t="s">
        <v>179</v>
      </c>
      <c r="D480">
        <v>1069.3800000000001</v>
      </c>
    </row>
    <row r="481" spans="1:4" x14ac:dyDescent="0.2">
      <c r="A481">
        <v>480</v>
      </c>
      <c r="B481">
        <v>107</v>
      </c>
      <c r="C481" t="s">
        <v>176</v>
      </c>
      <c r="D481">
        <v>1182.26</v>
      </c>
    </row>
    <row r="482" spans="1:4" x14ac:dyDescent="0.2">
      <c r="A482">
        <v>481</v>
      </c>
      <c r="B482">
        <v>107</v>
      </c>
      <c r="C482" t="s">
        <v>182</v>
      </c>
      <c r="D482">
        <v>900.07</v>
      </c>
    </row>
    <row r="483" spans="1:4" x14ac:dyDescent="0.2">
      <c r="A483">
        <v>482</v>
      </c>
      <c r="B483">
        <v>107</v>
      </c>
      <c r="C483" t="s">
        <v>174</v>
      </c>
      <c r="D483">
        <v>872.7</v>
      </c>
    </row>
    <row r="484" spans="1:4" x14ac:dyDescent="0.2">
      <c r="A484">
        <v>483</v>
      </c>
      <c r="B484">
        <v>107</v>
      </c>
      <c r="C484" t="s">
        <v>178</v>
      </c>
      <c r="D484">
        <v>1033.3800000000001</v>
      </c>
    </row>
    <row r="485" spans="1:4" x14ac:dyDescent="0.2">
      <c r="A485">
        <v>484</v>
      </c>
      <c r="B485">
        <v>108</v>
      </c>
      <c r="C485" t="s">
        <v>176</v>
      </c>
      <c r="D485">
        <v>4029.22</v>
      </c>
    </row>
    <row r="486" spans="1:4" x14ac:dyDescent="0.2">
      <c r="A486">
        <v>485</v>
      </c>
      <c r="B486">
        <v>108</v>
      </c>
      <c r="C486" t="s">
        <v>179</v>
      </c>
      <c r="D486">
        <v>6332.94</v>
      </c>
    </row>
    <row r="487" spans="1:4" x14ac:dyDescent="0.2">
      <c r="A487">
        <v>486</v>
      </c>
      <c r="B487">
        <v>108</v>
      </c>
      <c r="C487" t="s">
        <v>178</v>
      </c>
      <c r="D487">
        <v>4463.95</v>
      </c>
    </row>
    <row r="488" spans="1:4" x14ac:dyDescent="0.2">
      <c r="A488">
        <v>487</v>
      </c>
      <c r="B488">
        <v>108</v>
      </c>
      <c r="C488" t="s">
        <v>182</v>
      </c>
      <c r="D488">
        <v>5966.52</v>
      </c>
    </row>
    <row r="489" spans="1:4" x14ac:dyDescent="0.2">
      <c r="A489">
        <v>488</v>
      </c>
      <c r="B489">
        <v>108</v>
      </c>
      <c r="C489" t="s">
        <v>174</v>
      </c>
      <c r="D489">
        <v>5025.93</v>
      </c>
    </row>
    <row r="490" spans="1:4" x14ac:dyDescent="0.2">
      <c r="A490">
        <v>489</v>
      </c>
      <c r="B490">
        <v>109</v>
      </c>
      <c r="C490" t="s">
        <v>177</v>
      </c>
      <c r="D490">
        <v>5713.88</v>
      </c>
    </row>
    <row r="491" spans="1:4" x14ac:dyDescent="0.2">
      <c r="A491">
        <v>490</v>
      </c>
      <c r="B491">
        <v>109</v>
      </c>
      <c r="C491" t="s">
        <v>174</v>
      </c>
      <c r="D491">
        <v>6989.69</v>
      </c>
    </row>
    <row r="492" spans="1:4" x14ac:dyDescent="0.2">
      <c r="A492">
        <v>491</v>
      </c>
      <c r="B492">
        <v>109</v>
      </c>
      <c r="C492" t="s">
        <v>179</v>
      </c>
      <c r="D492">
        <v>9030.4500000000007</v>
      </c>
    </row>
    <row r="493" spans="1:4" x14ac:dyDescent="0.2">
      <c r="A493">
        <v>492</v>
      </c>
      <c r="B493">
        <v>109</v>
      </c>
      <c r="C493" t="s">
        <v>182</v>
      </c>
      <c r="D493">
        <v>5449.6</v>
      </c>
    </row>
    <row r="494" spans="1:4" x14ac:dyDescent="0.2">
      <c r="A494">
        <v>493</v>
      </c>
      <c r="B494">
        <v>109</v>
      </c>
      <c r="C494" t="s">
        <v>175</v>
      </c>
      <c r="D494">
        <v>5592.26</v>
      </c>
    </row>
    <row r="495" spans="1:4" x14ac:dyDescent="0.2">
      <c r="A495">
        <v>494</v>
      </c>
      <c r="B495">
        <v>110</v>
      </c>
      <c r="C495" t="s">
        <v>175</v>
      </c>
      <c r="D495">
        <v>569.87</v>
      </c>
    </row>
    <row r="496" spans="1:4" x14ac:dyDescent="0.2">
      <c r="A496">
        <v>495</v>
      </c>
      <c r="B496">
        <v>110</v>
      </c>
      <c r="C496" t="s">
        <v>178</v>
      </c>
      <c r="D496">
        <v>844.16</v>
      </c>
    </row>
    <row r="497" spans="1:4" x14ac:dyDescent="0.2">
      <c r="A497">
        <v>496</v>
      </c>
      <c r="B497">
        <v>110</v>
      </c>
      <c r="C497" t="s">
        <v>176</v>
      </c>
      <c r="D497">
        <v>727.4</v>
      </c>
    </row>
    <row r="498" spans="1:4" x14ac:dyDescent="0.2">
      <c r="A498">
        <v>497</v>
      </c>
      <c r="B498">
        <v>110</v>
      </c>
      <c r="C498" t="s">
        <v>174</v>
      </c>
      <c r="D498">
        <v>917.23</v>
      </c>
    </row>
    <row r="499" spans="1:4" x14ac:dyDescent="0.2">
      <c r="A499">
        <v>498</v>
      </c>
      <c r="B499">
        <v>111</v>
      </c>
      <c r="C499" t="s">
        <v>174</v>
      </c>
      <c r="D499">
        <v>4880.33</v>
      </c>
    </row>
    <row r="500" spans="1:4" x14ac:dyDescent="0.2">
      <c r="A500">
        <v>499</v>
      </c>
      <c r="B500">
        <v>111</v>
      </c>
      <c r="C500" t="s">
        <v>177</v>
      </c>
      <c r="D500">
        <v>3879.46</v>
      </c>
    </row>
    <row r="501" spans="1:4" x14ac:dyDescent="0.2">
      <c r="A501">
        <v>500</v>
      </c>
      <c r="B501">
        <v>111</v>
      </c>
      <c r="C501" t="s">
        <v>175</v>
      </c>
      <c r="D501">
        <v>3453.26</v>
      </c>
    </row>
    <row r="502" spans="1:4" x14ac:dyDescent="0.2">
      <c r="A502">
        <v>501</v>
      </c>
      <c r="B502">
        <v>111</v>
      </c>
      <c r="C502" t="s">
        <v>179</v>
      </c>
      <c r="D502">
        <v>3083.13</v>
      </c>
    </row>
    <row r="503" spans="1:4" x14ac:dyDescent="0.2">
      <c r="A503">
        <v>502</v>
      </c>
      <c r="B503">
        <v>112</v>
      </c>
      <c r="C503" t="s">
        <v>174</v>
      </c>
      <c r="D503">
        <v>9386.09</v>
      </c>
    </row>
    <row r="504" spans="1:4" x14ac:dyDescent="0.2">
      <c r="A504">
        <v>503</v>
      </c>
      <c r="B504">
        <v>112</v>
      </c>
      <c r="C504" t="s">
        <v>180</v>
      </c>
      <c r="D504">
        <v>6501.87</v>
      </c>
    </row>
    <row r="505" spans="1:4" x14ac:dyDescent="0.2">
      <c r="A505">
        <v>504</v>
      </c>
      <c r="B505">
        <v>112</v>
      </c>
      <c r="C505" t="s">
        <v>182</v>
      </c>
      <c r="D505">
        <v>7283.22</v>
      </c>
    </row>
    <row r="506" spans="1:4" x14ac:dyDescent="0.2">
      <c r="A506">
        <v>505</v>
      </c>
      <c r="B506">
        <v>112</v>
      </c>
      <c r="C506" t="s">
        <v>183</v>
      </c>
      <c r="D506">
        <v>6466.83</v>
      </c>
    </row>
    <row r="507" spans="1:4" x14ac:dyDescent="0.2">
      <c r="A507">
        <v>506</v>
      </c>
      <c r="B507">
        <v>113</v>
      </c>
      <c r="C507" t="s">
        <v>178</v>
      </c>
      <c r="D507">
        <v>4305.37</v>
      </c>
    </row>
    <row r="508" spans="1:4" x14ac:dyDescent="0.2">
      <c r="A508">
        <v>507</v>
      </c>
      <c r="B508">
        <v>113</v>
      </c>
      <c r="C508" t="s">
        <v>175</v>
      </c>
      <c r="D508">
        <v>3584.06</v>
      </c>
    </row>
    <row r="509" spans="1:4" x14ac:dyDescent="0.2">
      <c r="A509">
        <v>508</v>
      </c>
      <c r="B509">
        <v>113</v>
      </c>
      <c r="C509" t="s">
        <v>182</v>
      </c>
      <c r="D509">
        <v>5634.82</v>
      </c>
    </row>
    <row r="510" spans="1:4" x14ac:dyDescent="0.2">
      <c r="A510">
        <v>509</v>
      </c>
      <c r="B510">
        <v>113</v>
      </c>
      <c r="C510" t="s">
        <v>176</v>
      </c>
      <c r="D510">
        <v>3683.95</v>
      </c>
    </row>
    <row r="511" spans="1:4" x14ac:dyDescent="0.2">
      <c r="A511">
        <v>510</v>
      </c>
      <c r="B511">
        <v>114</v>
      </c>
      <c r="C511" t="s">
        <v>181</v>
      </c>
      <c r="D511">
        <v>5810.19</v>
      </c>
    </row>
    <row r="512" spans="1:4" x14ac:dyDescent="0.2">
      <c r="A512">
        <v>511</v>
      </c>
      <c r="B512">
        <v>114</v>
      </c>
      <c r="C512" t="s">
        <v>177</v>
      </c>
      <c r="D512">
        <v>6350.3</v>
      </c>
    </row>
    <row r="513" spans="1:4" x14ac:dyDescent="0.2">
      <c r="A513">
        <v>512</v>
      </c>
      <c r="B513">
        <v>114</v>
      </c>
      <c r="C513" t="s">
        <v>183</v>
      </c>
      <c r="D513">
        <v>8135.51</v>
      </c>
    </row>
    <row r="514" spans="1:4" x14ac:dyDescent="0.2">
      <c r="A514">
        <v>513</v>
      </c>
      <c r="B514">
        <v>114</v>
      </c>
      <c r="C514" t="s">
        <v>174</v>
      </c>
      <c r="D514">
        <v>5681.23</v>
      </c>
    </row>
    <row r="515" spans="1:4" x14ac:dyDescent="0.2">
      <c r="A515">
        <v>514</v>
      </c>
      <c r="B515">
        <v>115</v>
      </c>
      <c r="C515" t="s">
        <v>177</v>
      </c>
      <c r="D515">
        <v>4698.38</v>
      </c>
    </row>
    <row r="516" spans="1:4" x14ac:dyDescent="0.2">
      <c r="A516">
        <v>515</v>
      </c>
      <c r="B516">
        <v>115</v>
      </c>
      <c r="C516" t="s">
        <v>182</v>
      </c>
      <c r="D516">
        <v>4483.49</v>
      </c>
    </row>
    <row r="517" spans="1:4" x14ac:dyDescent="0.2">
      <c r="A517">
        <v>516</v>
      </c>
      <c r="B517">
        <v>115</v>
      </c>
      <c r="C517" t="s">
        <v>180</v>
      </c>
      <c r="D517">
        <v>4572.29</v>
      </c>
    </row>
    <row r="518" spans="1:4" x14ac:dyDescent="0.2">
      <c r="A518">
        <v>517</v>
      </c>
      <c r="B518">
        <v>115</v>
      </c>
      <c r="C518" t="s">
        <v>179</v>
      </c>
      <c r="D518">
        <v>4071.97</v>
      </c>
    </row>
    <row r="519" spans="1:4" x14ac:dyDescent="0.2">
      <c r="A519">
        <v>518</v>
      </c>
      <c r="B519">
        <v>116</v>
      </c>
      <c r="C519" t="s">
        <v>181</v>
      </c>
      <c r="D519">
        <v>5232.2</v>
      </c>
    </row>
    <row r="520" spans="1:4" x14ac:dyDescent="0.2">
      <c r="A520">
        <v>519</v>
      </c>
      <c r="B520">
        <v>116</v>
      </c>
      <c r="C520" t="s">
        <v>177</v>
      </c>
      <c r="D520">
        <v>4818.2</v>
      </c>
    </row>
    <row r="521" spans="1:4" x14ac:dyDescent="0.2">
      <c r="A521">
        <v>520</v>
      </c>
      <c r="B521">
        <v>116</v>
      </c>
      <c r="C521" t="s">
        <v>179</v>
      </c>
      <c r="D521">
        <v>4050.95</v>
      </c>
    </row>
    <row r="522" spans="1:4" x14ac:dyDescent="0.2">
      <c r="A522">
        <v>521</v>
      </c>
      <c r="B522">
        <v>116</v>
      </c>
      <c r="C522" t="s">
        <v>183</v>
      </c>
      <c r="D522">
        <v>4316.17</v>
      </c>
    </row>
    <row r="523" spans="1:4" x14ac:dyDescent="0.2">
      <c r="A523">
        <v>522</v>
      </c>
      <c r="B523">
        <v>116</v>
      </c>
      <c r="C523" t="s">
        <v>174</v>
      </c>
      <c r="D523">
        <v>3929.98</v>
      </c>
    </row>
    <row r="524" spans="1:4" x14ac:dyDescent="0.2">
      <c r="A524">
        <v>523</v>
      </c>
      <c r="B524">
        <v>117</v>
      </c>
      <c r="C524" t="s">
        <v>179</v>
      </c>
      <c r="D524">
        <v>779.56</v>
      </c>
    </row>
    <row r="525" spans="1:4" x14ac:dyDescent="0.2">
      <c r="A525">
        <v>524</v>
      </c>
      <c r="B525">
        <v>117</v>
      </c>
      <c r="C525" t="s">
        <v>175</v>
      </c>
      <c r="D525">
        <v>861.38</v>
      </c>
    </row>
    <row r="526" spans="1:4" x14ac:dyDescent="0.2">
      <c r="A526">
        <v>525</v>
      </c>
      <c r="B526">
        <v>117</v>
      </c>
      <c r="C526" t="s">
        <v>181</v>
      </c>
      <c r="D526">
        <v>1037.99</v>
      </c>
    </row>
    <row r="527" spans="1:4" x14ac:dyDescent="0.2">
      <c r="A527">
        <v>526</v>
      </c>
      <c r="B527">
        <v>118</v>
      </c>
      <c r="C527" t="s">
        <v>183</v>
      </c>
      <c r="D527">
        <v>150.76</v>
      </c>
    </row>
    <row r="528" spans="1:4" x14ac:dyDescent="0.2">
      <c r="A528">
        <v>527</v>
      </c>
      <c r="B528">
        <v>118</v>
      </c>
      <c r="C528" t="s">
        <v>177</v>
      </c>
      <c r="D528">
        <v>205.32</v>
      </c>
    </row>
    <row r="529" spans="1:4" x14ac:dyDescent="0.2">
      <c r="A529">
        <v>528</v>
      </c>
      <c r="B529">
        <v>118</v>
      </c>
      <c r="C529" t="s">
        <v>180</v>
      </c>
      <c r="D529">
        <v>274.48</v>
      </c>
    </row>
    <row r="530" spans="1:4" x14ac:dyDescent="0.2">
      <c r="A530">
        <v>529</v>
      </c>
      <c r="B530">
        <v>118</v>
      </c>
      <c r="C530" t="s">
        <v>175</v>
      </c>
      <c r="D530">
        <v>231.1</v>
      </c>
    </row>
    <row r="531" spans="1:4" x14ac:dyDescent="0.2">
      <c r="A531">
        <v>530</v>
      </c>
      <c r="B531">
        <v>118</v>
      </c>
      <c r="C531" t="s">
        <v>174</v>
      </c>
      <c r="D531">
        <v>260.95999999999998</v>
      </c>
    </row>
    <row r="532" spans="1:4" x14ac:dyDescent="0.2">
      <c r="A532">
        <v>531</v>
      </c>
      <c r="B532">
        <v>119</v>
      </c>
      <c r="C532" t="s">
        <v>178</v>
      </c>
      <c r="D532">
        <v>3909.05</v>
      </c>
    </row>
    <row r="533" spans="1:4" x14ac:dyDescent="0.2">
      <c r="A533">
        <v>532</v>
      </c>
      <c r="B533">
        <v>119</v>
      </c>
      <c r="C533" t="s">
        <v>181</v>
      </c>
      <c r="D533">
        <v>5164.6099999999997</v>
      </c>
    </row>
    <row r="534" spans="1:4" x14ac:dyDescent="0.2">
      <c r="A534">
        <v>533</v>
      </c>
      <c r="B534">
        <v>119</v>
      </c>
      <c r="C534" t="s">
        <v>179</v>
      </c>
      <c r="D534">
        <v>5459.24</v>
      </c>
    </row>
    <row r="535" spans="1:4" x14ac:dyDescent="0.2">
      <c r="A535">
        <v>534</v>
      </c>
      <c r="B535">
        <v>119</v>
      </c>
      <c r="C535" t="s">
        <v>174</v>
      </c>
      <c r="D535">
        <v>5468.38</v>
      </c>
    </row>
    <row r="536" spans="1:4" x14ac:dyDescent="0.2">
      <c r="A536">
        <v>535</v>
      </c>
      <c r="B536">
        <v>119</v>
      </c>
      <c r="C536" t="s">
        <v>177</v>
      </c>
      <c r="D536">
        <v>4510.49</v>
      </c>
    </row>
    <row r="537" spans="1:4" x14ac:dyDescent="0.2">
      <c r="A537">
        <v>536</v>
      </c>
      <c r="B537">
        <v>120</v>
      </c>
      <c r="C537" t="s">
        <v>181</v>
      </c>
      <c r="D537">
        <v>1938.54</v>
      </c>
    </row>
    <row r="538" spans="1:4" x14ac:dyDescent="0.2">
      <c r="A538">
        <v>537</v>
      </c>
      <c r="B538">
        <v>120</v>
      </c>
      <c r="C538" t="s">
        <v>179</v>
      </c>
      <c r="D538">
        <v>1326.2</v>
      </c>
    </row>
    <row r="539" spans="1:4" x14ac:dyDescent="0.2">
      <c r="A539">
        <v>538</v>
      </c>
      <c r="B539">
        <v>120</v>
      </c>
      <c r="C539" t="s">
        <v>183</v>
      </c>
      <c r="D539">
        <v>1947.62</v>
      </c>
    </row>
    <row r="540" spans="1:4" x14ac:dyDescent="0.2">
      <c r="A540">
        <v>539</v>
      </c>
      <c r="B540">
        <v>120</v>
      </c>
      <c r="C540" t="s">
        <v>180</v>
      </c>
      <c r="D540">
        <v>1543.07</v>
      </c>
    </row>
    <row r="541" spans="1:4" x14ac:dyDescent="0.2">
      <c r="A541">
        <v>540</v>
      </c>
      <c r="B541">
        <v>121</v>
      </c>
      <c r="C541" t="s">
        <v>175</v>
      </c>
      <c r="D541">
        <v>2908.15</v>
      </c>
    </row>
    <row r="542" spans="1:4" x14ac:dyDescent="0.2">
      <c r="A542">
        <v>541</v>
      </c>
      <c r="B542">
        <v>121</v>
      </c>
      <c r="C542" t="s">
        <v>178</v>
      </c>
      <c r="D542">
        <v>3637.76</v>
      </c>
    </row>
    <row r="543" spans="1:4" x14ac:dyDescent="0.2">
      <c r="A543">
        <v>542</v>
      </c>
      <c r="B543">
        <v>121</v>
      </c>
      <c r="C543" t="s">
        <v>183</v>
      </c>
      <c r="D543">
        <v>3640.52</v>
      </c>
    </row>
    <row r="544" spans="1:4" x14ac:dyDescent="0.2">
      <c r="A544">
        <v>543</v>
      </c>
      <c r="B544">
        <v>121</v>
      </c>
      <c r="C544" t="s">
        <v>177</v>
      </c>
      <c r="D544">
        <v>2755.75</v>
      </c>
    </row>
    <row r="545" spans="1:4" x14ac:dyDescent="0.2">
      <c r="A545">
        <v>544</v>
      </c>
      <c r="B545">
        <v>121</v>
      </c>
      <c r="C545" t="s">
        <v>174</v>
      </c>
      <c r="D545">
        <v>2756.11</v>
      </c>
    </row>
    <row r="546" spans="1:4" x14ac:dyDescent="0.2">
      <c r="A546">
        <v>545</v>
      </c>
      <c r="B546">
        <v>121</v>
      </c>
      <c r="C546" t="s">
        <v>176</v>
      </c>
      <c r="D546">
        <v>2103.83</v>
      </c>
    </row>
    <row r="547" spans="1:4" x14ac:dyDescent="0.2">
      <c r="A547">
        <v>546</v>
      </c>
      <c r="B547">
        <v>122</v>
      </c>
      <c r="C547" t="s">
        <v>181</v>
      </c>
      <c r="D547">
        <v>6152.13</v>
      </c>
    </row>
    <row r="548" spans="1:4" x14ac:dyDescent="0.2">
      <c r="A548">
        <v>547</v>
      </c>
      <c r="B548">
        <v>122</v>
      </c>
      <c r="C548" t="s">
        <v>180</v>
      </c>
      <c r="D548">
        <v>3556.6</v>
      </c>
    </row>
    <row r="549" spans="1:4" x14ac:dyDescent="0.2">
      <c r="A549">
        <v>548</v>
      </c>
      <c r="B549">
        <v>122</v>
      </c>
      <c r="C549" t="s">
        <v>179</v>
      </c>
      <c r="D549">
        <v>4055.1</v>
      </c>
    </row>
    <row r="550" spans="1:4" x14ac:dyDescent="0.2">
      <c r="A550">
        <v>549</v>
      </c>
      <c r="B550">
        <v>122</v>
      </c>
      <c r="C550" t="s">
        <v>174</v>
      </c>
      <c r="D550">
        <v>5132.76</v>
      </c>
    </row>
    <row r="551" spans="1:4" x14ac:dyDescent="0.2">
      <c r="A551">
        <v>550</v>
      </c>
      <c r="B551">
        <v>123</v>
      </c>
      <c r="C551" t="s">
        <v>177</v>
      </c>
      <c r="D551">
        <v>824.35</v>
      </c>
    </row>
    <row r="552" spans="1:4" x14ac:dyDescent="0.2">
      <c r="A552">
        <v>551</v>
      </c>
      <c r="B552">
        <v>123</v>
      </c>
      <c r="C552" t="s">
        <v>182</v>
      </c>
      <c r="D552">
        <v>575.03</v>
      </c>
    </row>
    <row r="553" spans="1:4" x14ac:dyDescent="0.2">
      <c r="A553">
        <v>552</v>
      </c>
      <c r="B553">
        <v>123</v>
      </c>
      <c r="C553" t="s">
        <v>174</v>
      </c>
      <c r="D553">
        <v>927.08</v>
      </c>
    </row>
    <row r="554" spans="1:4" x14ac:dyDescent="0.2">
      <c r="A554">
        <v>553</v>
      </c>
      <c r="B554">
        <v>123</v>
      </c>
      <c r="C554" t="s">
        <v>179</v>
      </c>
      <c r="D554">
        <v>909.67</v>
      </c>
    </row>
    <row r="555" spans="1:4" x14ac:dyDescent="0.2">
      <c r="A555">
        <v>554</v>
      </c>
      <c r="B555">
        <v>123</v>
      </c>
      <c r="C555" t="s">
        <v>180</v>
      </c>
      <c r="D555">
        <v>813.61</v>
      </c>
    </row>
    <row r="556" spans="1:4" x14ac:dyDescent="0.2">
      <c r="A556">
        <v>555</v>
      </c>
      <c r="B556">
        <v>124</v>
      </c>
      <c r="C556" t="s">
        <v>174</v>
      </c>
      <c r="D556">
        <v>7639.62</v>
      </c>
    </row>
    <row r="557" spans="1:4" x14ac:dyDescent="0.2">
      <c r="A557">
        <v>556</v>
      </c>
      <c r="B557">
        <v>124</v>
      </c>
      <c r="C557" t="s">
        <v>180</v>
      </c>
      <c r="D557">
        <v>8654.5300000000007</v>
      </c>
    </row>
    <row r="558" spans="1:4" x14ac:dyDescent="0.2">
      <c r="A558">
        <v>557</v>
      </c>
      <c r="B558">
        <v>124</v>
      </c>
      <c r="C558" t="s">
        <v>177</v>
      </c>
      <c r="D558">
        <v>8024.36</v>
      </c>
    </row>
    <row r="559" spans="1:4" x14ac:dyDescent="0.2">
      <c r="A559">
        <v>558</v>
      </c>
      <c r="B559">
        <v>124</v>
      </c>
      <c r="C559" t="s">
        <v>175</v>
      </c>
      <c r="D559">
        <v>5984.88</v>
      </c>
    </row>
    <row r="560" spans="1:4" x14ac:dyDescent="0.2">
      <c r="A560">
        <v>559</v>
      </c>
      <c r="B560">
        <v>125</v>
      </c>
      <c r="C560" t="s">
        <v>177</v>
      </c>
      <c r="D560">
        <v>6211.23</v>
      </c>
    </row>
    <row r="561" spans="1:4" x14ac:dyDescent="0.2">
      <c r="A561">
        <v>560</v>
      </c>
      <c r="B561">
        <v>125</v>
      </c>
      <c r="C561" t="s">
        <v>179</v>
      </c>
      <c r="D561">
        <v>4186.82</v>
      </c>
    </row>
    <row r="562" spans="1:4" x14ac:dyDescent="0.2">
      <c r="A562">
        <v>561</v>
      </c>
      <c r="B562">
        <v>125</v>
      </c>
      <c r="C562" t="s">
        <v>174</v>
      </c>
      <c r="D562">
        <v>5362.27</v>
      </c>
    </row>
    <row r="563" spans="1:4" x14ac:dyDescent="0.2">
      <c r="A563">
        <v>562</v>
      </c>
      <c r="B563">
        <v>125</v>
      </c>
      <c r="C563" t="s">
        <v>175</v>
      </c>
      <c r="D563">
        <v>4984.38</v>
      </c>
    </row>
    <row r="564" spans="1:4" x14ac:dyDescent="0.2">
      <c r="A564">
        <v>563</v>
      </c>
      <c r="B564">
        <v>125</v>
      </c>
      <c r="C564" t="s">
        <v>182</v>
      </c>
      <c r="D564">
        <v>4729.32</v>
      </c>
    </row>
    <row r="565" spans="1:4" x14ac:dyDescent="0.2">
      <c r="A565">
        <v>564</v>
      </c>
      <c r="B565">
        <v>126</v>
      </c>
      <c r="C565" t="s">
        <v>176</v>
      </c>
      <c r="D565">
        <v>8746.7800000000007</v>
      </c>
    </row>
    <row r="566" spans="1:4" x14ac:dyDescent="0.2">
      <c r="A566">
        <v>565</v>
      </c>
      <c r="B566">
        <v>126</v>
      </c>
      <c r="C566" t="s">
        <v>174</v>
      </c>
      <c r="D566">
        <v>6125.51</v>
      </c>
    </row>
    <row r="567" spans="1:4" x14ac:dyDescent="0.2">
      <c r="A567">
        <v>566</v>
      </c>
      <c r="B567">
        <v>126</v>
      </c>
      <c r="C567" t="s">
        <v>182</v>
      </c>
      <c r="D567">
        <v>7702.59</v>
      </c>
    </row>
    <row r="568" spans="1:4" x14ac:dyDescent="0.2">
      <c r="A568">
        <v>567</v>
      </c>
      <c r="B568">
        <v>126</v>
      </c>
      <c r="C568" t="s">
        <v>181</v>
      </c>
      <c r="D568">
        <v>7797.13</v>
      </c>
    </row>
    <row r="569" spans="1:4" x14ac:dyDescent="0.2">
      <c r="A569">
        <v>568</v>
      </c>
      <c r="B569">
        <v>127</v>
      </c>
      <c r="C569" t="s">
        <v>177</v>
      </c>
      <c r="D569">
        <v>6321.05</v>
      </c>
    </row>
    <row r="570" spans="1:4" x14ac:dyDescent="0.2">
      <c r="A570">
        <v>569</v>
      </c>
      <c r="B570">
        <v>127</v>
      </c>
      <c r="C570" t="s">
        <v>174</v>
      </c>
      <c r="D570">
        <v>5462.87</v>
      </c>
    </row>
    <row r="571" spans="1:4" x14ac:dyDescent="0.2">
      <c r="A571">
        <v>570</v>
      </c>
      <c r="B571">
        <v>127</v>
      </c>
      <c r="C571" t="s">
        <v>179</v>
      </c>
      <c r="D571">
        <v>6169.08</v>
      </c>
    </row>
    <row r="572" spans="1:4" x14ac:dyDescent="0.2">
      <c r="A572">
        <v>571</v>
      </c>
      <c r="B572">
        <v>128</v>
      </c>
      <c r="C572" t="s">
        <v>175</v>
      </c>
      <c r="D572">
        <v>1129.2</v>
      </c>
    </row>
    <row r="573" spans="1:4" x14ac:dyDescent="0.2">
      <c r="A573">
        <v>572</v>
      </c>
      <c r="B573">
        <v>128</v>
      </c>
      <c r="C573" t="s">
        <v>183</v>
      </c>
      <c r="D573">
        <v>1334.7</v>
      </c>
    </row>
    <row r="574" spans="1:4" x14ac:dyDescent="0.2">
      <c r="A574">
        <v>573</v>
      </c>
      <c r="B574">
        <v>128</v>
      </c>
      <c r="C574" t="s">
        <v>178</v>
      </c>
      <c r="D574">
        <v>1157.56</v>
      </c>
    </row>
    <row r="575" spans="1:4" x14ac:dyDescent="0.2">
      <c r="A575">
        <v>574</v>
      </c>
      <c r="B575">
        <v>128</v>
      </c>
      <c r="C575" t="s">
        <v>181</v>
      </c>
      <c r="D575">
        <v>1436.97</v>
      </c>
    </row>
    <row r="576" spans="1:4" x14ac:dyDescent="0.2">
      <c r="A576">
        <v>575</v>
      </c>
      <c r="B576">
        <v>128</v>
      </c>
      <c r="C576" t="s">
        <v>176</v>
      </c>
      <c r="D576">
        <v>1471.69</v>
      </c>
    </row>
    <row r="577" spans="1:4" x14ac:dyDescent="0.2">
      <c r="A577">
        <v>576</v>
      </c>
      <c r="B577">
        <v>128</v>
      </c>
      <c r="C577" t="s">
        <v>179</v>
      </c>
      <c r="D577">
        <v>1569.21</v>
      </c>
    </row>
    <row r="578" spans="1:4" x14ac:dyDescent="0.2">
      <c r="A578">
        <v>577</v>
      </c>
      <c r="B578">
        <v>129</v>
      </c>
      <c r="C578" t="s">
        <v>177</v>
      </c>
      <c r="D578">
        <v>4790.7299999999996</v>
      </c>
    </row>
    <row r="579" spans="1:4" x14ac:dyDescent="0.2">
      <c r="A579">
        <v>578</v>
      </c>
      <c r="B579">
        <v>129</v>
      </c>
      <c r="C579" t="s">
        <v>183</v>
      </c>
      <c r="D579">
        <v>5706</v>
      </c>
    </row>
    <row r="580" spans="1:4" x14ac:dyDescent="0.2">
      <c r="A580">
        <v>579</v>
      </c>
      <c r="B580">
        <v>129</v>
      </c>
      <c r="C580" t="s">
        <v>175</v>
      </c>
      <c r="D580">
        <v>4146.92</v>
      </c>
    </row>
    <row r="581" spans="1:4" x14ac:dyDescent="0.2">
      <c r="A581">
        <v>580</v>
      </c>
      <c r="B581">
        <v>130</v>
      </c>
      <c r="C581" t="s">
        <v>175</v>
      </c>
      <c r="D581">
        <v>4335.1000000000004</v>
      </c>
    </row>
    <row r="582" spans="1:4" x14ac:dyDescent="0.2">
      <c r="A582">
        <v>581</v>
      </c>
      <c r="B582">
        <v>130</v>
      </c>
      <c r="C582" t="s">
        <v>178</v>
      </c>
      <c r="D582">
        <v>4353.33</v>
      </c>
    </row>
    <row r="583" spans="1:4" x14ac:dyDescent="0.2">
      <c r="A583">
        <v>582</v>
      </c>
      <c r="B583">
        <v>130</v>
      </c>
      <c r="C583" t="s">
        <v>177</v>
      </c>
      <c r="D583">
        <v>3464.81</v>
      </c>
    </row>
    <row r="584" spans="1:4" x14ac:dyDescent="0.2">
      <c r="A584">
        <v>583</v>
      </c>
      <c r="B584">
        <v>130</v>
      </c>
      <c r="C584" t="s">
        <v>179</v>
      </c>
      <c r="D584">
        <v>3307.31</v>
      </c>
    </row>
    <row r="585" spans="1:4" x14ac:dyDescent="0.2">
      <c r="A585">
        <v>584</v>
      </c>
      <c r="B585">
        <v>131</v>
      </c>
      <c r="C585" t="s">
        <v>181</v>
      </c>
      <c r="D585">
        <v>1379.73</v>
      </c>
    </row>
    <row r="586" spans="1:4" x14ac:dyDescent="0.2">
      <c r="A586">
        <v>585</v>
      </c>
      <c r="B586">
        <v>131</v>
      </c>
      <c r="C586" t="s">
        <v>176</v>
      </c>
      <c r="D586">
        <v>2258.17</v>
      </c>
    </row>
    <row r="587" spans="1:4" x14ac:dyDescent="0.2">
      <c r="A587">
        <v>586</v>
      </c>
      <c r="B587">
        <v>131</v>
      </c>
      <c r="C587" t="s">
        <v>177</v>
      </c>
      <c r="D587">
        <v>1748.04</v>
      </c>
    </row>
    <row r="588" spans="1:4" x14ac:dyDescent="0.2">
      <c r="A588">
        <v>587</v>
      </c>
      <c r="B588">
        <v>132</v>
      </c>
      <c r="C588" t="s">
        <v>182</v>
      </c>
      <c r="D588">
        <v>4294.1899999999996</v>
      </c>
    </row>
    <row r="589" spans="1:4" x14ac:dyDescent="0.2">
      <c r="A589">
        <v>588</v>
      </c>
      <c r="B589">
        <v>132</v>
      </c>
      <c r="C589" t="s">
        <v>176</v>
      </c>
      <c r="D589">
        <v>3158.39</v>
      </c>
    </row>
    <row r="590" spans="1:4" x14ac:dyDescent="0.2">
      <c r="A590">
        <v>589</v>
      </c>
      <c r="B590">
        <v>132</v>
      </c>
      <c r="C590" t="s">
        <v>183</v>
      </c>
      <c r="D590">
        <v>2671.38</v>
      </c>
    </row>
    <row r="591" spans="1:4" x14ac:dyDescent="0.2">
      <c r="A591">
        <v>590</v>
      </c>
      <c r="B591">
        <v>133</v>
      </c>
      <c r="C591" t="s">
        <v>179</v>
      </c>
      <c r="D591">
        <v>3749.82</v>
      </c>
    </row>
    <row r="592" spans="1:4" x14ac:dyDescent="0.2">
      <c r="A592">
        <v>591</v>
      </c>
      <c r="B592">
        <v>133</v>
      </c>
      <c r="C592" t="s">
        <v>174</v>
      </c>
      <c r="D592">
        <v>4411.22</v>
      </c>
    </row>
    <row r="593" spans="1:4" x14ac:dyDescent="0.2">
      <c r="A593">
        <v>592</v>
      </c>
      <c r="B593">
        <v>133</v>
      </c>
      <c r="C593" t="s">
        <v>182</v>
      </c>
      <c r="D593">
        <v>5837.54</v>
      </c>
    </row>
    <row r="594" spans="1:4" x14ac:dyDescent="0.2">
      <c r="A594">
        <v>593</v>
      </c>
      <c r="B594">
        <v>134</v>
      </c>
      <c r="C594" t="s">
        <v>181</v>
      </c>
      <c r="D594">
        <v>4115.43</v>
      </c>
    </row>
    <row r="595" spans="1:4" x14ac:dyDescent="0.2">
      <c r="A595">
        <v>594</v>
      </c>
      <c r="B595">
        <v>134</v>
      </c>
      <c r="C595" t="s">
        <v>178</v>
      </c>
      <c r="D595">
        <v>4849.7299999999996</v>
      </c>
    </row>
    <row r="596" spans="1:4" x14ac:dyDescent="0.2">
      <c r="A596">
        <v>595</v>
      </c>
      <c r="B596">
        <v>134</v>
      </c>
      <c r="C596" t="s">
        <v>174</v>
      </c>
      <c r="D596">
        <v>5033.22</v>
      </c>
    </row>
    <row r="597" spans="1:4" x14ac:dyDescent="0.2">
      <c r="A597">
        <v>596</v>
      </c>
      <c r="B597">
        <v>135</v>
      </c>
      <c r="C597" t="s">
        <v>179</v>
      </c>
      <c r="D597">
        <v>3102.68</v>
      </c>
    </row>
    <row r="598" spans="1:4" x14ac:dyDescent="0.2">
      <c r="A598">
        <v>597</v>
      </c>
      <c r="B598">
        <v>135</v>
      </c>
      <c r="C598" t="s">
        <v>177</v>
      </c>
      <c r="D598">
        <v>4034.15</v>
      </c>
    </row>
    <row r="599" spans="1:4" x14ac:dyDescent="0.2">
      <c r="A599">
        <v>598</v>
      </c>
      <c r="B599">
        <v>135</v>
      </c>
      <c r="C599" t="s">
        <v>176</v>
      </c>
      <c r="D599">
        <v>5381.52</v>
      </c>
    </row>
    <row r="600" spans="1:4" x14ac:dyDescent="0.2">
      <c r="A600">
        <v>599</v>
      </c>
      <c r="B600">
        <v>136</v>
      </c>
      <c r="C600" t="s">
        <v>182</v>
      </c>
      <c r="D600">
        <v>6669.42</v>
      </c>
    </row>
    <row r="601" spans="1:4" x14ac:dyDescent="0.2">
      <c r="A601">
        <v>600</v>
      </c>
      <c r="B601">
        <v>136</v>
      </c>
      <c r="C601" t="s">
        <v>180</v>
      </c>
      <c r="D601">
        <v>4496.0200000000004</v>
      </c>
    </row>
    <row r="602" spans="1:4" x14ac:dyDescent="0.2">
      <c r="A602">
        <v>601</v>
      </c>
      <c r="B602">
        <v>136</v>
      </c>
      <c r="C602" t="s">
        <v>179</v>
      </c>
      <c r="D602">
        <v>6146.54</v>
      </c>
    </row>
    <row r="603" spans="1:4" x14ac:dyDescent="0.2">
      <c r="A603">
        <v>602</v>
      </c>
      <c r="B603">
        <v>136</v>
      </c>
      <c r="C603" t="s">
        <v>176</v>
      </c>
      <c r="D603">
        <v>6276.9</v>
      </c>
    </row>
    <row r="604" spans="1:4" x14ac:dyDescent="0.2">
      <c r="A604">
        <v>603</v>
      </c>
      <c r="B604">
        <v>136</v>
      </c>
      <c r="C604" t="s">
        <v>175</v>
      </c>
      <c r="D604">
        <v>5437.1</v>
      </c>
    </row>
    <row r="605" spans="1:4" x14ac:dyDescent="0.2">
      <c r="A605">
        <v>604</v>
      </c>
      <c r="B605">
        <v>137</v>
      </c>
      <c r="C605" t="s">
        <v>177</v>
      </c>
      <c r="D605">
        <v>5049.3999999999996</v>
      </c>
    </row>
    <row r="606" spans="1:4" x14ac:dyDescent="0.2">
      <c r="A606">
        <v>605</v>
      </c>
      <c r="B606">
        <v>137</v>
      </c>
      <c r="C606" t="s">
        <v>182</v>
      </c>
      <c r="D606">
        <v>3742.04</v>
      </c>
    </row>
    <row r="607" spans="1:4" x14ac:dyDescent="0.2">
      <c r="A607">
        <v>606</v>
      </c>
      <c r="B607">
        <v>137</v>
      </c>
      <c r="C607" t="s">
        <v>174</v>
      </c>
      <c r="D607">
        <v>3536.46</v>
      </c>
    </row>
    <row r="608" spans="1:4" x14ac:dyDescent="0.2">
      <c r="A608">
        <v>607</v>
      </c>
      <c r="B608">
        <v>138</v>
      </c>
      <c r="C608" t="s">
        <v>178</v>
      </c>
      <c r="D608">
        <v>5482.91</v>
      </c>
    </row>
    <row r="609" spans="1:4" x14ac:dyDescent="0.2">
      <c r="A609">
        <v>608</v>
      </c>
      <c r="B609">
        <v>138</v>
      </c>
      <c r="C609" t="s">
        <v>175</v>
      </c>
      <c r="D609">
        <v>4557.8</v>
      </c>
    </row>
    <row r="610" spans="1:4" x14ac:dyDescent="0.2">
      <c r="A610">
        <v>609</v>
      </c>
      <c r="B610">
        <v>138</v>
      </c>
      <c r="C610" t="s">
        <v>177</v>
      </c>
      <c r="D610">
        <v>4590.3</v>
      </c>
    </row>
    <row r="611" spans="1:4" x14ac:dyDescent="0.2">
      <c r="A611">
        <v>610</v>
      </c>
      <c r="B611">
        <v>138</v>
      </c>
      <c r="C611" t="s">
        <v>176</v>
      </c>
      <c r="D611">
        <v>4076.96</v>
      </c>
    </row>
    <row r="612" spans="1:4" x14ac:dyDescent="0.2">
      <c r="A612">
        <v>611</v>
      </c>
      <c r="B612">
        <v>138</v>
      </c>
      <c r="C612" t="s">
        <v>183</v>
      </c>
      <c r="D612">
        <v>4843.2700000000004</v>
      </c>
    </row>
    <row r="613" spans="1:4" x14ac:dyDescent="0.2">
      <c r="A613">
        <v>612</v>
      </c>
      <c r="B613">
        <v>138</v>
      </c>
      <c r="C613" t="s">
        <v>182</v>
      </c>
      <c r="D613">
        <v>6331.72</v>
      </c>
    </row>
    <row r="614" spans="1:4" x14ac:dyDescent="0.2">
      <c r="A614">
        <v>613</v>
      </c>
      <c r="B614">
        <v>139</v>
      </c>
      <c r="C614" t="s">
        <v>179</v>
      </c>
      <c r="D614">
        <v>2812.99</v>
      </c>
    </row>
    <row r="615" spans="1:4" x14ac:dyDescent="0.2">
      <c r="A615">
        <v>614</v>
      </c>
      <c r="B615">
        <v>139</v>
      </c>
      <c r="C615" t="s">
        <v>177</v>
      </c>
      <c r="D615">
        <v>2235.48</v>
      </c>
    </row>
    <row r="616" spans="1:4" x14ac:dyDescent="0.2">
      <c r="A616">
        <v>615</v>
      </c>
      <c r="B616">
        <v>139</v>
      </c>
      <c r="C616" t="s">
        <v>178</v>
      </c>
      <c r="D616">
        <v>3469.05</v>
      </c>
    </row>
    <row r="617" spans="1:4" x14ac:dyDescent="0.2">
      <c r="A617">
        <v>616</v>
      </c>
      <c r="B617">
        <v>140</v>
      </c>
      <c r="C617" t="s">
        <v>176</v>
      </c>
      <c r="D617">
        <v>3469.23</v>
      </c>
    </row>
    <row r="618" spans="1:4" x14ac:dyDescent="0.2">
      <c r="A618">
        <v>617</v>
      </c>
      <c r="B618">
        <v>140</v>
      </c>
      <c r="C618" t="s">
        <v>178</v>
      </c>
      <c r="D618">
        <v>4336.24</v>
      </c>
    </row>
    <row r="619" spans="1:4" x14ac:dyDescent="0.2">
      <c r="A619">
        <v>618</v>
      </c>
      <c r="B619">
        <v>140</v>
      </c>
      <c r="C619" t="s">
        <v>183</v>
      </c>
      <c r="D619">
        <v>5370.31</v>
      </c>
    </row>
    <row r="620" spans="1:4" x14ac:dyDescent="0.2">
      <c r="A620">
        <v>619</v>
      </c>
      <c r="B620">
        <v>140</v>
      </c>
      <c r="C620" t="s">
        <v>175</v>
      </c>
      <c r="D620">
        <v>4714.28</v>
      </c>
    </row>
    <row r="621" spans="1:4" x14ac:dyDescent="0.2">
      <c r="A621">
        <v>620</v>
      </c>
      <c r="B621">
        <v>141</v>
      </c>
      <c r="C621" t="s">
        <v>175</v>
      </c>
      <c r="D621">
        <v>6579.16</v>
      </c>
    </row>
    <row r="622" spans="1:4" x14ac:dyDescent="0.2">
      <c r="A622">
        <v>621</v>
      </c>
      <c r="B622">
        <v>141</v>
      </c>
      <c r="C622" t="s">
        <v>180</v>
      </c>
      <c r="D622">
        <v>7188.11</v>
      </c>
    </row>
    <row r="623" spans="1:4" x14ac:dyDescent="0.2">
      <c r="A623">
        <v>622</v>
      </c>
      <c r="B623">
        <v>141</v>
      </c>
      <c r="C623" t="s">
        <v>178</v>
      </c>
      <c r="D623">
        <v>8993.17</v>
      </c>
    </row>
    <row r="624" spans="1:4" x14ac:dyDescent="0.2">
      <c r="A624">
        <v>623</v>
      </c>
      <c r="B624">
        <v>142</v>
      </c>
      <c r="C624" t="s">
        <v>182</v>
      </c>
      <c r="D624">
        <v>2317.0100000000002</v>
      </c>
    </row>
    <row r="625" spans="1:4" x14ac:dyDescent="0.2">
      <c r="A625">
        <v>624</v>
      </c>
      <c r="B625">
        <v>142</v>
      </c>
      <c r="C625" t="s">
        <v>175</v>
      </c>
      <c r="D625">
        <v>1715.32</v>
      </c>
    </row>
    <row r="626" spans="1:4" x14ac:dyDescent="0.2">
      <c r="A626">
        <v>625</v>
      </c>
      <c r="B626">
        <v>142</v>
      </c>
      <c r="C626" t="s">
        <v>177</v>
      </c>
      <c r="D626">
        <v>2598.2600000000002</v>
      </c>
    </row>
    <row r="627" spans="1:4" x14ac:dyDescent="0.2">
      <c r="A627">
        <v>626</v>
      </c>
      <c r="B627">
        <v>143</v>
      </c>
      <c r="C627" t="s">
        <v>182</v>
      </c>
      <c r="D627">
        <v>3639.13</v>
      </c>
    </row>
    <row r="628" spans="1:4" x14ac:dyDescent="0.2">
      <c r="A628">
        <v>627</v>
      </c>
      <c r="B628">
        <v>143</v>
      </c>
      <c r="C628" t="s">
        <v>176</v>
      </c>
      <c r="D628">
        <v>2681.31</v>
      </c>
    </row>
    <row r="629" spans="1:4" x14ac:dyDescent="0.2">
      <c r="A629">
        <v>628</v>
      </c>
      <c r="B629">
        <v>143</v>
      </c>
      <c r="C629" t="s">
        <v>177</v>
      </c>
      <c r="D629">
        <v>2331.3000000000002</v>
      </c>
    </row>
    <row r="630" spans="1:4" x14ac:dyDescent="0.2">
      <c r="A630">
        <v>629</v>
      </c>
      <c r="B630">
        <v>144</v>
      </c>
      <c r="C630" t="s">
        <v>177</v>
      </c>
      <c r="D630">
        <v>8038.2</v>
      </c>
    </row>
    <row r="631" spans="1:4" x14ac:dyDescent="0.2">
      <c r="A631">
        <v>630</v>
      </c>
      <c r="B631">
        <v>144</v>
      </c>
      <c r="C631" t="s">
        <v>182</v>
      </c>
      <c r="D631">
        <v>4796.8900000000003</v>
      </c>
    </row>
    <row r="632" spans="1:4" x14ac:dyDescent="0.2">
      <c r="A632">
        <v>631</v>
      </c>
      <c r="B632">
        <v>144</v>
      </c>
      <c r="C632" t="s">
        <v>176</v>
      </c>
      <c r="D632">
        <v>5908.8</v>
      </c>
    </row>
    <row r="633" spans="1:4" x14ac:dyDescent="0.2">
      <c r="A633">
        <v>632</v>
      </c>
      <c r="B633">
        <v>144</v>
      </c>
      <c r="C633" t="s">
        <v>178</v>
      </c>
      <c r="D633">
        <v>6110.17</v>
      </c>
    </row>
    <row r="634" spans="1:4" x14ac:dyDescent="0.2">
      <c r="A634">
        <v>633</v>
      </c>
      <c r="B634">
        <v>144</v>
      </c>
      <c r="C634" t="s">
        <v>179</v>
      </c>
      <c r="D634">
        <v>7216.06</v>
      </c>
    </row>
    <row r="635" spans="1:4" x14ac:dyDescent="0.2">
      <c r="A635">
        <v>634</v>
      </c>
      <c r="B635">
        <v>145</v>
      </c>
      <c r="C635" t="s">
        <v>179</v>
      </c>
      <c r="D635">
        <v>869.93</v>
      </c>
    </row>
    <row r="636" spans="1:4" x14ac:dyDescent="0.2">
      <c r="A636">
        <v>635</v>
      </c>
      <c r="B636">
        <v>145</v>
      </c>
      <c r="C636" t="s">
        <v>176</v>
      </c>
      <c r="D636">
        <v>569.04999999999995</v>
      </c>
    </row>
    <row r="637" spans="1:4" x14ac:dyDescent="0.2">
      <c r="A637">
        <v>636</v>
      </c>
      <c r="B637">
        <v>145</v>
      </c>
      <c r="C637" t="s">
        <v>175</v>
      </c>
      <c r="D637">
        <v>660.23</v>
      </c>
    </row>
    <row r="638" spans="1:4" x14ac:dyDescent="0.2">
      <c r="A638">
        <v>637</v>
      </c>
      <c r="B638">
        <v>146</v>
      </c>
      <c r="C638" t="s">
        <v>176</v>
      </c>
      <c r="D638">
        <v>518.08000000000004</v>
      </c>
    </row>
    <row r="639" spans="1:4" x14ac:dyDescent="0.2">
      <c r="A639">
        <v>638</v>
      </c>
      <c r="B639">
        <v>146</v>
      </c>
      <c r="C639" t="s">
        <v>183</v>
      </c>
      <c r="D639">
        <v>787.15</v>
      </c>
    </row>
    <row r="640" spans="1:4" x14ac:dyDescent="0.2">
      <c r="A640">
        <v>639</v>
      </c>
      <c r="B640">
        <v>146</v>
      </c>
      <c r="C640" t="s">
        <v>174</v>
      </c>
      <c r="D640">
        <v>528.16</v>
      </c>
    </row>
    <row r="641" spans="1:4" x14ac:dyDescent="0.2">
      <c r="A641">
        <v>640</v>
      </c>
      <c r="B641">
        <v>146</v>
      </c>
      <c r="C641" t="s">
        <v>177</v>
      </c>
      <c r="D641">
        <v>645.02</v>
      </c>
    </row>
    <row r="642" spans="1:4" x14ac:dyDescent="0.2">
      <c r="A642">
        <v>641</v>
      </c>
      <c r="B642">
        <v>147</v>
      </c>
      <c r="C642" t="s">
        <v>177</v>
      </c>
      <c r="D642">
        <v>1020.61</v>
      </c>
    </row>
    <row r="643" spans="1:4" x14ac:dyDescent="0.2">
      <c r="A643">
        <v>642</v>
      </c>
      <c r="B643">
        <v>147</v>
      </c>
      <c r="C643" t="s">
        <v>183</v>
      </c>
      <c r="D643">
        <v>934.06</v>
      </c>
    </row>
    <row r="644" spans="1:4" x14ac:dyDescent="0.2">
      <c r="A644">
        <v>643</v>
      </c>
      <c r="B644">
        <v>147</v>
      </c>
      <c r="C644" t="s">
        <v>182</v>
      </c>
      <c r="D644">
        <v>701.38</v>
      </c>
    </row>
    <row r="645" spans="1:4" x14ac:dyDescent="0.2">
      <c r="A645">
        <v>644</v>
      </c>
      <c r="B645">
        <v>147</v>
      </c>
      <c r="C645" t="s">
        <v>178</v>
      </c>
      <c r="D645">
        <v>621.39</v>
      </c>
    </row>
    <row r="646" spans="1:4" x14ac:dyDescent="0.2">
      <c r="A646">
        <v>645</v>
      </c>
      <c r="B646">
        <v>147</v>
      </c>
      <c r="C646" t="s">
        <v>174</v>
      </c>
      <c r="D646">
        <v>568.26</v>
      </c>
    </row>
    <row r="647" spans="1:4" x14ac:dyDescent="0.2">
      <c r="A647">
        <v>646</v>
      </c>
      <c r="B647">
        <v>148</v>
      </c>
      <c r="C647" t="s">
        <v>174</v>
      </c>
      <c r="D647">
        <v>4119.08</v>
      </c>
    </row>
    <row r="648" spans="1:4" x14ac:dyDescent="0.2">
      <c r="A648">
        <v>647</v>
      </c>
      <c r="B648">
        <v>148</v>
      </c>
      <c r="C648" t="s">
        <v>175</v>
      </c>
      <c r="D648">
        <v>4423.12</v>
      </c>
    </row>
    <row r="649" spans="1:4" x14ac:dyDescent="0.2">
      <c r="A649">
        <v>648</v>
      </c>
      <c r="B649">
        <v>148</v>
      </c>
      <c r="C649" t="s">
        <v>178</v>
      </c>
      <c r="D649">
        <v>4769.24</v>
      </c>
    </row>
    <row r="650" spans="1:4" x14ac:dyDescent="0.2">
      <c r="A650">
        <v>649</v>
      </c>
      <c r="B650">
        <v>148</v>
      </c>
      <c r="C650" t="s">
        <v>181</v>
      </c>
      <c r="D650">
        <v>4557.16</v>
      </c>
    </row>
    <row r="651" spans="1:4" x14ac:dyDescent="0.2">
      <c r="A651">
        <v>650</v>
      </c>
      <c r="B651">
        <v>149</v>
      </c>
      <c r="C651" t="s">
        <v>180</v>
      </c>
      <c r="D651">
        <v>2923.16</v>
      </c>
    </row>
    <row r="652" spans="1:4" x14ac:dyDescent="0.2">
      <c r="A652">
        <v>651</v>
      </c>
      <c r="B652">
        <v>149</v>
      </c>
      <c r="C652" t="s">
        <v>175</v>
      </c>
      <c r="D652">
        <v>2438.8000000000002</v>
      </c>
    </row>
    <row r="653" spans="1:4" x14ac:dyDescent="0.2">
      <c r="A653">
        <v>652</v>
      </c>
      <c r="B653">
        <v>149</v>
      </c>
      <c r="C653" t="s">
        <v>176</v>
      </c>
      <c r="D653">
        <v>2910.97</v>
      </c>
    </row>
    <row r="654" spans="1:4" x14ac:dyDescent="0.2">
      <c r="A654">
        <v>653</v>
      </c>
      <c r="B654">
        <v>149</v>
      </c>
      <c r="C654" t="s">
        <v>182</v>
      </c>
      <c r="D654">
        <v>3694.1</v>
      </c>
    </row>
    <row r="655" spans="1:4" x14ac:dyDescent="0.2">
      <c r="A655">
        <v>654</v>
      </c>
      <c r="B655">
        <v>149</v>
      </c>
      <c r="C655" t="s">
        <v>174</v>
      </c>
      <c r="D655">
        <v>3830.29</v>
      </c>
    </row>
    <row r="656" spans="1:4" x14ac:dyDescent="0.2">
      <c r="A656">
        <v>655</v>
      </c>
      <c r="B656">
        <v>150</v>
      </c>
      <c r="C656" t="s">
        <v>183</v>
      </c>
      <c r="D656">
        <v>1814.04</v>
      </c>
    </row>
    <row r="657" spans="1:4" x14ac:dyDescent="0.2">
      <c r="A657">
        <v>656</v>
      </c>
      <c r="B657">
        <v>150</v>
      </c>
      <c r="C657" t="s">
        <v>174</v>
      </c>
      <c r="D657">
        <v>1802.88</v>
      </c>
    </row>
    <row r="658" spans="1:4" x14ac:dyDescent="0.2">
      <c r="A658">
        <v>657</v>
      </c>
      <c r="B658">
        <v>150</v>
      </c>
      <c r="C658" t="s">
        <v>175</v>
      </c>
      <c r="D658">
        <v>1814.03</v>
      </c>
    </row>
  </sheetData>
  <sheetProtection algorithmName="SHA-512" hashValue="2Cy93LIgqBn8nWv9f5mu7F+Xp0M64avw9c6OSuV6Ay2nUMJ09Gj00JJW04Ouey9MrhVdyT++bqI0tkwhyfPtXQ==" saltValue="illV90w104ImtB8kR558dw==" spinCount="100000" sheet="1" objects="1" scenarios="1"/>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workbookViewId="0">
      <selection activeCell="J11" sqref="J11"/>
    </sheetView>
  </sheetViews>
  <sheetFormatPr defaultRowHeight="12.75" x14ac:dyDescent="0.2"/>
  <cols>
    <col min="1" max="1" width="12" customWidth="1"/>
    <col min="2" max="2" width="13.28515625" customWidth="1"/>
    <col min="3" max="3" width="9.5703125" customWidth="1"/>
  </cols>
  <sheetData>
    <row r="1" spans="1:3" x14ac:dyDescent="0.2">
      <c r="A1" t="s">
        <v>169</v>
      </c>
      <c r="B1" t="s">
        <v>164</v>
      </c>
      <c r="C1" t="s">
        <v>170</v>
      </c>
    </row>
    <row r="2" spans="1:3" x14ac:dyDescent="0.2">
      <c r="A2">
        <v>118</v>
      </c>
      <c r="B2">
        <v>1</v>
      </c>
      <c r="C2">
        <v>5</v>
      </c>
    </row>
    <row r="3" spans="1:3" x14ac:dyDescent="0.2">
      <c r="A3">
        <v>207</v>
      </c>
      <c r="B3">
        <v>1</v>
      </c>
      <c r="C3">
        <v>2</v>
      </c>
    </row>
    <row r="4" spans="1:3" x14ac:dyDescent="0.2">
      <c r="A4">
        <v>381</v>
      </c>
      <c r="B4">
        <v>1</v>
      </c>
      <c r="C4">
        <v>3</v>
      </c>
    </row>
    <row r="5" spans="1:3" x14ac:dyDescent="0.2">
      <c r="A5">
        <v>392</v>
      </c>
      <c r="B5">
        <v>1</v>
      </c>
      <c r="C5">
        <v>4</v>
      </c>
    </row>
    <row r="6" spans="1:3" x14ac:dyDescent="0.2">
      <c r="A6">
        <v>440</v>
      </c>
      <c r="B6">
        <v>1</v>
      </c>
      <c r="C6">
        <v>1</v>
      </c>
    </row>
    <row r="7" spans="1:3" x14ac:dyDescent="0.2">
      <c r="A7">
        <v>512</v>
      </c>
      <c r="B7">
        <v>1</v>
      </c>
      <c r="C7">
        <v>3</v>
      </c>
    </row>
    <row r="8" spans="1:3" x14ac:dyDescent="0.2">
      <c r="A8">
        <v>689</v>
      </c>
      <c r="B8">
        <v>1</v>
      </c>
      <c r="C8">
        <v>4</v>
      </c>
    </row>
    <row r="9" spans="1:3" x14ac:dyDescent="0.2">
      <c r="A9">
        <v>709</v>
      </c>
      <c r="B9">
        <v>1</v>
      </c>
      <c r="C9">
        <v>5</v>
      </c>
    </row>
    <row r="10" spans="1:3" x14ac:dyDescent="0.2">
      <c r="A10">
        <v>942</v>
      </c>
      <c r="B10">
        <v>1</v>
      </c>
      <c r="C10">
        <v>2</v>
      </c>
    </row>
    <row r="11" spans="1:3" x14ac:dyDescent="0.2">
      <c r="A11">
        <v>26</v>
      </c>
      <c r="B11">
        <v>2</v>
      </c>
      <c r="C11">
        <v>4</v>
      </c>
    </row>
    <row r="12" spans="1:3" x14ac:dyDescent="0.2">
      <c r="A12">
        <v>37</v>
      </c>
      <c r="B12">
        <v>2</v>
      </c>
      <c r="C12">
        <v>1</v>
      </c>
    </row>
    <row r="13" spans="1:3" x14ac:dyDescent="0.2">
      <c r="A13">
        <v>557</v>
      </c>
      <c r="B13">
        <v>2</v>
      </c>
      <c r="C13">
        <v>5</v>
      </c>
    </row>
    <row r="14" spans="1:3" x14ac:dyDescent="0.2">
      <c r="A14">
        <v>672</v>
      </c>
      <c r="B14">
        <v>2</v>
      </c>
      <c r="C14">
        <v>5</v>
      </c>
    </row>
    <row r="15" spans="1:3" x14ac:dyDescent="0.2">
      <c r="A15">
        <v>765</v>
      </c>
      <c r="B15">
        <v>2</v>
      </c>
      <c r="C15">
        <v>2</v>
      </c>
    </row>
    <row r="16" spans="1:3" x14ac:dyDescent="0.2">
      <c r="A16">
        <v>898</v>
      </c>
      <c r="B16">
        <v>2</v>
      </c>
      <c r="C16">
        <v>1</v>
      </c>
    </row>
    <row r="17" spans="1:3" x14ac:dyDescent="0.2">
      <c r="A17">
        <v>143</v>
      </c>
      <c r="B17">
        <v>3</v>
      </c>
      <c r="C17">
        <v>5</v>
      </c>
    </row>
    <row r="18" spans="1:3" x14ac:dyDescent="0.2">
      <c r="A18">
        <v>287</v>
      </c>
      <c r="B18">
        <v>3</v>
      </c>
      <c r="C18">
        <v>1</v>
      </c>
    </row>
    <row r="19" spans="1:3" x14ac:dyDescent="0.2">
      <c r="A19">
        <v>335</v>
      </c>
      <c r="B19">
        <v>3</v>
      </c>
      <c r="C19">
        <v>3</v>
      </c>
    </row>
    <row r="20" spans="1:3" x14ac:dyDescent="0.2">
      <c r="A20">
        <v>366</v>
      </c>
      <c r="B20">
        <v>3</v>
      </c>
      <c r="C20">
        <v>3</v>
      </c>
    </row>
    <row r="21" spans="1:3" x14ac:dyDescent="0.2">
      <c r="A21">
        <v>427</v>
      </c>
      <c r="B21">
        <v>3</v>
      </c>
      <c r="C21">
        <v>1</v>
      </c>
    </row>
    <row r="22" spans="1:3" x14ac:dyDescent="0.2">
      <c r="A22">
        <v>601</v>
      </c>
      <c r="B22">
        <v>3</v>
      </c>
      <c r="C22">
        <v>3</v>
      </c>
    </row>
    <row r="23" spans="1:3" x14ac:dyDescent="0.2">
      <c r="A23">
        <v>665</v>
      </c>
      <c r="B23">
        <v>3</v>
      </c>
      <c r="C23">
        <v>1</v>
      </c>
    </row>
    <row r="24" spans="1:3" x14ac:dyDescent="0.2">
      <c r="A24">
        <v>704</v>
      </c>
      <c r="B24">
        <v>3</v>
      </c>
      <c r="C24">
        <v>5</v>
      </c>
    </row>
    <row r="25" spans="1:3" x14ac:dyDescent="0.2">
      <c r="A25">
        <v>884</v>
      </c>
      <c r="B25">
        <v>3</v>
      </c>
      <c r="C25">
        <v>1</v>
      </c>
    </row>
    <row r="26" spans="1:3" x14ac:dyDescent="0.2">
      <c r="A26">
        <v>940</v>
      </c>
      <c r="B26">
        <v>3</v>
      </c>
      <c r="C26">
        <v>3</v>
      </c>
    </row>
    <row r="27" spans="1:3" x14ac:dyDescent="0.2">
      <c r="A27">
        <v>15</v>
      </c>
      <c r="B27">
        <v>4</v>
      </c>
      <c r="C27">
        <v>4</v>
      </c>
    </row>
    <row r="28" spans="1:3" x14ac:dyDescent="0.2">
      <c r="A28">
        <v>184</v>
      </c>
      <c r="B28">
        <v>4</v>
      </c>
      <c r="C28">
        <v>2</v>
      </c>
    </row>
    <row r="29" spans="1:3" x14ac:dyDescent="0.2">
      <c r="A29">
        <v>597</v>
      </c>
      <c r="B29">
        <v>4</v>
      </c>
      <c r="C29">
        <v>2</v>
      </c>
    </row>
    <row r="30" spans="1:3" x14ac:dyDescent="0.2">
      <c r="A30">
        <v>604</v>
      </c>
      <c r="B30">
        <v>4</v>
      </c>
      <c r="C30">
        <v>4</v>
      </c>
    </row>
    <row r="31" spans="1:3" x14ac:dyDescent="0.2">
      <c r="A31">
        <v>735</v>
      </c>
      <c r="B31">
        <v>4</v>
      </c>
      <c r="C31">
        <v>4</v>
      </c>
    </row>
    <row r="32" spans="1:3" x14ac:dyDescent="0.2">
      <c r="A32">
        <v>890</v>
      </c>
      <c r="B32">
        <v>4</v>
      </c>
      <c r="C32">
        <v>1</v>
      </c>
    </row>
    <row r="33" spans="1:3" x14ac:dyDescent="0.2">
      <c r="A33">
        <v>904</v>
      </c>
      <c r="B33">
        <v>4</v>
      </c>
      <c r="C33">
        <v>2</v>
      </c>
    </row>
    <row r="34" spans="1:3" x14ac:dyDescent="0.2">
      <c r="A34">
        <v>931</v>
      </c>
      <c r="B34">
        <v>4</v>
      </c>
      <c r="C34">
        <v>4</v>
      </c>
    </row>
    <row r="35" spans="1:3" x14ac:dyDescent="0.2">
      <c r="A35">
        <v>164</v>
      </c>
      <c r="B35">
        <v>5</v>
      </c>
      <c r="C35">
        <v>4</v>
      </c>
    </row>
    <row r="36" spans="1:3" x14ac:dyDescent="0.2">
      <c r="A36">
        <v>290</v>
      </c>
      <c r="B36">
        <v>5</v>
      </c>
      <c r="C36">
        <v>1</v>
      </c>
    </row>
    <row r="37" spans="1:3" x14ac:dyDescent="0.2">
      <c r="A37">
        <v>340</v>
      </c>
      <c r="B37">
        <v>5</v>
      </c>
      <c r="C37">
        <v>4</v>
      </c>
    </row>
    <row r="38" spans="1:3" x14ac:dyDescent="0.2">
      <c r="A38">
        <v>491</v>
      </c>
      <c r="B38">
        <v>5</v>
      </c>
      <c r="C38">
        <v>2</v>
      </c>
    </row>
    <row r="39" spans="1:3" x14ac:dyDescent="0.2">
      <c r="A39">
        <v>568</v>
      </c>
      <c r="B39">
        <v>5</v>
      </c>
      <c r="C39">
        <v>5</v>
      </c>
    </row>
    <row r="40" spans="1:3" x14ac:dyDescent="0.2">
      <c r="A40">
        <v>44</v>
      </c>
      <c r="B40">
        <v>6</v>
      </c>
      <c r="C40">
        <v>4</v>
      </c>
    </row>
    <row r="41" spans="1:3" x14ac:dyDescent="0.2">
      <c r="A41">
        <v>65</v>
      </c>
      <c r="B41">
        <v>6</v>
      </c>
      <c r="C41">
        <v>1</v>
      </c>
    </row>
    <row r="42" spans="1:3" x14ac:dyDescent="0.2">
      <c r="A42">
        <v>100</v>
      </c>
      <c r="B42">
        <v>6</v>
      </c>
      <c r="C42">
        <v>3</v>
      </c>
    </row>
    <row r="43" spans="1:3" x14ac:dyDescent="0.2">
      <c r="A43">
        <v>105</v>
      </c>
      <c r="B43">
        <v>6</v>
      </c>
      <c r="C43">
        <v>3</v>
      </c>
    </row>
    <row r="44" spans="1:3" x14ac:dyDescent="0.2">
      <c r="A44">
        <v>248</v>
      </c>
      <c r="B44">
        <v>6</v>
      </c>
      <c r="C44">
        <v>3</v>
      </c>
    </row>
    <row r="45" spans="1:3" x14ac:dyDescent="0.2">
      <c r="A45">
        <v>261</v>
      </c>
      <c r="B45">
        <v>6</v>
      </c>
      <c r="C45">
        <v>1</v>
      </c>
    </row>
    <row r="46" spans="1:3" x14ac:dyDescent="0.2">
      <c r="A46">
        <v>587</v>
      </c>
      <c r="B46">
        <v>6</v>
      </c>
      <c r="C46">
        <v>4</v>
      </c>
    </row>
    <row r="47" spans="1:3" x14ac:dyDescent="0.2">
      <c r="A47">
        <v>932</v>
      </c>
      <c r="B47">
        <v>6</v>
      </c>
      <c r="C47">
        <v>2</v>
      </c>
    </row>
    <row r="48" spans="1:3" x14ac:dyDescent="0.2">
      <c r="A48">
        <v>985</v>
      </c>
      <c r="B48">
        <v>6</v>
      </c>
      <c r="C48">
        <v>2</v>
      </c>
    </row>
    <row r="49" spans="1:3" x14ac:dyDescent="0.2">
      <c r="A49">
        <v>85</v>
      </c>
      <c r="B49">
        <v>7</v>
      </c>
      <c r="C49">
        <v>1</v>
      </c>
    </row>
    <row r="50" spans="1:3" x14ac:dyDescent="0.2">
      <c r="A50">
        <v>153</v>
      </c>
      <c r="B50">
        <v>7</v>
      </c>
      <c r="C50">
        <v>2</v>
      </c>
    </row>
    <row r="51" spans="1:3" x14ac:dyDescent="0.2">
      <c r="A51">
        <v>302</v>
      </c>
      <c r="B51">
        <v>7</v>
      </c>
      <c r="C51">
        <v>2</v>
      </c>
    </row>
    <row r="52" spans="1:3" x14ac:dyDescent="0.2">
      <c r="A52">
        <v>459</v>
      </c>
      <c r="B52">
        <v>7</v>
      </c>
      <c r="C52">
        <v>2</v>
      </c>
    </row>
    <row r="53" spans="1:3" x14ac:dyDescent="0.2">
      <c r="A53">
        <v>592</v>
      </c>
      <c r="B53">
        <v>7</v>
      </c>
      <c r="C53">
        <v>5</v>
      </c>
    </row>
    <row r="54" spans="1:3" x14ac:dyDescent="0.2">
      <c r="A54">
        <v>671</v>
      </c>
      <c r="B54">
        <v>7</v>
      </c>
      <c r="C54">
        <v>3</v>
      </c>
    </row>
    <row r="55" spans="1:3" x14ac:dyDescent="0.2">
      <c r="A55">
        <v>73</v>
      </c>
      <c r="B55">
        <v>8</v>
      </c>
      <c r="C55">
        <v>1</v>
      </c>
    </row>
    <row r="56" spans="1:3" x14ac:dyDescent="0.2">
      <c r="A56">
        <v>167</v>
      </c>
      <c r="B56">
        <v>8</v>
      </c>
      <c r="C56">
        <v>4</v>
      </c>
    </row>
    <row r="57" spans="1:3" x14ac:dyDescent="0.2">
      <c r="A57">
        <v>426</v>
      </c>
      <c r="B57">
        <v>8</v>
      </c>
      <c r="C57">
        <v>1</v>
      </c>
    </row>
    <row r="58" spans="1:3" x14ac:dyDescent="0.2">
      <c r="A58">
        <v>552</v>
      </c>
      <c r="B58">
        <v>8</v>
      </c>
      <c r="C58">
        <v>5</v>
      </c>
    </row>
    <row r="59" spans="1:3" x14ac:dyDescent="0.2">
      <c r="A59">
        <v>700</v>
      </c>
      <c r="B59">
        <v>8</v>
      </c>
      <c r="C59">
        <v>4</v>
      </c>
    </row>
    <row r="60" spans="1:3" x14ac:dyDescent="0.2">
      <c r="A60">
        <v>775</v>
      </c>
      <c r="B60">
        <v>8</v>
      </c>
      <c r="C60">
        <v>5</v>
      </c>
    </row>
    <row r="61" spans="1:3" x14ac:dyDescent="0.2">
      <c r="A61">
        <v>3</v>
      </c>
      <c r="B61">
        <v>9</v>
      </c>
      <c r="C61">
        <v>1</v>
      </c>
    </row>
    <row r="62" spans="1:3" x14ac:dyDescent="0.2">
      <c r="A62">
        <v>243</v>
      </c>
      <c r="B62">
        <v>9</v>
      </c>
      <c r="C62">
        <v>2</v>
      </c>
    </row>
    <row r="63" spans="1:3" x14ac:dyDescent="0.2">
      <c r="A63">
        <v>352</v>
      </c>
      <c r="B63">
        <v>9</v>
      </c>
      <c r="C63">
        <v>4</v>
      </c>
    </row>
    <row r="64" spans="1:3" x14ac:dyDescent="0.2">
      <c r="A64">
        <v>447</v>
      </c>
      <c r="B64">
        <v>9</v>
      </c>
      <c r="C64">
        <v>4</v>
      </c>
    </row>
    <row r="65" spans="1:3" x14ac:dyDescent="0.2">
      <c r="A65">
        <v>860</v>
      </c>
      <c r="B65">
        <v>9</v>
      </c>
      <c r="C65">
        <v>2</v>
      </c>
    </row>
    <row r="66" spans="1:3" x14ac:dyDescent="0.2">
      <c r="A66">
        <v>879</v>
      </c>
      <c r="B66">
        <v>9</v>
      </c>
      <c r="C66">
        <v>3</v>
      </c>
    </row>
    <row r="67" spans="1:3" x14ac:dyDescent="0.2">
      <c r="A67">
        <v>12</v>
      </c>
      <c r="B67">
        <v>10</v>
      </c>
      <c r="C67">
        <v>3</v>
      </c>
    </row>
    <row r="68" spans="1:3" x14ac:dyDescent="0.2">
      <c r="A68">
        <v>66</v>
      </c>
      <c r="B68">
        <v>10</v>
      </c>
      <c r="C68">
        <v>1</v>
      </c>
    </row>
    <row r="69" spans="1:3" x14ac:dyDescent="0.2">
      <c r="A69">
        <v>72</v>
      </c>
      <c r="B69">
        <v>10</v>
      </c>
      <c r="C69">
        <v>3</v>
      </c>
    </row>
    <row r="70" spans="1:3" x14ac:dyDescent="0.2">
      <c r="A70">
        <v>132</v>
      </c>
      <c r="B70">
        <v>10</v>
      </c>
      <c r="C70">
        <v>5</v>
      </c>
    </row>
    <row r="71" spans="1:3" x14ac:dyDescent="0.2">
      <c r="A71">
        <v>256</v>
      </c>
      <c r="B71">
        <v>10</v>
      </c>
      <c r="C71">
        <v>4</v>
      </c>
    </row>
    <row r="72" spans="1:3" x14ac:dyDescent="0.2">
      <c r="A72">
        <v>301</v>
      </c>
      <c r="B72">
        <v>10</v>
      </c>
      <c r="C72">
        <v>3</v>
      </c>
    </row>
    <row r="73" spans="1:3" x14ac:dyDescent="0.2">
      <c r="A73">
        <v>389</v>
      </c>
      <c r="B73">
        <v>10</v>
      </c>
      <c r="C73">
        <v>4</v>
      </c>
    </row>
    <row r="74" spans="1:3" x14ac:dyDescent="0.2">
      <c r="A74">
        <v>832</v>
      </c>
      <c r="B74">
        <v>10</v>
      </c>
      <c r="C74">
        <v>4</v>
      </c>
    </row>
    <row r="75" spans="1:3" x14ac:dyDescent="0.2">
      <c r="A75">
        <v>924</v>
      </c>
      <c r="B75">
        <v>10</v>
      </c>
      <c r="C75">
        <v>1</v>
      </c>
    </row>
    <row r="76" spans="1:3" x14ac:dyDescent="0.2">
      <c r="A76">
        <v>175</v>
      </c>
      <c r="B76">
        <v>11</v>
      </c>
      <c r="C76">
        <v>5</v>
      </c>
    </row>
    <row r="77" spans="1:3" x14ac:dyDescent="0.2">
      <c r="A77">
        <v>337</v>
      </c>
      <c r="B77">
        <v>11</v>
      </c>
      <c r="C77">
        <v>5</v>
      </c>
    </row>
    <row r="78" spans="1:3" x14ac:dyDescent="0.2">
      <c r="A78">
        <v>421</v>
      </c>
      <c r="B78">
        <v>11</v>
      </c>
      <c r="C78">
        <v>5</v>
      </c>
    </row>
    <row r="79" spans="1:3" x14ac:dyDescent="0.2">
      <c r="A79">
        <v>485</v>
      </c>
      <c r="B79">
        <v>11</v>
      </c>
      <c r="C79">
        <v>1</v>
      </c>
    </row>
    <row r="80" spans="1:3" x14ac:dyDescent="0.2">
      <c r="A80">
        <v>643</v>
      </c>
      <c r="B80">
        <v>11</v>
      </c>
      <c r="C80">
        <v>1</v>
      </c>
    </row>
    <row r="81" spans="1:3" x14ac:dyDescent="0.2">
      <c r="A81">
        <v>752</v>
      </c>
      <c r="B81">
        <v>11</v>
      </c>
      <c r="C81">
        <v>2</v>
      </c>
    </row>
    <row r="82" spans="1:3" x14ac:dyDescent="0.2">
      <c r="A82">
        <v>799</v>
      </c>
      <c r="B82">
        <v>11</v>
      </c>
      <c r="C82">
        <v>1</v>
      </c>
    </row>
    <row r="83" spans="1:3" x14ac:dyDescent="0.2">
      <c r="A83">
        <v>915</v>
      </c>
      <c r="B83">
        <v>11</v>
      </c>
      <c r="C83">
        <v>4</v>
      </c>
    </row>
    <row r="84" spans="1:3" x14ac:dyDescent="0.2">
      <c r="A84">
        <v>501</v>
      </c>
      <c r="B84">
        <v>12</v>
      </c>
      <c r="C84">
        <v>3</v>
      </c>
    </row>
    <row r="85" spans="1:3" x14ac:dyDescent="0.2">
      <c r="A85">
        <v>769</v>
      </c>
      <c r="B85">
        <v>12</v>
      </c>
      <c r="C85">
        <v>3</v>
      </c>
    </row>
    <row r="86" spans="1:3" x14ac:dyDescent="0.2">
      <c r="A86">
        <v>917</v>
      </c>
      <c r="B86">
        <v>12</v>
      </c>
      <c r="C86">
        <v>3</v>
      </c>
    </row>
    <row r="87" spans="1:3" x14ac:dyDescent="0.2">
      <c r="A87">
        <v>276</v>
      </c>
      <c r="B87">
        <v>13</v>
      </c>
      <c r="C87">
        <v>1</v>
      </c>
    </row>
    <row r="88" spans="1:3" x14ac:dyDescent="0.2">
      <c r="A88">
        <v>464</v>
      </c>
      <c r="B88">
        <v>13</v>
      </c>
      <c r="C88">
        <v>4</v>
      </c>
    </row>
    <row r="89" spans="1:3" x14ac:dyDescent="0.2">
      <c r="A89">
        <v>723</v>
      </c>
      <c r="B89">
        <v>13</v>
      </c>
      <c r="C89">
        <v>2</v>
      </c>
    </row>
    <row r="90" spans="1:3" x14ac:dyDescent="0.2">
      <c r="A90">
        <v>911</v>
      </c>
      <c r="B90">
        <v>13</v>
      </c>
      <c r="C90">
        <v>5</v>
      </c>
    </row>
    <row r="91" spans="1:3" x14ac:dyDescent="0.2">
      <c r="A91">
        <v>93</v>
      </c>
      <c r="B91">
        <v>14</v>
      </c>
      <c r="C91">
        <v>3</v>
      </c>
    </row>
    <row r="92" spans="1:3" x14ac:dyDescent="0.2">
      <c r="A92">
        <v>183</v>
      </c>
      <c r="B92">
        <v>14</v>
      </c>
      <c r="C92">
        <v>5</v>
      </c>
    </row>
    <row r="93" spans="1:3" x14ac:dyDescent="0.2">
      <c r="A93">
        <v>325</v>
      </c>
      <c r="B93">
        <v>14</v>
      </c>
      <c r="C93">
        <v>4</v>
      </c>
    </row>
    <row r="94" spans="1:3" x14ac:dyDescent="0.2">
      <c r="A94">
        <v>367</v>
      </c>
      <c r="B94">
        <v>14</v>
      </c>
      <c r="C94">
        <v>4</v>
      </c>
    </row>
    <row r="95" spans="1:3" x14ac:dyDescent="0.2">
      <c r="A95">
        <v>781</v>
      </c>
      <c r="B95">
        <v>14</v>
      </c>
      <c r="C95">
        <v>4</v>
      </c>
    </row>
    <row r="96" spans="1:3" x14ac:dyDescent="0.2">
      <c r="A96">
        <v>800</v>
      </c>
      <c r="B96">
        <v>14</v>
      </c>
      <c r="C96">
        <v>5</v>
      </c>
    </row>
    <row r="97" spans="1:3" x14ac:dyDescent="0.2">
      <c r="A97">
        <v>839</v>
      </c>
      <c r="B97">
        <v>14</v>
      </c>
      <c r="C97">
        <v>5</v>
      </c>
    </row>
    <row r="98" spans="1:3" x14ac:dyDescent="0.2">
      <c r="A98">
        <v>949</v>
      </c>
      <c r="B98">
        <v>14</v>
      </c>
      <c r="C98">
        <v>4</v>
      </c>
    </row>
    <row r="99" spans="1:3" x14ac:dyDescent="0.2">
      <c r="A99">
        <v>187</v>
      </c>
      <c r="B99">
        <v>15</v>
      </c>
      <c r="C99">
        <v>5</v>
      </c>
    </row>
    <row r="100" spans="1:3" x14ac:dyDescent="0.2">
      <c r="A100">
        <v>189</v>
      </c>
      <c r="B100">
        <v>15</v>
      </c>
      <c r="C100">
        <v>5</v>
      </c>
    </row>
    <row r="101" spans="1:3" x14ac:dyDescent="0.2">
      <c r="A101">
        <v>387</v>
      </c>
      <c r="B101">
        <v>15</v>
      </c>
      <c r="C101">
        <v>3</v>
      </c>
    </row>
    <row r="102" spans="1:3" x14ac:dyDescent="0.2">
      <c r="A102">
        <v>451</v>
      </c>
      <c r="B102">
        <v>15</v>
      </c>
      <c r="C102">
        <v>3</v>
      </c>
    </row>
    <row r="103" spans="1:3" x14ac:dyDescent="0.2">
      <c r="A103">
        <v>792</v>
      </c>
      <c r="B103">
        <v>15</v>
      </c>
      <c r="C103">
        <v>5</v>
      </c>
    </row>
    <row r="104" spans="1:3" x14ac:dyDescent="0.2">
      <c r="A104">
        <v>836</v>
      </c>
      <c r="B104">
        <v>15</v>
      </c>
      <c r="C104">
        <v>4</v>
      </c>
    </row>
    <row r="105" spans="1:3" x14ac:dyDescent="0.2">
      <c r="A105">
        <v>976</v>
      </c>
      <c r="B105">
        <v>15</v>
      </c>
      <c r="C105">
        <v>4</v>
      </c>
    </row>
    <row r="106" spans="1:3" x14ac:dyDescent="0.2">
      <c r="A106">
        <v>260</v>
      </c>
      <c r="B106">
        <v>16</v>
      </c>
      <c r="C106">
        <v>5</v>
      </c>
    </row>
    <row r="107" spans="1:3" x14ac:dyDescent="0.2">
      <c r="A107">
        <v>348</v>
      </c>
      <c r="B107">
        <v>16</v>
      </c>
      <c r="C107">
        <v>5</v>
      </c>
    </row>
    <row r="108" spans="1:3" x14ac:dyDescent="0.2">
      <c r="A108">
        <v>398</v>
      </c>
      <c r="B108">
        <v>16</v>
      </c>
      <c r="C108">
        <v>1</v>
      </c>
    </row>
    <row r="109" spans="1:3" x14ac:dyDescent="0.2">
      <c r="A109">
        <v>636</v>
      </c>
      <c r="B109">
        <v>16</v>
      </c>
      <c r="C109">
        <v>2</v>
      </c>
    </row>
    <row r="110" spans="1:3" x14ac:dyDescent="0.2">
      <c r="A110">
        <v>653</v>
      </c>
      <c r="B110">
        <v>16</v>
      </c>
      <c r="C110">
        <v>5</v>
      </c>
    </row>
    <row r="111" spans="1:3" x14ac:dyDescent="0.2">
      <c r="A111">
        <v>736</v>
      </c>
      <c r="B111">
        <v>16</v>
      </c>
      <c r="C111">
        <v>4</v>
      </c>
    </row>
    <row r="112" spans="1:3" x14ac:dyDescent="0.2">
      <c r="A112">
        <v>875</v>
      </c>
      <c r="B112">
        <v>16</v>
      </c>
      <c r="C112">
        <v>5</v>
      </c>
    </row>
    <row r="113" spans="1:3" x14ac:dyDescent="0.2">
      <c r="A113">
        <v>918</v>
      </c>
      <c r="B113">
        <v>16</v>
      </c>
      <c r="C113">
        <v>1</v>
      </c>
    </row>
    <row r="114" spans="1:3" x14ac:dyDescent="0.2">
      <c r="A114">
        <v>193</v>
      </c>
      <c r="B114">
        <v>17</v>
      </c>
      <c r="C114">
        <v>5</v>
      </c>
    </row>
    <row r="115" spans="1:3" x14ac:dyDescent="0.2">
      <c r="A115">
        <v>294</v>
      </c>
      <c r="B115">
        <v>17</v>
      </c>
      <c r="C115">
        <v>1</v>
      </c>
    </row>
    <row r="116" spans="1:3" x14ac:dyDescent="0.2">
      <c r="A116">
        <v>482</v>
      </c>
      <c r="B116">
        <v>17</v>
      </c>
      <c r="C116">
        <v>1</v>
      </c>
    </row>
    <row r="117" spans="1:3" x14ac:dyDescent="0.2">
      <c r="A117">
        <v>646</v>
      </c>
      <c r="B117">
        <v>17</v>
      </c>
      <c r="C117">
        <v>2</v>
      </c>
    </row>
    <row r="118" spans="1:3" x14ac:dyDescent="0.2">
      <c r="A118">
        <v>876</v>
      </c>
      <c r="B118">
        <v>17</v>
      </c>
      <c r="C118">
        <v>3</v>
      </c>
    </row>
    <row r="119" spans="1:3" x14ac:dyDescent="0.2">
      <c r="A119">
        <v>922</v>
      </c>
      <c r="B119">
        <v>17</v>
      </c>
      <c r="C119">
        <v>3</v>
      </c>
    </row>
    <row r="120" spans="1:3" x14ac:dyDescent="0.2">
      <c r="A120">
        <v>7</v>
      </c>
      <c r="B120">
        <v>18</v>
      </c>
      <c r="C120">
        <v>1</v>
      </c>
    </row>
    <row r="121" spans="1:3" x14ac:dyDescent="0.2">
      <c r="A121">
        <v>259</v>
      </c>
      <c r="B121">
        <v>18</v>
      </c>
      <c r="C121">
        <v>1</v>
      </c>
    </row>
    <row r="122" spans="1:3" x14ac:dyDescent="0.2">
      <c r="A122">
        <v>717</v>
      </c>
      <c r="B122">
        <v>18</v>
      </c>
      <c r="C122">
        <v>5</v>
      </c>
    </row>
    <row r="123" spans="1:3" x14ac:dyDescent="0.2">
      <c r="A123">
        <v>975</v>
      </c>
      <c r="B123">
        <v>18</v>
      </c>
      <c r="C123">
        <v>3</v>
      </c>
    </row>
    <row r="124" spans="1:3" x14ac:dyDescent="0.2">
      <c r="A124">
        <v>324</v>
      </c>
      <c r="B124">
        <v>19</v>
      </c>
      <c r="C124">
        <v>1</v>
      </c>
    </row>
    <row r="125" spans="1:3" x14ac:dyDescent="0.2">
      <c r="A125">
        <v>877</v>
      </c>
      <c r="B125">
        <v>19</v>
      </c>
      <c r="C125">
        <v>2</v>
      </c>
    </row>
    <row r="126" spans="1:3" x14ac:dyDescent="0.2">
      <c r="A126">
        <v>886</v>
      </c>
      <c r="B126">
        <v>19</v>
      </c>
      <c r="C126">
        <v>3</v>
      </c>
    </row>
    <row r="127" spans="1:3" x14ac:dyDescent="0.2">
      <c r="A127">
        <v>38</v>
      </c>
      <c r="B127">
        <v>20</v>
      </c>
      <c r="C127">
        <v>5</v>
      </c>
    </row>
    <row r="128" spans="1:3" x14ac:dyDescent="0.2">
      <c r="A128">
        <v>202</v>
      </c>
      <c r="B128">
        <v>20</v>
      </c>
      <c r="C128">
        <v>3</v>
      </c>
    </row>
    <row r="129" spans="1:3" x14ac:dyDescent="0.2">
      <c r="A129">
        <v>458</v>
      </c>
      <c r="B129">
        <v>20</v>
      </c>
      <c r="C129">
        <v>5</v>
      </c>
    </row>
    <row r="130" spans="1:3" x14ac:dyDescent="0.2">
      <c r="A130">
        <v>487</v>
      </c>
      <c r="B130">
        <v>20</v>
      </c>
      <c r="C130">
        <v>3</v>
      </c>
    </row>
    <row r="131" spans="1:3" x14ac:dyDescent="0.2">
      <c r="A131">
        <v>567</v>
      </c>
      <c r="B131">
        <v>20</v>
      </c>
      <c r="C131">
        <v>4</v>
      </c>
    </row>
    <row r="132" spans="1:3" x14ac:dyDescent="0.2">
      <c r="A132">
        <v>582</v>
      </c>
      <c r="B132">
        <v>20</v>
      </c>
      <c r="C132">
        <v>5</v>
      </c>
    </row>
    <row r="133" spans="1:3" x14ac:dyDescent="0.2">
      <c r="A133">
        <v>149</v>
      </c>
      <c r="B133">
        <v>21</v>
      </c>
      <c r="C133">
        <v>4</v>
      </c>
    </row>
    <row r="134" spans="1:3" x14ac:dyDescent="0.2">
      <c r="A134">
        <v>190</v>
      </c>
      <c r="B134">
        <v>21</v>
      </c>
      <c r="C134">
        <v>2</v>
      </c>
    </row>
    <row r="135" spans="1:3" x14ac:dyDescent="0.2">
      <c r="A135">
        <v>206</v>
      </c>
      <c r="B135">
        <v>21</v>
      </c>
      <c r="C135">
        <v>5</v>
      </c>
    </row>
    <row r="136" spans="1:3" x14ac:dyDescent="0.2">
      <c r="A136">
        <v>500</v>
      </c>
      <c r="B136">
        <v>21</v>
      </c>
      <c r="C136">
        <v>4</v>
      </c>
    </row>
    <row r="137" spans="1:3" x14ac:dyDescent="0.2">
      <c r="A137">
        <v>845</v>
      </c>
      <c r="B137">
        <v>21</v>
      </c>
      <c r="C137">
        <v>1</v>
      </c>
    </row>
    <row r="138" spans="1:3" x14ac:dyDescent="0.2">
      <c r="A138">
        <v>218</v>
      </c>
      <c r="B138">
        <v>22</v>
      </c>
      <c r="C138">
        <v>1</v>
      </c>
    </row>
    <row r="139" spans="1:3" x14ac:dyDescent="0.2">
      <c r="A139">
        <v>289</v>
      </c>
      <c r="B139">
        <v>22</v>
      </c>
      <c r="C139">
        <v>3</v>
      </c>
    </row>
    <row r="140" spans="1:3" x14ac:dyDescent="0.2">
      <c r="A140">
        <v>402</v>
      </c>
      <c r="B140">
        <v>22</v>
      </c>
      <c r="C140">
        <v>1</v>
      </c>
    </row>
    <row r="141" spans="1:3" x14ac:dyDescent="0.2">
      <c r="A141">
        <v>528</v>
      </c>
      <c r="B141">
        <v>22</v>
      </c>
      <c r="C141">
        <v>5</v>
      </c>
    </row>
    <row r="142" spans="1:3" x14ac:dyDescent="0.2">
      <c r="A142">
        <v>682</v>
      </c>
      <c r="B142">
        <v>22</v>
      </c>
      <c r="C142">
        <v>5</v>
      </c>
    </row>
    <row r="143" spans="1:3" x14ac:dyDescent="0.2">
      <c r="A143">
        <v>900</v>
      </c>
      <c r="B143">
        <v>22</v>
      </c>
      <c r="C143">
        <v>5</v>
      </c>
    </row>
    <row r="144" spans="1:3" x14ac:dyDescent="0.2">
      <c r="A144">
        <v>137</v>
      </c>
      <c r="B144">
        <v>23</v>
      </c>
      <c r="C144">
        <v>3</v>
      </c>
    </row>
    <row r="145" spans="1:3" x14ac:dyDescent="0.2">
      <c r="A145">
        <v>413</v>
      </c>
      <c r="B145">
        <v>23</v>
      </c>
      <c r="C145">
        <v>1</v>
      </c>
    </row>
    <row r="146" spans="1:3" x14ac:dyDescent="0.2">
      <c r="A146">
        <v>431</v>
      </c>
      <c r="B146">
        <v>23</v>
      </c>
      <c r="C146">
        <v>3</v>
      </c>
    </row>
    <row r="147" spans="1:3" x14ac:dyDescent="0.2">
      <c r="A147">
        <v>727</v>
      </c>
      <c r="B147">
        <v>23</v>
      </c>
      <c r="C147">
        <v>2</v>
      </c>
    </row>
    <row r="148" spans="1:3" x14ac:dyDescent="0.2">
      <c r="A148">
        <v>806</v>
      </c>
      <c r="B148">
        <v>23</v>
      </c>
      <c r="C148">
        <v>5</v>
      </c>
    </row>
    <row r="149" spans="1:3" x14ac:dyDescent="0.2">
      <c r="A149">
        <v>83</v>
      </c>
      <c r="B149">
        <v>24</v>
      </c>
      <c r="C149">
        <v>2</v>
      </c>
    </row>
    <row r="150" spans="1:3" x14ac:dyDescent="0.2">
      <c r="A150">
        <v>161</v>
      </c>
      <c r="B150">
        <v>24</v>
      </c>
      <c r="C150">
        <v>3</v>
      </c>
    </row>
    <row r="151" spans="1:3" x14ac:dyDescent="0.2">
      <c r="A151">
        <v>228</v>
      </c>
      <c r="B151">
        <v>24</v>
      </c>
      <c r="C151">
        <v>2</v>
      </c>
    </row>
    <row r="152" spans="1:3" x14ac:dyDescent="0.2">
      <c r="A152">
        <v>274</v>
      </c>
      <c r="B152">
        <v>24</v>
      </c>
      <c r="C152">
        <v>5</v>
      </c>
    </row>
    <row r="153" spans="1:3" x14ac:dyDescent="0.2">
      <c r="A153">
        <v>331</v>
      </c>
      <c r="B153">
        <v>24</v>
      </c>
      <c r="C153">
        <v>5</v>
      </c>
    </row>
    <row r="154" spans="1:3" x14ac:dyDescent="0.2">
      <c r="A154">
        <v>424</v>
      </c>
      <c r="B154">
        <v>24</v>
      </c>
      <c r="C154">
        <v>1</v>
      </c>
    </row>
    <row r="155" spans="1:3" x14ac:dyDescent="0.2">
      <c r="A155">
        <v>595</v>
      </c>
      <c r="B155">
        <v>24</v>
      </c>
      <c r="C155">
        <v>3</v>
      </c>
    </row>
    <row r="156" spans="1:3" x14ac:dyDescent="0.2">
      <c r="A156">
        <v>667</v>
      </c>
      <c r="B156">
        <v>24</v>
      </c>
      <c r="C156">
        <v>1</v>
      </c>
    </row>
    <row r="157" spans="1:3" x14ac:dyDescent="0.2">
      <c r="A157">
        <v>676</v>
      </c>
      <c r="B157">
        <v>24</v>
      </c>
      <c r="C157">
        <v>5</v>
      </c>
    </row>
    <row r="158" spans="1:3" x14ac:dyDescent="0.2">
      <c r="A158">
        <v>824</v>
      </c>
      <c r="B158">
        <v>24</v>
      </c>
      <c r="C158">
        <v>2</v>
      </c>
    </row>
    <row r="159" spans="1:3" x14ac:dyDescent="0.2">
      <c r="A159">
        <v>837</v>
      </c>
      <c r="B159">
        <v>24</v>
      </c>
      <c r="C159">
        <v>1</v>
      </c>
    </row>
    <row r="160" spans="1:3" x14ac:dyDescent="0.2">
      <c r="A160">
        <v>969</v>
      </c>
      <c r="B160">
        <v>24</v>
      </c>
      <c r="C160">
        <v>3</v>
      </c>
    </row>
    <row r="161" spans="1:3" x14ac:dyDescent="0.2">
      <c r="A161">
        <v>288</v>
      </c>
      <c r="B161">
        <v>25</v>
      </c>
      <c r="C161">
        <v>3</v>
      </c>
    </row>
    <row r="162" spans="1:3" x14ac:dyDescent="0.2">
      <c r="A162">
        <v>411</v>
      </c>
      <c r="B162">
        <v>25</v>
      </c>
      <c r="C162">
        <v>4</v>
      </c>
    </row>
    <row r="163" spans="1:3" x14ac:dyDescent="0.2">
      <c r="A163">
        <v>502</v>
      </c>
      <c r="B163">
        <v>25</v>
      </c>
      <c r="C163">
        <v>5</v>
      </c>
    </row>
    <row r="164" spans="1:3" x14ac:dyDescent="0.2">
      <c r="A164">
        <v>521</v>
      </c>
      <c r="B164">
        <v>25</v>
      </c>
      <c r="C164">
        <v>5</v>
      </c>
    </row>
    <row r="165" spans="1:3" x14ac:dyDescent="0.2">
      <c r="A165">
        <v>649</v>
      </c>
      <c r="B165">
        <v>25</v>
      </c>
      <c r="C165">
        <v>4</v>
      </c>
    </row>
    <row r="166" spans="1:3" x14ac:dyDescent="0.2">
      <c r="A166">
        <v>696</v>
      </c>
      <c r="B166">
        <v>25</v>
      </c>
      <c r="C166">
        <v>2</v>
      </c>
    </row>
    <row r="167" spans="1:3" x14ac:dyDescent="0.2">
      <c r="A167">
        <v>746</v>
      </c>
      <c r="B167">
        <v>25</v>
      </c>
      <c r="C167">
        <v>2</v>
      </c>
    </row>
    <row r="168" spans="1:3" x14ac:dyDescent="0.2">
      <c r="A168">
        <v>749</v>
      </c>
      <c r="B168">
        <v>25</v>
      </c>
      <c r="C168">
        <v>3</v>
      </c>
    </row>
    <row r="169" spans="1:3" x14ac:dyDescent="0.2">
      <c r="A169">
        <v>790</v>
      </c>
      <c r="B169">
        <v>25</v>
      </c>
      <c r="C169">
        <v>5</v>
      </c>
    </row>
    <row r="170" spans="1:3" x14ac:dyDescent="0.2">
      <c r="A170">
        <v>965</v>
      </c>
      <c r="B170">
        <v>25</v>
      </c>
      <c r="C170">
        <v>3</v>
      </c>
    </row>
    <row r="171" spans="1:3" x14ac:dyDescent="0.2">
      <c r="A171">
        <v>59</v>
      </c>
      <c r="B171">
        <v>26</v>
      </c>
      <c r="C171">
        <v>3</v>
      </c>
    </row>
    <row r="172" spans="1:3" x14ac:dyDescent="0.2">
      <c r="A172">
        <v>262</v>
      </c>
      <c r="B172">
        <v>26</v>
      </c>
      <c r="C172">
        <v>3</v>
      </c>
    </row>
    <row r="173" spans="1:3" x14ac:dyDescent="0.2">
      <c r="A173">
        <v>280</v>
      </c>
      <c r="B173">
        <v>26</v>
      </c>
      <c r="C173">
        <v>5</v>
      </c>
    </row>
    <row r="174" spans="1:3" x14ac:dyDescent="0.2">
      <c r="A174">
        <v>748</v>
      </c>
      <c r="B174">
        <v>26</v>
      </c>
      <c r="C174">
        <v>5</v>
      </c>
    </row>
    <row r="175" spans="1:3" x14ac:dyDescent="0.2">
      <c r="A175">
        <v>823</v>
      </c>
      <c r="B175">
        <v>26</v>
      </c>
      <c r="C175">
        <v>4</v>
      </c>
    </row>
    <row r="176" spans="1:3" x14ac:dyDescent="0.2">
      <c r="A176">
        <v>919</v>
      </c>
      <c r="B176">
        <v>26</v>
      </c>
      <c r="C176">
        <v>2</v>
      </c>
    </row>
    <row r="177" spans="1:3" x14ac:dyDescent="0.2">
      <c r="A177">
        <v>50</v>
      </c>
      <c r="B177">
        <v>27</v>
      </c>
      <c r="C177">
        <v>3</v>
      </c>
    </row>
    <row r="178" spans="1:3" x14ac:dyDescent="0.2">
      <c r="A178">
        <v>291</v>
      </c>
      <c r="B178">
        <v>27</v>
      </c>
      <c r="C178">
        <v>5</v>
      </c>
    </row>
    <row r="179" spans="1:3" x14ac:dyDescent="0.2">
      <c r="A179">
        <v>417</v>
      </c>
      <c r="B179">
        <v>27</v>
      </c>
      <c r="C179">
        <v>5</v>
      </c>
    </row>
    <row r="180" spans="1:3" x14ac:dyDescent="0.2">
      <c r="A180">
        <v>524</v>
      </c>
      <c r="B180">
        <v>27</v>
      </c>
      <c r="C180">
        <v>3</v>
      </c>
    </row>
    <row r="181" spans="1:3" x14ac:dyDescent="0.2">
      <c r="A181">
        <v>711</v>
      </c>
      <c r="B181">
        <v>27</v>
      </c>
      <c r="C181">
        <v>5</v>
      </c>
    </row>
    <row r="182" spans="1:3" x14ac:dyDescent="0.2">
      <c r="A182">
        <v>718</v>
      </c>
      <c r="B182">
        <v>27</v>
      </c>
      <c r="C182">
        <v>5</v>
      </c>
    </row>
    <row r="183" spans="1:3" x14ac:dyDescent="0.2">
      <c r="A183">
        <v>921</v>
      </c>
      <c r="B183">
        <v>27</v>
      </c>
      <c r="C183">
        <v>3</v>
      </c>
    </row>
    <row r="184" spans="1:3" x14ac:dyDescent="0.2">
      <c r="A184">
        <v>731</v>
      </c>
      <c r="B184">
        <v>28</v>
      </c>
      <c r="C184">
        <v>4</v>
      </c>
    </row>
    <row r="185" spans="1:3" x14ac:dyDescent="0.2">
      <c r="A185">
        <v>805</v>
      </c>
      <c r="B185">
        <v>28</v>
      </c>
      <c r="C185">
        <v>3</v>
      </c>
    </row>
    <row r="186" spans="1:3" x14ac:dyDescent="0.2">
      <c r="A186">
        <v>871</v>
      </c>
      <c r="B186">
        <v>28</v>
      </c>
      <c r="C186">
        <v>1</v>
      </c>
    </row>
    <row r="187" spans="1:3" x14ac:dyDescent="0.2">
      <c r="A187">
        <v>936</v>
      </c>
      <c r="B187">
        <v>28</v>
      </c>
      <c r="C187">
        <v>4</v>
      </c>
    </row>
    <row r="188" spans="1:3" x14ac:dyDescent="0.2">
      <c r="A188">
        <v>92</v>
      </c>
      <c r="B188">
        <v>29</v>
      </c>
      <c r="C188">
        <v>5</v>
      </c>
    </row>
    <row r="189" spans="1:3" x14ac:dyDescent="0.2">
      <c r="A189">
        <v>112</v>
      </c>
      <c r="B189">
        <v>29</v>
      </c>
      <c r="C189">
        <v>1</v>
      </c>
    </row>
    <row r="190" spans="1:3" x14ac:dyDescent="0.2">
      <c r="A190">
        <v>315</v>
      </c>
      <c r="B190">
        <v>29</v>
      </c>
      <c r="C190">
        <v>4</v>
      </c>
    </row>
    <row r="191" spans="1:3" x14ac:dyDescent="0.2">
      <c r="A191">
        <v>423</v>
      </c>
      <c r="B191">
        <v>29</v>
      </c>
      <c r="C191">
        <v>4</v>
      </c>
    </row>
    <row r="192" spans="1:3" x14ac:dyDescent="0.2">
      <c r="A192">
        <v>565</v>
      </c>
      <c r="B192">
        <v>29</v>
      </c>
      <c r="C192">
        <v>3</v>
      </c>
    </row>
    <row r="193" spans="1:3" x14ac:dyDescent="0.2">
      <c r="A193">
        <v>27</v>
      </c>
      <c r="B193">
        <v>30</v>
      </c>
      <c r="C193">
        <v>1</v>
      </c>
    </row>
    <row r="194" spans="1:3" x14ac:dyDescent="0.2">
      <c r="A194">
        <v>278</v>
      </c>
      <c r="B194">
        <v>30</v>
      </c>
      <c r="C194">
        <v>4</v>
      </c>
    </row>
    <row r="195" spans="1:3" x14ac:dyDescent="0.2">
      <c r="A195">
        <v>295</v>
      </c>
      <c r="B195">
        <v>30</v>
      </c>
      <c r="C195">
        <v>2</v>
      </c>
    </row>
    <row r="196" spans="1:3" x14ac:dyDescent="0.2">
      <c r="A196">
        <v>332</v>
      </c>
      <c r="B196">
        <v>30</v>
      </c>
      <c r="C196">
        <v>5</v>
      </c>
    </row>
    <row r="197" spans="1:3" x14ac:dyDescent="0.2">
      <c r="A197">
        <v>494</v>
      </c>
      <c r="B197">
        <v>30</v>
      </c>
      <c r="C197">
        <v>2</v>
      </c>
    </row>
    <row r="198" spans="1:3" x14ac:dyDescent="0.2">
      <c r="A198">
        <v>894</v>
      </c>
      <c r="B198">
        <v>30</v>
      </c>
      <c r="C198">
        <v>2</v>
      </c>
    </row>
    <row r="199" spans="1:3" x14ac:dyDescent="0.2">
      <c r="A199">
        <v>232</v>
      </c>
      <c r="B199">
        <v>31</v>
      </c>
      <c r="C199">
        <v>4</v>
      </c>
    </row>
    <row r="200" spans="1:3" x14ac:dyDescent="0.2">
      <c r="A200">
        <v>238</v>
      </c>
      <c r="B200">
        <v>31</v>
      </c>
      <c r="C200">
        <v>5</v>
      </c>
    </row>
    <row r="201" spans="1:3" x14ac:dyDescent="0.2">
      <c r="A201">
        <v>250</v>
      </c>
      <c r="B201">
        <v>31</v>
      </c>
      <c r="C201">
        <v>3</v>
      </c>
    </row>
    <row r="202" spans="1:3" x14ac:dyDescent="0.2">
      <c r="A202">
        <v>688</v>
      </c>
      <c r="B202">
        <v>31</v>
      </c>
      <c r="C202">
        <v>1</v>
      </c>
    </row>
    <row r="203" spans="1:3" x14ac:dyDescent="0.2">
      <c r="A203">
        <v>701</v>
      </c>
      <c r="B203">
        <v>31</v>
      </c>
      <c r="C203">
        <v>3</v>
      </c>
    </row>
    <row r="204" spans="1:3" x14ac:dyDescent="0.2">
      <c r="A204">
        <v>706</v>
      </c>
      <c r="B204">
        <v>31</v>
      </c>
      <c r="C204">
        <v>5</v>
      </c>
    </row>
    <row r="205" spans="1:3" x14ac:dyDescent="0.2">
      <c r="A205">
        <v>795</v>
      </c>
      <c r="B205">
        <v>31</v>
      </c>
      <c r="C205">
        <v>3</v>
      </c>
    </row>
    <row r="206" spans="1:3" x14ac:dyDescent="0.2">
      <c r="A206">
        <v>833</v>
      </c>
      <c r="B206">
        <v>31</v>
      </c>
      <c r="C206">
        <v>4</v>
      </c>
    </row>
    <row r="207" spans="1:3" x14ac:dyDescent="0.2">
      <c r="A207">
        <v>873</v>
      </c>
      <c r="B207">
        <v>31</v>
      </c>
      <c r="C207">
        <v>5</v>
      </c>
    </row>
    <row r="208" spans="1:3" x14ac:dyDescent="0.2">
      <c r="A208">
        <v>45</v>
      </c>
      <c r="B208">
        <v>32</v>
      </c>
      <c r="C208">
        <v>1</v>
      </c>
    </row>
    <row r="209" spans="1:3" x14ac:dyDescent="0.2">
      <c r="A209">
        <v>236</v>
      </c>
      <c r="B209">
        <v>32</v>
      </c>
      <c r="C209">
        <v>3</v>
      </c>
    </row>
    <row r="210" spans="1:3" x14ac:dyDescent="0.2">
      <c r="A210">
        <v>257</v>
      </c>
      <c r="B210">
        <v>32</v>
      </c>
      <c r="C210">
        <v>3</v>
      </c>
    </row>
    <row r="211" spans="1:3" x14ac:dyDescent="0.2">
      <c r="A211">
        <v>481</v>
      </c>
      <c r="B211">
        <v>32</v>
      </c>
      <c r="C211">
        <v>2</v>
      </c>
    </row>
    <row r="212" spans="1:3" x14ac:dyDescent="0.2">
      <c r="A212">
        <v>729</v>
      </c>
      <c r="B212">
        <v>32</v>
      </c>
      <c r="C212">
        <v>1</v>
      </c>
    </row>
    <row r="213" spans="1:3" x14ac:dyDescent="0.2">
      <c r="A213">
        <v>892</v>
      </c>
      <c r="B213">
        <v>32</v>
      </c>
      <c r="C213">
        <v>1</v>
      </c>
    </row>
    <row r="214" spans="1:3" x14ac:dyDescent="0.2">
      <c r="A214">
        <v>62</v>
      </c>
      <c r="B214">
        <v>33</v>
      </c>
      <c r="C214">
        <v>4</v>
      </c>
    </row>
    <row r="215" spans="1:3" x14ac:dyDescent="0.2">
      <c r="A215">
        <v>125</v>
      </c>
      <c r="B215">
        <v>33</v>
      </c>
      <c r="C215">
        <v>5</v>
      </c>
    </row>
    <row r="216" spans="1:3" x14ac:dyDescent="0.2">
      <c r="A216">
        <v>523</v>
      </c>
      <c r="B216">
        <v>33</v>
      </c>
      <c r="C216">
        <v>3</v>
      </c>
    </row>
    <row r="217" spans="1:3" x14ac:dyDescent="0.2">
      <c r="A217">
        <v>586</v>
      </c>
      <c r="B217">
        <v>33</v>
      </c>
      <c r="C217">
        <v>5</v>
      </c>
    </row>
    <row r="218" spans="1:3" x14ac:dyDescent="0.2">
      <c r="A218">
        <v>743</v>
      </c>
      <c r="B218">
        <v>33</v>
      </c>
      <c r="C218">
        <v>4</v>
      </c>
    </row>
    <row r="219" spans="1:3" x14ac:dyDescent="0.2">
      <c r="A219">
        <v>838</v>
      </c>
      <c r="B219">
        <v>33</v>
      </c>
      <c r="C219">
        <v>3</v>
      </c>
    </row>
    <row r="220" spans="1:3" x14ac:dyDescent="0.2">
      <c r="A220">
        <v>895</v>
      </c>
      <c r="B220">
        <v>33</v>
      </c>
      <c r="C220">
        <v>4</v>
      </c>
    </row>
    <row r="221" spans="1:3" x14ac:dyDescent="0.2">
      <c r="A221">
        <v>908</v>
      </c>
      <c r="B221">
        <v>33</v>
      </c>
      <c r="C221">
        <v>5</v>
      </c>
    </row>
    <row r="222" spans="1:3" x14ac:dyDescent="0.2">
      <c r="A222">
        <v>101</v>
      </c>
      <c r="B222">
        <v>34</v>
      </c>
      <c r="C222">
        <v>2</v>
      </c>
    </row>
    <row r="223" spans="1:3" x14ac:dyDescent="0.2">
      <c r="A223">
        <v>504</v>
      </c>
      <c r="B223">
        <v>34</v>
      </c>
      <c r="C223">
        <v>5</v>
      </c>
    </row>
    <row r="224" spans="1:3" x14ac:dyDescent="0.2">
      <c r="A224">
        <v>578</v>
      </c>
      <c r="B224">
        <v>34</v>
      </c>
      <c r="C224">
        <v>1</v>
      </c>
    </row>
    <row r="225" spans="1:3" x14ac:dyDescent="0.2">
      <c r="A225">
        <v>581</v>
      </c>
      <c r="B225">
        <v>34</v>
      </c>
      <c r="C225">
        <v>5</v>
      </c>
    </row>
    <row r="226" spans="1:3" x14ac:dyDescent="0.2">
      <c r="A226">
        <v>791</v>
      </c>
      <c r="B226">
        <v>34</v>
      </c>
      <c r="C226">
        <v>3</v>
      </c>
    </row>
    <row r="227" spans="1:3" x14ac:dyDescent="0.2">
      <c r="A227">
        <v>97</v>
      </c>
      <c r="B227">
        <v>35</v>
      </c>
      <c r="C227">
        <v>3</v>
      </c>
    </row>
    <row r="228" spans="1:3" x14ac:dyDescent="0.2">
      <c r="A228">
        <v>439</v>
      </c>
      <c r="B228">
        <v>35</v>
      </c>
      <c r="C228">
        <v>2</v>
      </c>
    </row>
    <row r="229" spans="1:3" x14ac:dyDescent="0.2">
      <c r="A229">
        <v>733</v>
      </c>
      <c r="B229">
        <v>35</v>
      </c>
      <c r="C229">
        <v>4</v>
      </c>
    </row>
    <row r="230" spans="1:3" x14ac:dyDescent="0.2">
      <c r="A230">
        <v>456</v>
      </c>
      <c r="B230">
        <v>36</v>
      </c>
      <c r="C230">
        <v>5</v>
      </c>
    </row>
    <row r="231" spans="1:3" x14ac:dyDescent="0.2">
      <c r="A231">
        <v>626</v>
      </c>
      <c r="B231">
        <v>36</v>
      </c>
      <c r="C231">
        <v>3</v>
      </c>
    </row>
    <row r="232" spans="1:3" x14ac:dyDescent="0.2">
      <c r="A232">
        <v>158</v>
      </c>
      <c r="B232">
        <v>37</v>
      </c>
      <c r="C232">
        <v>1</v>
      </c>
    </row>
    <row r="233" spans="1:3" x14ac:dyDescent="0.2">
      <c r="A233">
        <v>692</v>
      </c>
      <c r="B233">
        <v>37</v>
      </c>
      <c r="C233">
        <v>2</v>
      </c>
    </row>
    <row r="234" spans="1:3" x14ac:dyDescent="0.2">
      <c r="A234">
        <v>992</v>
      </c>
      <c r="B234">
        <v>37</v>
      </c>
      <c r="C234">
        <v>2</v>
      </c>
    </row>
    <row r="235" spans="1:3" x14ac:dyDescent="0.2">
      <c r="A235">
        <v>165</v>
      </c>
      <c r="B235">
        <v>38</v>
      </c>
      <c r="C235">
        <v>4</v>
      </c>
    </row>
    <row r="236" spans="1:3" x14ac:dyDescent="0.2">
      <c r="A236">
        <v>339</v>
      </c>
      <c r="B236">
        <v>38</v>
      </c>
      <c r="C236">
        <v>1</v>
      </c>
    </row>
    <row r="237" spans="1:3" x14ac:dyDescent="0.2">
      <c r="A237">
        <v>341</v>
      </c>
      <c r="B237">
        <v>38</v>
      </c>
      <c r="C237">
        <v>4</v>
      </c>
    </row>
    <row r="238" spans="1:3" x14ac:dyDescent="0.2">
      <c r="A238">
        <v>545</v>
      </c>
      <c r="B238">
        <v>38</v>
      </c>
      <c r="C238">
        <v>3</v>
      </c>
    </row>
    <row r="239" spans="1:3" x14ac:dyDescent="0.2">
      <c r="A239">
        <v>78</v>
      </c>
      <c r="B239">
        <v>39</v>
      </c>
      <c r="C239">
        <v>4</v>
      </c>
    </row>
    <row r="240" spans="1:3" x14ac:dyDescent="0.2">
      <c r="A240">
        <v>316</v>
      </c>
      <c r="B240">
        <v>39</v>
      </c>
      <c r="C240">
        <v>2</v>
      </c>
    </row>
    <row r="241" spans="1:3" x14ac:dyDescent="0.2">
      <c r="A241">
        <v>359</v>
      </c>
      <c r="B241">
        <v>39</v>
      </c>
      <c r="C241">
        <v>3</v>
      </c>
    </row>
    <row r="242" spans="1:3" x14ac:dyDescent="0.2">
      <c r="A242">
        <v>410</v>
      </c>
      <c r="B242">
        <v>39</v>
      </c>
      <c r="C242">
        <v>4</v>
      </c>
    </row>
    <row r="243" spans="1:3" x14ac:dyDescent="0.2">
      <c r="A243">
        <v>515</v>
      </c>
      <c r="B243">
        <v>39</v>
      </c>
      <c r="C243">
        <v>3</v>
      </c>
    </row>
    <row r="244" spans="1:3" x14ac:dyDescent="0.2">
      <c r="A244">
        <v>531</v>
      </c>
      <c r="B244">
        <v>39</v>
      </c>
      <c r="C244">
        <v>5</v>
      </c>
    </row>
    <row r="245" spans="1:3" x14ac:dyDescent="0.2">
      <c r="A245">
        <v>633</v>
      </c>
      <c r="B245">
        <v>39</v>
      </c>
      <c r="C245">
        <v>1</v>
      </c>
    </row>
    <row r="246" spans="1:3" x14ac:dyDescent="0.2">
      <c r="A246">
        <v>697</v>
      </c>
      <c r="B246">
        <v>39</v>
      </c>
      <c r="C246">
        <v>4</v>
      </c>
    </row>
    <row r="247" spans="1:3" x14ac:dyDescent="0.2">
      <c r="A247">
        <v>725</v>
      </c>
      <c r="B247">
        <v>39</v>
      </c>
      <c r="C247">
        <v>1</v>
      </c>
    </row>
    <row r="248" spans="1:3" x14ac:dyDescent="0.2">
      <c r="A248">
        <v>954</v>
      </c>
      <c r="B248">
        <v>39</v>
      </c>
      <c r="C248">
        <v>5</v>
      </c>
    </row>
    <row r="249" spans="1:3" x14ac:dyDescent="0.2">
      <c r="A249">
        <v>282</v>
      </c>
      <c r="B249">
        <v>40</v>
      </c>
      <c r="C249">
        <v>4</v>
      </c>
    </row>
    <row r="250" spans="1:3" x14ac:dyDescent="0.2">
      <c r="A250">
        <v>529</v>
      </c>
      <c r="B250">
        <v>40</v>
      </c>
      <c r="C250">
        <v>2</v>
      </c>
    </row>
    <row r="251" spans="1:3" x14ac:dyDescent="0.2">
      <c r="A251">
        <v>542</v>
      </c>
      <c r="B251">
        <v>40</v>
      </c>
      <c r="C251">
        <v>2</v>
      </c>
    </row>
    <row r="252" spans="1:3" x14ac:dyDescent="0.2">
      <c r="A252">
        <v>652</v>
      </c>
      <c r="B252">
        <v>40</v>
      </c>
      <c r="C252">
        <v>2</v>
      </c>
    </row>
    <row r="253" spans="1:3" x14ac:dyDescent="0.2">
      <c r="A253">
        <v>721</v>
      </c>
      <c r="B253">
        <v>40</v>
      </c>
      <c r="C253">
        <v>2</v>
      </c>
    </row>
    <row r="254" spans="1:3" x14ac:dyDescent="0.2">
      <c r="A254">
        <v>804</v>
      </c>
      <c r="B254">
        <v>40</v>
      </c>
      <c r="C254">
        <v>1</v>
      </c>
    </row>
    <row r="255" spans="1:3" x14ac:dyDescent="0.2">
      <c r="A255">
        <v>910</v>
      </c>
      <c r="B255">
        <v>40</v>
      </c>
      <c r="C255">
        <v>1</v>
      </c>
    </row>
    <row r="256" spans="1:3" x14ac:dyDescent="0.2">
      <c r="A256">
        <v>60</v>
      </c>
      <c r="B256">
        <v>41</v>
      </c>
      <c r="C256">
        <v>2</v>
      </c>
    </row>
    <row r="257" spans="1:3" x14ac:dyDescent="0.2">
      <c r="A257">
        <v>286</v>
      </c>
      <c r="B257">
        <v>41</v>
      </c>
      <c r="C257">
        <v>5</v>
      </c>
    </row>
    <row r="258" spans="1:3" x14ac:dyDescent="0.2">
      <c r="A258">
        <v>296</v>
      </c>
      <c r="B258">
        <v>41</v>
      </c>
      <c r="C258">
        <v>4</v>
      </c>
    </row>
    <row r="259" spans="1:3" x14ac:dyDescent="0.2">
      <c r="A259">
        <v>345</v>
      </c>
      <c r="B259">
        <v>41</v>
      </c>
      <c r="C259">
        <v>3</v>
      </c>
    </row>
    <row r="260" spans="1:3" x14ac:dyDescent="0.2">
      <c r="A260">
        <v>726</v>
      </c>
      <c r="B260">
        <v>41</v>
      </c>
      <c r="C260">
        <v>3</v>
      </c>
    </row>
    <row r="261" spans="1:3" x14ac:dyDescent="0.2">
      <c r="A261">
        <v>732</v>
      </c>
      <c r="B261">
        <v>41</v>
      </c>
      <c r="C261">
        <v>5</v>
      </c>
    </row>
    <row r="262" spans="1:3" x14ac:dyDescent="0.2">
      <c r="A262">
        <v>851</v>
      </c>
      <c r="B262">
        <v>41</v>
      </c>
      <c r="C262">
        <v>2</v>
      </c>
    </row>
    <row r="263" spans="1:3" x14ac:dyDescent="0.2">
      <c r="A263">
        <v>967</v>
      </c>
      <c r="B263">
        <v>41</v>
      </c>
      <c r="C263">
        <v>5</v>
      </c>
    </row>
    <row r="264" spans="1:3" x14ac:dyDescent="0.2">
      <c r="A264">
        <v>970</v>
      </c>
      <c r="B264">
        <v>41</v>
      </c>
      <c r="C264">
        <v>5</v>
      </c>
    </row>
    <row r="265" spans="1:3" x14ac:dyDescent="0.2">
      <c r="A265">
        <v>201</v>
      </c>
      <c r="B265">
        <v>42</v>
      </c>
      <c r="C265">
        <v>2</v>
      </c>
    </row>
    <row r="266" spans="1:3" x14ac:dyDescent="0.2">
      <c r="A266">
        <v>319</v>
      </c>
      <c r="B266">
        <v>42</v>
      </c>
      <c r="C266">
        <v>1</v>
      </c>
    </row>
    <row r="267" spans="1:3" x14ac:dyDescent="0.2">
      <c r="A267">
        <v>430</v>
      </c>
      <c r="B267">
        <v>42</v>
      </c>
      <c r="C267">
        <v>1</v>
      </c>
    </row>
    <row r="268" spans="1:3" x14ac:dyDescent="0.2">
      <c r="A268">
        <v>716</v>
      </c>
      <c r="B268">
        <v>42</v>
      </c>
      <c r="C268">
        <v>4</v>
      </c>
    </row>
    <row r="269" spans="1:3" x14ac:dyDescent="0.2">
      <c r="A269">
        <v>998</v>
      </c>
      <c r="B269">
        <v>42</v>
      </c>
      <c r="C269">
        <v>5</v>
      </c>
    </row>
    <row r="270" spans="1:3" x14ac:dyDescent="0.2">
      <c r="A270">
        <v>121</v>
      </c>
      <c r="B270">
        <v>43</v>
      </c>
      <c r="C270">
        <v>2</v>
      </c>
    </row>
    <row r="271" spans="1:3" x14ac:dyDescent="0.2">
      <c r="A271">
        <v>240</v>
      </c>
      <c r="B271">
        <v>43</v>
      </c>
      <c r="C271">
        <v>1</v>
      </c>
    </row>
    <row r="272" spans="1:3" x14ac:dyDescent="0.2">
      <c r="A272">
        <v>418</v>
      </c>
      <c r="B272">
        <v>43</v>
      </c>
      <c r="C272">
        <v>4</v>
      </c>
    </row>
    <row r="273" spans="1:3" x14ac:dyDescent="0.2">
      <c r="A273">
        <v>661</v>
      </c>
      <c r="B273">
        <v>43</v>
      </c>
      <c r="C273">
        <v>1</v>
      </c>
    </row>
    <row r="274" spans="1:3" x14ac:dyDescent="0.2">
      <c r="A274">
        <v>747</v>
      </c>
      <c r="B274">
        <v>43</v>
      </c>
      <c r="C274">
        <v>2</v>
      </c>
    </row>
    <row r="275" spans="1:3" x14ac:dyDescent="0.2">
      <c r="A275">
        <v>91</v>
      </c>
      <c r="B275">
        <v>44</v>
      </c>
      <c r="C275">
        <v>2</v>
      </c>
    </row>
    <row r="276" spans="1:3" x14ac:dyDescent="0.2">
      <c r="A276">
        <v>114</v>
      </c>
      <c r="B276">
        <v>44</v>
      </c>
      <c r="C276">
        <v>2</v>
      </c>
    </row>
    <row r="277" spans="1:3" x14ac:dyDescent="0.2">
      <c r="A277">
        <v>131</v>
      </c>
      <c r="B277">
        <v>44</v>
      </c>
      <c r="C277">
        <v>3</v>
      </c>
    </row>
    <row r="278" spans="1:3" x14ac:dyDescent="0.2">
      <c r="A278">
        <v>157</v>
      </c>
      <c r="B278">
        <v>44</v>
      </c>
      <c r="C278">
        <v>1</v>
      </c>
    </row>
    <row r="279" spans="1:3" x14ac:dyDescent="0.2">
      <c r="A279">
        <v>176</v>
      </c>
      <c r="B279">
        <v>44</v>
      </c>
      <c r="C279">
        <v>4</v>
      </c>
    </row>
    <row r="280" spans="1:3" x14ac:dyDescent="0.2">
      <c r="A280">
        <v>327</v>
      </c>
      <c r="B280">
        <v>45</v>
      </c>
      <c r="C280">
        <v>3</v>
      </c>
    </row>
    <row r="281" spans="1:3" x14ac:dyDescent="0.2">
      <c r="A281">
        <v>546</v>
      </c>
      <c r="B281">
        <v>45</v>
      </c>
      <c r="C281">
        <v>4</v>
      </c>
    </row>
    <row r="282" spans="1:3" x14ac:dyDescent="0.2">
      <c r="A282">
        <v>702</v>
      </c>
      <c r="B282">
        <v>45</v>
      </c>
      <c r="C282">
        <v>5</v>
      </c>
    </row>
    <row r="283" spans="1:3" x14ac:dyDescent="0.2">
      <c r="A283">
        <v>753</v>
      </c>
      <c r="B283">
        <v>45</v>
      </c>
      <c r="C283">
        <v>3</v>
      </c>
    </row>
    <row r="284" spans="1:3" x14ac:dyDescent="0.2">
      <c r="A284">
        <v>764</v>
      </c>
      <c r="B284">
        <v>45</v>
      </c>
      <c r="C284">
        <v>1</v>
      </c>
    </row>
    <row r="285" spans="1:3" x14ac:dyDescent="0.2">
      <c r="A285">
        <v>959</v>
      </c>
      <c r="B285">
        <v>45</v>
      </c>
      <c r="C285">
        <v>5</v>
      </c>
    </row>
    <row r="286" spans="1:3" x14ac:dyDescent="0.2">
      <c r="A286">
        <v>968</v>
      </c>
      <c r="B286">
        <v>45</v>
      </c>
      <c r="C286">
        <v>5</v>
      </c>
    </row>
    <row r="287" spans="1:3" x14ac:dyDescent="0.2">
      <c r="A287">
        <v>8</v>
      </c>
      <c r="B287">
        <v>46</v>
      </c>
      <c r="C287">
        <v>2</v>
      </c>
    </row>
    <row r="288" spans="1:3" x14ac:dyDescent="0.2">
      <c r="A288">
        <v>435</v>
      </c>
      <c r="B288">
        <v>46</v>
      </c>
      <c r="C288">
        <v>3</v>
      </c>
    </row>
    <row r="289" spans="1:3" x14ac:dyDescent="0.2">
      <c r="A289">
        <v>572</v>
      </c>
      <c r="B289">
        <v>46</v>
      </c>
      <c r="C289">
        <v>2</v>
      </c>
    </row>
    <row r="290" spans="1:3" x14ac:dyDescent="0.2">
      <c r="A290">
        <v>925</v>
      </c>
      <c r="B290">
        <v>46</v>
      </c>
      <c r="C290">
        <v>2</v>
      </c>
    </row>
    <row r="291" spans="1:3" x14ac:dyDescent="0.2">
      <c r="A291">
        <v>966</v>
      </c>
      <c r="B291">
        <v>46</v>
      </c>
      <c r="C291">
        <v>3</v>
      </c>
    </row>
    <row r="292" spans="1:3" x14ac:dyDescent="0.2">
      <c r="A292">
        <v>106</v>
      </c>
      <c r="B292">
        <v>47</v>
      </c>
      <c r="C292">
        <v>2</v>
      </c>
    </row>
    <row r="293" spans="1:3" x14ac:dyDescent="0.2">
      <c r="A293">
        <v>233</v>
      </c>
      <c r="B293">
        <v>47</v>
      </c>
      <c r="C293">
        <v>4</v>
      </c>
    </row>
    <row r="294" spans="1:3" x14ac:dyDescent="0.2">
      <c r="A294">
        <v>263</v>
      </c>
      <c r="B294">
        <v>47</v>
      </c>
      <c r="C294">
        <v>1</v>
      </c>
    </row>
    <row r="295" spans="1:3" x14ac:dyDescent="0.2">
      <c r="A295">
        <v>317</v>
      </c>
      <c r="B295">
        <v>47</v>
      </c>
      <c r="C295">
        <v>4</v>
      </c>
    </row>
    <row r="296" spans="1:3" x14ac:dyDescent="0.2">
      <c r="A296">
        <v>663</v>
      </c>
      <c r="B296">
        <v>47</v>
      </c>
      <c r="C296">
        <v>2</v>
      </c>
    </row>
    <row r="297" spans="1:3" x14ac:dyDescent="0.2">
      <c r="A297">
        <v>809</v>
      </c>
      <c r="B297">
        <v>47</v>
      </c>
      <c r="C297">
        <v>3</v>
      </c>
    </row>
    <row r="298" spans="1:3" x14ac:dyDescent="0.2">
      <c r="A298">
        <v>874</v>
      </c>
      <c r="B298">
        <v>47</v>
      </c>
      <c r="C298">
        <v>3</v>
      </c>
    </row>
    <row r="299" spans="1:3" x14ac:dyDescent="0.2">
      <c r="A299">
        <v>891</v>
      </c>
      <c r="B299">
        <v>47</v>
      </c>
      <c r="C299">
        <v>5</v>
      </c>
    </row>
    <row r="300" spans="1:3" x14ac:dyDescent="0.2">
      <c r="A300">
        <v>21</v>
      </c>
      <c r="B300">
        <v>48</v>
      </c>
      <c r="C300">
        <v>3</v>
      </c>
    </row>
    <row r="301" spans="1:3" x14ac:dyDescent="0.2">
      <c r="A301">
        <v>645</v>
      </c>
      <c r="B301">
        <v>48</v>
      </c>
      <c r="C301">
        <v>5</v>
      </c>
    </row>
    <row r="302" spans="1:3" x14ac:dyDescent="0.2">
      <c r="A302">
        <v>755</v>
      </c>
      <c r="B302">
        <v>48</v>
      </c>
      <c r="C302">
        <v>1</v>
      </c>
    </row>
    <row r="303" spans="1:3" x14ac:dyDescent="0.2">
      <c r="A303">
        <v>869</v>
      </c>
      <c r="B303">
        <v>48</v>
      </c>
      <c r="C303">
        <v>3</v>
      </c>
    </row>
    <row r="304" spans="1:3" x14ac:dyDescent="0.2">
      <c r="A304">
        <v>141</v>
      </c>
      <c r="B304">
        <v>49</v>
      </c>
      <c r="C304">
        <v>5</v>
      </c>
    </row>
    <row r="305" spans="1:3" x14ac:dyDescent="0.2">
      <c r="A305">
        <v>309</v>
      </c>
      <c r="B305">
        <v>49</v>
      </c>
      <c r="C305">
        <v>5</v>
      </c>
    </row>
    <row r="306" spans="1:3" x14ac:dyDescent="0.2">
      <c r="A306">
        <v>363</v>
      </c>
      <c r="B306">
        <v>49</v>
      </c>
      <c r="C306">
        <v>2</v>
      </c>
    </row>
    <row r="307" spans="1:3" x14ac:dyDescent="0.2">
      <c r="A307">
        <v>412</v>
      </c>
      <c r="B307">
        <v>49</v>
      </c>
      <c r="C307">
        <v>3</v>
      </c>
    </row>
    <row r="308" spans="1:3" x14ac:dyDescent="0.2">
      <c r="A308">
        <v>505</v>
      </c>
      <c r="B308">
        <v>49</v>
      </c>
      <c r="C308">
        <v>5</v>
      </c>
    </row>
    <row r="309" spans="1:3" x14ac:dyDescent="0.2">
      <c r="A309">
        <v>516</v>
      </c>
      <c r="B309">
        <v>49</v>
      </c>
      <c r="C309">
        <v>3</v>
      </c>
    </row>
    <row r="310" spans="1:3" x14ac:dyDescent="0.2">
      <c r="A310">
        <v>640</v>
      </c>
      <c r="B310">
        <v>49</v>
      </c>
      <c r="C310">
        <v>4</v>
      </c>
    </row>
    <row r="311" spans="1:3" x14ac:dyDescent="0.2">
      <c r="A311">
        <v>852</v>
      </c>
      <c r="B311">
        <v>49</v>
      </c>
      <c r="C311">
        <v>3</v>
      </c>
    </row>
    <row r="312" spans="1:3" x14ac:dyDescent="0.2">
      <c r="A312">
        <v>972</v>
      </c>
      <c r="B312">
        <v>49</v>
      </c>
      <c r="C312">
        <v>1</v>
      </c>
    </row>
    <row r="313" spans="1:3" x14ac:dyDescent="0.2">
      <c r="A313">
        <v>4</v>
      </c>
      <c r="B313">
        <v>50</v>
      </c>
      <c r="C313">
        <v>4</v>
      </c>
    </row>
    <row r="314" spans="1:3" x14ac:dyDescent="0.2">
      <c r="A314">
        <v>245</v>
      </c>
      <c r="B314">
        <v>50</v>
      </c>
      <c r="C314">
        <v>2</v>
      </c>
    </row>
    <row r="315" spans="1:3" x14ac:dyDescent="0.2">
      <c r="A315">
        <v>272</v>
      </c>
      <c r="B315">
        <v>50</v>
      </c>
      <c r="C315">
        <v>2</v>
      </c>
    </row>
    <row r="316" spans="1:3" x14ac:dyDescent="0.2">
      <c r="A316">
        <v>742</v>
      </c>
      <c r="B316">
        <v>50</v>
      </c>
      <c r="C316">
        <v>4</v>
      </c>
    </row>
    <row r="317" spans="1:3" x14ac:dyDescent="0.2">
      <c r="A317">
        <v>767</v>
      </c>
      <c r="B317">
        <v>50</v>
      </c>
      <c r="C317">
        <v>1</v>
      </c>
    </row>
    <row r="318" spans="1:3" x14ac:dyDescent="0.2">
      <c r="A318">
        <v>864</v>
      </c>
      <c r="B318">
        <v>50</v>
      </c>
      <c r="C318">
        <v>4</v>
      </c>
    </row>
    <row r="319" spans="1:3" x14ac:dyDescent="0.2">
      <c r="A319">
        <v>22</v>
      </c>
      <c r="B319">
        <v>51</v>
      </c>
      <c r="C319">
        <v>1</v>
      </c>
    </row>
    <row r="320" spans="1:3" x14ac:dyDescent="0.2">
      <c r="A320">
        <v>273</v>
      </c>
      <c r="B320">
        <v>51</v>
      </c>
      <c r="C320">
        <v>3</v>
      </c>
    </row>
    <row r="321" spans="1:3" x14ac:dyDescent="0.2">
      <c r="A321">
        <v>432</v>
      </c>
      <c r="B321">
        <v>51</v>
      </c>
      <c r="C321">
        <v>2</v>
      </c>
    </row>
    <row r="322" spans="1:3" x14ac:dyDescent="0.2">
      <c r="A322">
        <v>551</v>
      </c>
      <c r="B322">
        <v>51</v>
      </c>
      <c r="C322">
        <v>3</v>
      </c>
    </row>
    <row r="323" spans="1:3" x14ac:dyDescent="0.2">
      <c r="A323">
        <v>590</v>
      </c>
      <c r="B323">
        <v>51</v>
      </c>
      <c r="C323">
        <v>4</v>
      </c>
    </row>
    <row r="324" spans="1:3" x14ac:dyDescent="0.2">
      <c r="A324">
        <v>631</v>
      </c>
      <c r="B324">
        <v>51</v>
      </c>
      <c r="C324">
        <v>1</v>
      </c>
    </row>
    <row r="325" spans="1:3" x14ac:dyDescent="0.2">
      <c r="A325">
        <v>739</v>
      </c>
      <c r="B325">
        <v>51</v>
      </c>
      <c r="C325">
        <v>5</v>
      </c>
    </row>
    <row r="326" spans="1:3" x14ac:dyDescent="0.2">
      <c r="A326">
        <v>801</v>
      </c>
      <c r="B326">
        <v>51</v>
      </c>
      <c r="C326">
        <v>1</v>
      </c>
    </row>
    <row r="327" spans="1:3" x14ac:dyDescent="0.2">
      <c r="A327">
        <v>989</v>
      </c>
      <c r="B327">
        <v>51</v>
      </c>
      <c r="C327">
        <v>3</v>
      </c>
    </row>
    <row r="328" spans="1:3" x14ac:dyDescent="0.2">
      <c r="A328">
        <v>56</v>
      </c>
      <c r="B328">
        <v>52</v>
      </c>
      <c r="C328">
        <v>5</v>
      </c>
    </row>
    <row r="329" spans="1:3" x14ac:dyDescent="0.2">
      <c r="A329">
        <v>135</v>
      </c>
      <c r="B329">
        <v>52</v>
      </c>
      <c r="C329">
        <v>5</v>
      </c>
    </row>
    <row r="330" spans="1:3" x14ac:dyDescent="0.2">
      <c r="A330">
        <v>203</v>
      </c>
      <c r="B330">
        <v>52</v>
      </c>
      <c r="C330">
        <v>5</v>
      </c>
    </row>
    <row r="331" spans="1:3" x14ac:dyDescent="0.2">
      <c r="A331">
        <v>429</v>
      </c>
      <c r="B331">
        <v>52</v>
      </c>
      <c r="C331">
        <v>2</v>
      </c>
    </row>
    <row r="332" spans="1:3" x14ac:dyDescent="0.2">
      <c r="A332">
        <v>630</v>
      </c>
      <c r="B332">
        <v>52</v>
      </c>
      <c r="C332">
        <v>4</v>
      </c>
    </row>
    <row r="333" spans="1:3" x14ac:dyDescent="0.2">
      <c r="A333">
        <v>57</v>
      </c>
      <c r="B333">
        <v>53</v>
      </c>
      <c r="C333">
        <v>2</v>
      </c>
    </row>
    <row r="334" spans="1:3" x14ac:dyDescent="0.2">
      <c r="A334">
        <v>182</v>
      </c>
      <c r="B334">
        <v>53</v>
      </c>
      <c r="C334">
        <v>2</v>
      </c>
    </row>
    <row r="335" spans="1:3" x14ac:dyDescent="0.2">
      <c r="A335">
        <v>229</v>
      </c>
      <c r="B335">
        <v>53</v>
      </c>
      <c r="C335">
        <v>4</v>
      </c>
    </row>
    <row r="336" spans="1:3" x14ac:dyDescent="0.2">
      <c r="A336">
        <v>462</v>
      </c>
      <c r="B336">
        <v>53</v>
      </c>
      <c r="C336">
        <v>2</v>
      </c>
    </row>
    <row r="337" spans="1:3" x14ac:dyDescent="0.2">
      <c r="A337">
        <v>465</v>
      </c>
      <c r="B337">
        <v>53</v>
      </c>
      <c r="C337">
        <v>4</v>
      </c>
    </row>
    <row r="338" spans="1:3" x14ac:dyDescent="0.2">
      <c r="A338">
        <v>509</v>
      </c>
      <c r="B338">
        <v>53</v>
      </c>
      <c r="C338">
        <v>5</v>
      </c>
    </row>
    <row r="339" spans="1:3" x14ac:dyDescent="0.2">
      <c r="A339">
        <v>853</v>
      </c>
      <c r="B339">
        <v>53</v>
      </c>
      <c r="C339">
        <v>4</v>
      </c>
    </row>
    <row r="340" spans="1:3" x14ac:dyDescent="0.2">
      <c r="A340">
        <v>933</v>
      </c>
      <c r="B340">
        <v>53</v>
      </c>
      <c r="C340">
        <v>1</v>
      </c>
    </row>
    <row r="341" spans="1:3" x14ac:dyDescent="0.2">
      <c r="A341">
        <v>934</v>
      </c>
      <c r="B341">
        <v>53</v>
      </c>
      <c r="C341">
        <v>1</v>
      </c>
    </row>
    <row r="342" spans="1:3" x14ac:dyDescent="0.2">
      <c r="A342">
        <v>242</v>
      </c>
      <c r="B342">
        <v>54</v>
      </c>
      <c r="C342">
        <v>3</v>
      </c>
    </row>
    <row r="343" spans="1:3" x14ac:dyDescent="0.2">
      <c r="A343">
        <v>479</v>
      </c>
      <c r="B343">
        <v>54</v>
      </c>
      <c r="C343">
        <v>2</v>
      </c>
    </row>
    <row r="344" spans="1:3" x14ac:dyDescent="0.2">
      <c r="A344">
        <v>674</v>
      </c>
      <c r="B344">
        <v>54</v>
      </c>
      <c r="C344">
        <v>4</v>
      </c>
    </row>
    <row r="345" spans="1:3" x14ac:dyDescent="0.2">
      <c r="A345">
        <v>18</v>
      </c>
      <c r="B345">
        <v>55</v>
      </c>
      <c r="C345">
        <v>3</v>
      </c>
    </row>
    <row r="346" spans="1:3" x14ac:dyDescent="0.2">
      <c r="A346">
        <v>86</v>
      </c>
      <c r="B346">
        <v>55</v>
      </c>
      <c r="C346">
        <v>4</v>
      </c>
    </row>
    <row r="347" spans="1:3" x14ac:dyDescent="0.2">
      <c r="A347">
        <v>108</v>
      </c>
      <c r="B347">
        <v>55</v>
      </c>
      <c r="C347">
        <v>3</v>
      </c>
    </row>
    <row r="348" spans="1:3" x14ac:dyDescent="0.2">
      <c r="A348">
        <v>188</v>
      </c>
      <c r="B348">
        <v>55</v>
      </c>
      <c r="C348">
        <v>4</v>
      </c>
    </row>
    <row r="349" spans="1:3" x14ac:dyDescent="0.2">
      <c r="A349">
        <v>194</v>
      </c>
      <c r="B349">
        <v>55</v>
      </c>
      <c r="C349">
        <v>2</v>
      </c>
    </row>
    <row r="350" spans="1:3" x14ac:dyDescent="0.2">
      <c r="A350">
        <v>467</v>
      </c>
      <c r="B350">
        <v>55</v>
      </c>
      <c r="C350">
        <v>2</v>
      </c>
    </row>
    <row r="351" spans="1:3" x14ac:dyDescent="0.2">
      <c r="A351">
        <v>772</v>
      </c>
      <c r="B351">
        <v>55</v>
      </c>
      <c r="C351">
        <v>3</v>
      </c>
    </row>
    <row r="352" spans="1:3" x14ac:dyDescent="0.2">
      <c r="A352">
        <v>912</v>
      </c>
      <c r="B352">
        <v>55</v>
      </c>
      <c r="C352">
        <v>3</v>
      </c>
    </row>
    <row r="353" spans="1:3" x14ac:dyDescent="0.2">
      <c r="A353">
        <v>127</v>
      </c>
      <c r="B353">
        <v>56</v>
      </c>
      <c r="C353">
        <v>1</v>
      </c>
    </row>
    <row r="354" spans="1:3" x14ac:dyDescent="0.2">
      <c r="A354">
        <v>434</v>
      </c>
      <c r="B354">
        <v>56</v>
      </c>
      <c r="C354">
        <v>1</v>
      </c>
    </row>
    <row r="355" spans="1:3" x14ac:dyDescent="0.2">
      <c r="A355">
        <v>31</v>
      </c>
      <c r="B355">
        <v>57</v>
      </c>
      <c r="C355">
        <v>2</v>
      </c>
    </row>
    <row r="356" spans="1:3" x14ac:dyDescent="0.2">
      <c r="A356">
        <v>103</v>
      </c>
      <c r="B356">
        <v>57</v>
      </c>
      <c r="C356">
        <v>4</v>
      </c>
    </row>
    <row r="357" spans="1:3" x14ac:dyDescent="0.2">
      <c r="A357">
        <v>281</v>
      </c>
      <c r="B357">
        <v>57</v>
      </c>
      <c r="C357">
        <v>5</v>
      </c>
    </row>
    <row r="358" spans="1:3" x14ac:dyDescent="0.2">
      <c r="A358">
        <v>554</v>
      </c>
      <c r="B358">
        <v>57</v>
      </c>
      <c r="C358">
        <v>2</v>
      </c>
    </row>
    <row r="359" spans="1:3" x14ac:dyDescent="0.2">
      <c r="A359">
        <v>786</v>
      </c>
      <c r="B359">
        <v>57</v>
      </c>
      <c r="C359">
        <v>5</v>
      </c>
    </row>
    <row r="360" spans="1:3" x14ac:dyDescent="0.2">
      <c r="A360">
        <v>887</v>
      </c>
      <c r="B360">
        <v>57</v>
      </c>
      <c r="C360">
        <v>1</v>
      </c>
    </row>
    <row r="361" spans="1:3" x14ac:dyDescent="0.2">
      <c r="A361">
        <v>980</v>
      </c>
      <c r="B361">
        <v>57</v>
      </c>
      <c r="C361">
        <v>4</v>
      </c>
    </row>
    <row r="362" spans="1:3" x14ac:dyDescent="0.2">
      <c r="A362">
        <v>986</v>
      </c>
      <c r="B362">
        <v>57</v>
      </c>
      <c r="C362">
        <v>4</v>
      </c>
    </row>
    <row r="363" spans="1:3" x14ac:dyDescent="0.2">
      <c r="A363">
        <v>138</v>
      </c>
      <c r="B363">
        <v>58</v>
      </c>
      <c r="C363">
        <v>5</v>
      </c>
    </row>
    <row r="364" spans="1:3" x14ac:dyDescent="0.2">
      <c r="A364">
        <v>253</v>
      </c>
      <c r="B364">
        <v>58</v>
      </c>
      <c r="C364">
        <v>5</v>
      </c>
    </row>
    <row r="365" spans="1:3" x14ac:dyDescent="0.2">
      <c r="A365">
        <v>338</v>
      </c>
      <c r="B365">
        <v>58</v>
      </c>
      <c r="C365">
        <v>5</v>
      </c>
    </row>
    <row r="366" spans="1:3" x14ac:dyDescent="0.2">
      <c r="A366">
        <v>343</v>
      </c>
      <c r="B366">
        <v>58</v>
      </c>
      <c r="C366">
        <v>5</v>
      </c>
    </row>
    <row r="367" spans="1:3" x14ac:dyDescent="0.2">
      <c r="A367">
        <v>773</v>
      </c>
      <c r="B367">
        <v>58</v>
      </c>
      <c r="C367">
        <v>4</v>
      </c>
    </row>
    <row r="368" spans="1:3" x14ac:dyDescent="0.2">
      <c r="A368">
        <v>987</v>
      </c>
      <c r="B368">
        <v>58</v>
      </c>
      <c r="C368">
        <v>3</v>
      </c>
    </row>
    <row r="369" spans="1:3" x14ac:dyDescent="0.2">
      <c r="A369">
        <v>186</v>
      </c>
      <c r="B369">
        <v>59</v>
      </c>
      <c r="C369">
        <v>1</v>
      </c>
    </row>
    <row r="370" spans="1:3" x14ac:dyDescent="0.2">
      <c r="A370">
        <v>453</v>
      </c>
      <c r="B370">
        <v>59</v>
      </c>
      <c r="C370">
        <v>3</v>
      </c>
    </row>
    <row r="371" spans="1:3" x14ac:dyDescent="0.2">
      <c r="A371">
        <v>563</v>
      </c>
      <c r="B371">
        <v>59</v>
      </c>
      <c r="C371">
        <v>3</v>
      </c>
    </row>
    <row r="372" spans="1:3" x14ac:dyDescent="0.2">
      <c r="A372">
        <v>812</v>
      </c>
      <c r="B372">
        <v>59</v>
      </c>
      <c r="C372">
        <v>2</v>
      </c>
    </row>
    <row r="373" spans="1:3" x14ac:dyDescent="0.2">
      <c r="A373">
        <v>96</v>
      </c>
      <c r="B373">
        <v>60</v>
      </c>
      <c r="C373">
        <v>3</v>
      </c>
    </row>
    <row r="374" spans="1:3" x14ac:dyDescent="0.2">
      <c r="A374">
        <v>151</v>
      </c>
      <c r="B374">
        <v>60</v>
      </c>
      <c r="C374">
        <v>4</v>
      </c>
    </row>
    <row r="375" spans="1:3" x14ac:dyDescent="0.2">
      <c r="A375">
        <v>360</v>
      </c>
      <c r="B375">
        <v>60</v>
      </c>
      <c r="C375">
        <v>2</v>
      </c>
    </row>
    <row r="376" spans="1:3" x14ac:dyDescent="0.2">
      <c r="A376">
        <v>497</v>
      </c>
      <c r="B376">
        <v>60</v>
      </c>
      <c r="C376">
        <v>2</v>
      </c>
    </row>
    <row r="377" spans="1:3" x14ac:dyDescent="0.2">
      <c r="A377">
        <v>541</v>
      </c>
      <c r="B377">
        <v>60</v>
      </c>
      <c r="C377">
        <v>5</v>
      </c>
    </row>
    <row r="378" spans="1:3" x14ac:dyDescent="0.2">
      <c r="A378">
        <v>834</v>
      </c>
      <c r="B378">
        <v>60</v>
      </c>
      <c r="C378">
        <v>3</v>
      </c>
    </row>
    <row r="379" spans="1:3" x14ac:dyDescent="0.2">
      <c r="A379">
        <v>897</v>
      </c>
      <c r="B379">
        <v>60</v>
      </c>
      <c r="C379">
        <v>2</v>
      </c>
    </row>
    <row r="380" spans="1:3" x14ac:dyDescent="0.2">
      <c r="A380">
        <v>192</v>
      </c>
      <c r="B380">
        <v>61</v>
      </c>
      <c r="C380">
        <v>4</v>
      </c>
    </row>
    <row r="381" spans="1:3" x14ac:dyDescent="0.2">
      <c r="A381">
        <v>445</v>
      </c>
      <c r="B381">
        <v>61</v>
      </c>
      <c r="C381">
        <v>2</v>
      </c>
    </row>
    <row r="382" spans="1:3" x14ac:dyDescent="0.2">
      <c r="A382">
        <v>448</v>
      </c>
      <c r="B382">
        <v>61</v>
      </c>
      <c r="C382">
        <v>2</v>
      </c>
    </row>
    <row r="383" spans="1:3" x14ac:dyDescent="0.2">
      <c r="A383">
        <v>628</v>
      </c>
      <c r="B383">
        <v>61</v>
      </c>
      <c r="C383">
        <v>1</v>
      </c>
    </row>
    <row r="384" spans="1:3" x14ac:dyDescent="0.2">
      <c r="A384">
        <v>757</v>
      </c>
      <c r="B384">
        <v>61</v>
      </c>
      <c r="C384">
        <v>3</v>
      </c>
    </row>
    <row r="385" spans="1:3" x14ac:dyDescent="0.2">
      <c r="A385">
        <v>782</v>
      </c>
      <c r="B385">
        <v>61</v>
      </c>
      <c r="C385">
        <v>2</v>
      </c>
    </row>
    <row r="386" spans="1:3" x14ac:dyDescent="0.2">
      <c r="A386">
        <v>903</v>
      </c>
      <c r="B386">
        <v>61</v>
      </c>
      <c r="C386">
        <v>2</v>
      </c>
    </row>
    <row r="387" spans="1:3" x14ac:dyDescent="0.2">
      <c r="A387">
        <v>913</v>
      </c>
      <c r="B387">
        <v>61</v>
      </c>
      <c r="C387">
        <v>3</v>
      </c>
    </row>
    <row r="388" spans="1:3" x14ac:dyDescent="0.2">
      <c r="A388">
        <v>997</v>
      </c>
      <c r="B388">
        <v>61</v>
      </c>
      <c r="C388">
        <v>2</v>
      </c>
    </row>
    <row r="389" spans="1:3" x14ac:dyDescent="0.2">
      <c r="A389">
        <v>163</v>
      </c>
      <c r="B389">
        <v>62</v>
      </c>
      <c r="C389">
        <v>1</v>
      </c>
    </row>
    <row r="390" spans="1:3" x14ac:dyDescent="0.2">
      <c r="A390">
        <v>168</v>
      </c>
      <c r="B390">
        <v>62</v>
      </c>
      <c r="C390">
        <v>1</v>
      </c>
    </row>
    <row r="391" spans="1:3" x14ac:dyDescent="0.2">
      <c r="A391">
        <v>393</v>
      </c>
      <c r="B391">
        <v>62</v>
      </c>
      <c r="C391">
        <v>3</v>
      </c>
    </row>
    <row r="392" spans="1:3" x14ac:dyDescent="0.2">
      <c r="A392">
        <v>403</v>
      </c>
      <c r="B392">
        <v>62</v>
      </c>
      <c r="C392">
        <v>2</v>
      </c>
    </row>
    <row r="393" spans="1:3" x14ac:dyDescent="0.2">
      <c r="A393">
        <v>642</v>
      </c>
      <c r="B393">
        <v>62</v>
      </c>
      <c r="C393">
        <v>1</v>
      </c>
    </row>
    <row r="394" spans="1:3" x14ac:dyDescent="0.2">
      <c r="A394">
        <v>881</v>
      </c>
      <c r="B394">
        <v>62</v>
      </c>
      <c r="C394">
        <v>2</v>
      </c>
    </row>
    <row r="395" spans="1:3" x14ac:dyDescent="0.2">
      <c r="A395">
        <v>930</v>
      </c>
      <c r="B395">
        <v>62</v>
      </c>
      <c r="C395">
        <v>2</v>
      </c>
    </row>
    <row r="396" spans="1:3" x14ac:dyDescent="0.2">
      <c r="A396">
        <v>69</v>
      </c>
      <c r="B396">
        <v>63</v>
      </c>
      <c r="C396">
        <v>3</v>
      </c>
    </row>
    <row r="397" spans="1:3" x14ac:dyDescent="0.2">
      <c r="A397">
        <v>87</v>
      </c>
      <c r="B397">
        <v>63</v>
      </c>
      <c r="C397">
        <v>2</v>
      </c>
    </row>
    <row r="398" spans="1:3" x14ac:dyDescent="0.2">
      <c r="A398">
        <v>539</v>
      </c>
      <c r="B398">
        <v>63</v>
      </c>
      <c r="C398">
        <v>5</v>
      </c>
    </row>
    <row r="399" spans="1:3" x14ac:dyDescent="0.2">
      <c r="A399">
        <v>577</v>
      </c>
      <c r="B399">
        <v>63</v>
      </c>
      <c r="C399">
        <v>5</v>
      </c>
    </row>
    <row r="400" spans="1:3" x14ac:dyDescent="0.2">
      <c r="A400">
        <v>744</v>
      </c>
      <c r="B400">
        <v>63</v>
      </c>
      <c r="C400">
        <v>2</v>
      </c>
    </row>
    <row r="401" spans="1:3" x14ac:dyDescent="0.2">
      <c r="A401">
        <v>815</v>
      </c>
      <c r="B401">
        <v>63</v>
      </c>
      <c r="C401">
        <v>5</v>
      </c>
    </row>
    <row r="402" spans="1:3" x14ac:dyDescent="0.2">
      <c r="A402">
        <v>861</v>
      </c>
      <c r="B402">
        <v>63</v>
      </c>
      <c r="C402">
        <v>2</v>
      </c>
    </row>
    <row r="403" spans="1:3" x14ac:dyDescent="0.2">
      <c r="A403">
        <v>885</v>
      </c>
      <c r="B403">
        <v>63</v>
      </c>
      <c r="C403">
        <v>4</v>
      </c>
    </row>
    <row r="404" spans="1:3" x14ac:dyDescent="0.2">
      <c r="A404">
        <v>42</v>
      </c>
      <c r="B404">
        <v>64</v>
      </c>
      <c r="C404">
        <v>2</v>
      </c>
    </row>
    <row r="405" spans="1:3" x14ac:dyDescent="0.2">
      <c r="A405">
        <v>43</v>
      </c>
      <c r="B405">
        <v>64</v>
      </c>
      <c r="C405">
        <v>2</v>
      </c>
    </row>
    <row r="406" spans="1:3" x14ac:dyDescent="0.2">
      <c r="A406">
        <v>95</v>
      </c>
      <c r="B406">
        <v>64</v>
      </c>
      <c r="C406">
        <v>2</v>
      </c>
    </row>
    <row r="407" spans="1:3" x14ac:dyDescent="0.2">
      <c r="A407">
        <v>139</v>
      </c>
      <c r="B407">
        <v>64</v>
      </c>
      <c r="C407">
        <v>5</v>
      </c>
    </row>
    <row r="408" spans="1:3" x14ac:dyDescent="0.2">
      <c r="A408">
        <v>397</v>
      </c>
      <c r="B408">
        <v>64</v>
      </c>
      <c r="C408">
        <v>1</v>
      </c>
    </row>
    <row r="409" spans="1:3" x14ac:dyDescent="0.2">
      <c r="A409">
        <v>469</v>
      </c>
      <c r="B409">
        <v>64</v>
      </c>
      <c r="C409">
        <v>2</v>
      </c>
    </row>
    <row r="410" spans="1:3" x14ac:dyDescent="0.2">
      <c r="A410">
        <v>724</v>
      </c>
      <c r="B410">
        <v>64</v>
      </c>
      <c r="C410">
        <v>2</v>
      </c>
    </row>
    <row r="411" spans="1:3" x14ac:dyDescent="0.2">
      <c r="A411">
        <v>856</v>
      </c>
      <c r="B411">
        <v>64</v>
      </c>
      <c r="C411">
        <v>1</v>
      </c>
    </row>
    <row r="412" spans="1:3" x14ac:dyDescent="0.2">
      <c r="A412">
        <v>32</v>
      </c>
      <c r="B412">
        <v>65</v>
      </c>
      <c r="C412">
        <v>4</v>
      </c>
    </row>
    <row r="413" spans="1:3" x14ac:dyDescent="0.2">
      <c r="A413">
        <v>173</v>
      </c>
      <c r="B413">
        <v>65</v>
      </c>
      <c r="C413">
        <v>3</v>
      </c>
    </row>
    <row r="414" spans="1:3" x14ac:dyDescent="0.2">
      <c r="A414">
        <v>205</v>
      </c>
      <c r="B414">
        <v>65</v>
      </c>
      <c r="C414">
        <v>3</v>
      </c>
    </row>
    <row r="415" spans="1:3" x14ac:dyDescent="0.2">
      <c r="A415">
        <v>321</v>
      </c>
      <c r="B415">
        <v>65</v>
      </c>
      <c r="C415">
        <v>3</v>
      </c>
    </row>
    <row r="416" spans="1:3" x14ac:dyDescent="0.2">
      <c r="A416">
        <v>344</v>
      </c>
      <c r="B416">
        <v>65</v>
      </c>
      <c r="C416">
        <v>1</v>
      </c>
    </row>
    <row r="417" spans="1:3" x14ac:dyDescent="0.2">
      <c r="A417">
        <v>463</v>
      </c>
      <c r="B417">
        <v>65</v>
      </c>
      <c r="C417">
        <v>4</v>
      </c>
    </row>
    <row r="418" spans="1:3" x14ac:dyDescent="0.2">
      <c r="A418">
        <v>606</v>
      </c>
      <c r="B418">
        <v>65</v>
      </c>
      <c r="C418">
        <v>4</v>
      </c>
    </row>
    <row r="419" spans="1:3" x14ac:dyDescent="0.2">
      <c r="A419">
        <v>607</v>
      </c>
      <c r="B419">
        <v>65</v>
      </c>
      <c r="C419">
        <v>2</v>
      </c>
    </row>
    <row r="420" spans="1:3" x14ac:dyDescent="0.2">
      <c r="A420">
        <v>960</v>
      </c>
      <c r="B420">
        <v>65</v>
      </c>
      <c r="C420">
        <v>4</v>
      </c>
    </row>
    <row r="421" spans="1:3" x14ac:dyDescent="0.2">
      <c r="A421">
        <v>33</v>
      </c>
      <c r="B421">
        <v>66</v>
      </c>
      <c r="C421">
        <v>3</v>
      </c>
    </row>
    <row r="422" spans="1:3" x14ac:dyDescent="0.2">
      <c r="A422">
        <v>74</v>
      </c>
      <c r="B422">
        <v>66</v>
      </c>
      <c r="C422">
        <v>5</v>
      </c>
    </row>
    <row r="423" spans="1:3" x14ac:dyDescent="0.2">
      <c r="A423">
        <v>244</v>
      </c>
      <c r="B423">
        <v>66</v>
      </c>
      <c r="C423">
        <v>5</v>
      </c>
    </row>
    <row r="424" spans="1:3" x14ac:dyDescent="0.2">
      <c r="A424">
        <v>279</v>
      </c>
      <c r="B424">
        <v>66</v>
      </c>
      <c r="C424">
        <v>2</v>
      </c>
    </row>
    <row r="425" spans="1:3" x14ac:dyDescent="0.2">
      <c r="A425">
        <v>298</v>
      </c>
      <c r="B425">
        <v>66</v>
      </c>
      <c r="C425">
        <v>3</v>
      </c>
    </row>
    <row r="426" spans="1:3" x14ac:dyDescent="0.2">
      <c r="A426">
        <v>657</v>
      </c>
      <c r="B426">
        <v>66</v>
      </c>
      <c r="C426">
        <v>2</v>
      </c>
    </row>
    <row r="427" spans="1:3" x14ac:dyDescent="0.2">
      <c r="A427">
        <v>122</v>
      </c>
      <c r="B427">
        <v>67</v>
      </c>
      <c r="C427">
        <v>3</v>
      </c>
    </row>
    <row r="428" spans="1:3" x14ac:dyDescent="0.2">
      <c r="A428">
        <v>449</v>
      </c>
      <c r="B428">
        <v>67</v>
      </c>
      <c r="C428">
        <v>5</v>
      </c>
    </row>
    <row r="429" spans="1:3" x14ac:dyDescent="0.2">
      <c r="A429">
        <v>477</v>
      </c>
      <c r="B429">
        <v>67</v>
      </c>
      <c r="C429">
        <v>1</v>
      </c>
    </row>
    <row r="430" spans="1:3" x14ac:dyDescent="0.2">
      <c r="A430">
        <v>825</v>
      </c>
      <c r="B430">
        <v>67</v>
      </c>
      <c r="C430">
        <v>4</v>
      </c>
    </row>
    <row r="431" spans="1:3" x14ac:dyDescent="0.2">
      <c r="A431">
        <v>956</v>
      </c>
      <c r="B431">
        <v>67</v>
      </c>
      <c r="C431">
        <v>5</v>
      </c>
    </row>
    <row r="432" spans="1:3" x14ac:dyDescent="0.2">
      <c r="A432">
        <v>34</v>
      </c>
      <c r="B432">
        <v>68</v>
      </c>
      <c r="C432">
        <v>2</v>
      </c>
    </row>
    <row r="433" spans="1:3" x14ac:dyDescent="0.2">
      <c r="A433">
        <v>237</v>
      </c>
      <c r="B433">
        <v>68</v>
      </c>
      <c r="C433">
        <v>4</v>
      </c>
    </row>
    <row r="434" spans="1:3" x14ac:dyDescent="0.2">
      <c r="A434">
        <v>322</v>
      </c>
      <c r="B434">
        <v>68</v>
      </c>
      <c r="C434">
        <v>5</v>
      </c>
    </row>
    <row r="435" spans="1:3" x14ac:dyDescent="0.2">
      <c r="A435">
        <v>538</v>
      </c>
      <c r="B435">
        <v>68</v>
      </c>
      <c r="C435">
        <v>5</v>
      </c>
    </row>
    <row r="436" spans="1:3" x14ac:dyDescent="0.2">
      <c r="A436">
        <v>664</v>
      </c>
      <c r="B436">
        <v>68</v>
      </c>
      <c r="C436">
        <v>2</v>
      </c>
    </row>
    <row r="437" spans="1:3" x14ac:dyDescent="0.2">
      <c r="A437">
        <v>935</v>
      </c>
      <c r="B437">
        <v>68</v>
      </c>
      <c r="C437">
        <v>3</v>
      </c>
    </row>
    <row r="438" spans="1:3" x14ac:dyDescent="0.2">
      <c r="A438">
        <v>963</v>
      </c>
      <c r="B438">
        <v>68</v>
      </c>
      <c r="C438">
        <v>4</v>
      </c>
    </row>
    <row r="439" spans="1:3" x14ac:dyDescent="0.2">
      <c r="A439">
        <v>977</v>
      </c>
      <c r="B439">
        <v>68</v>
      </c>
      <c r="C439">
        <v>3</v>
      </c>
    </row>
    <row r="440" spans="1:3" x14ac:dyDescent="0.2">
      <c r="A440">
        <v>39</v>
      </c>
      <c r="B440">
        <v>69</v>
      </c>
      <c r="C440">
        <v>1</v>
      </c>
    </row>
    <row r="441" spans="1:3" x14ac:dyDescent="0.2">
      <c r="A441">
        <v>99</v>
      </c>
      <c r="B441">
        <v>69</v>
      </c>
      <c r="C441">
        <v>2</v>
      </c>
    </row>
    <row r="442" spans="1:3" x14ac:dyDescent="0.2">
      <c r="A442">
        <v>159</v>
      </c>
      <c r="B442">
        <v>69</v>
      </c>
      <c r="C442">
        <v>1</v>
      </c>
    </row>
    <row r="443" spans="1:3" x14ac:dyDescent="0.2">
      <c r="A443">
        <v>350</v>
      </c>
      <c r="B443">
        <v>69</v>
      </c>
      <c r="C443">
        <v>3</v>
      </c>
    </row>
    <row r="444" spans="1:3" x14ac:dyDescent="0.2">
      <c r="A444">
        <v>591</v>
      </c>
      <c r="B444">
        <v>69</v>
      </c>
      <c r="C444">
        <v>2</v>
      </c>
    </row>
    <row r="445" spans="1:3" x14ac:dyDescent="0.2">
      <c r="A445">
        <v>94</v>
      </c>
      <c r="B445">
        <v>70</v>
      </c>
      <c r="C445">
        <v>1</v>
      </c>
    </row>
    <row r="446" spans="1:3" x14ac:dyDescent="0.2">
      <c r="A446">
        <v>269</v>
      </c>
      <c r="B446">
        <v>70</v>
      </c>
      <c r="C446">
        <v>3</v>
      </c>
    </row>
    <row r="447" spans="1:3" x14ac:dyDescent="0.2">
      <c r="A447">
        <v>307</v>
      </c>
      <c r="B447">
        <v>70</v>
      </c>
      <c r="C447">
        <v>3</v>
      </c>
    </row>
    <row r="448" spans="1:3" x14ac:dyDescent="0.2">
      <c r="A448">
        <v>442</v>
      </c>
      <c r="B448">
        <v>70</v>
      </c>
      <c r="C448">
        <v>2</v>
      </c>
    </row>
    <row r="449" spans="1:3" x14ac:dyDescent="0.2">
      <c r="A449">
        <v>669</v>
      </c>
      <c r="B449">
        <v>70</v>
      </c>
      <c r="C449">
        <v>5</v>
      </c>
    </row>
    <row r="450" spans="1:3" x14ac:dyDescent="0.2">
      <c r="A450">
        <v>216</v>
      </c>
      <c r="B450">
        <v>71</v>
      </c>
      <c r="C450">
        <v>1</v>
      </c>
    </row>
    <row r="451" spans="1:3" x14ac:dyDescent="0.2">
      <c r="A451">
        <v>594</v>
      </c>
      <c r="B451">
        <v>71</v>
      </c>
      <c r="C451">
        <v>4</v>
      </c>
    </row>
    <row r="452" spans="1:3" x14ac:dyDescent="0.2">
      <c r="A452">
        <v>686</v>
      </c>
      <c r="B452">
        <v>71</v>
      </c>
      <c r="C452">
        <v>1</v>
      </c>
    </row>
    <row r="453" spans="1:3" x14ac:dyDescent="0.2">
      <c r="A453">
        <v>762</v>
      </c>
      <c r="B453">
        <v>71</v>
      </c>
      <c r="C453">
        <v>5</v>
      </c>
    </row>
    <row r="454" spans="1:3" x14ac:dyDescent="0.2">
      <c r="A454">
        <v>172</v>
      </c>
      <c r="B454">
        <v>72</v>
      </c>
      <c r="C454">
        <v>4</v>
      </c>
    </row>
    <row r="455" spans="1:3" x14ac:dyDescent="0.2">
      <c r="A455">
        <v>214</v>
      </c>
      <c r="B455">
        <v>72</v>
      </c>
      <c r="C455">
        <v>1</v>
      </c>
    </row>
    <row r="456" spans="1:3" x14ac:dyDescent="0.2">
      <c r="A456">
        <v>483</v>
      </c>
      <c r="B456">
        <v>72</v>
      </c>
      <c r="C456">
        <v>2</v>
      </c>
    </row>
    <row r="457" spans="1:3" x14ac:dyDescent="0.2">
      <c r="A457">
        <v>722</v>
      </c>
      <c r="B457">
        <v>72</v>
      </c>
      <c r="C457">
        <v>5</v>
      </c>
    </row>
    <row r="458" spans="1:3" x14ac:dyDescent="0.2">
      <c r="A458">
        <v>734</v>
      </c>
      <c r="B458">
        <v>72</v>
      </c>
      <c r="C458">
        <v>3</v>
      </c>
    </row>
    <row r="459" spans="1:3" x14ac:dyDescent="0.2">
      <c r="A459">
        <v>75</v>
      </c>
      <c r="B459">
        <v>73</v>
      </c>
      <c r="C459">
        <v>4</v>
      </c>
    </row>
    <row r="460" spans="1:3" x14ac:dyDescent="0.2">
      <c r="A460">
        <v>371</v>
      </c>
      <c r="B460">
        <v>73</v>
      </c>
      <c r="C460">
        <v>3</v>
      </c>
    </row>
    <row r="461" spans="1:3" x14ac:dyDescent="0.2">
      <c r="A461">
        <v>390</v>
      </c>
      <c r="B461">
        <v>73</v>
      </c>
      <c r="C461">
        <v>5</v>
      </c>
    </row>
    <row r="462" spans="1:3" x14ac:dyDescent="0.2">
      <c r="A462">
        <v>863</v>
      </c>
      <c r="B462">
        <v>73</v>
      </c>
      <c r="C462">
        <v>5</v>
      </c>
    </row>
    <row r="463" spans="1:3" x14ac:dyDescent="0.2">
      <c r="A463">
        <v>899</v>
      </c>
      <c r="B463">
        <v>73</v>
      </c>
      <c r="C463">
        <v>4</v>
      </c>
    </row>
    <row r="464" spans="1:3" x14ac:dyDescent="0.2">
      <c r="A464">
        <v>55</v>
      </c>
      <c r="B464">
        <v>74</v>
      </c>
      <c r="C464">
        <v>2</v>
      </c>
    </row>
    <row r="465" spans="1:3" x14ac:dyDescent="0.2">
      <c r="A465">
        <v>275</v>
      </c>
      <c r="B465">
        <v>74</v>
      </c>
      <c r="C465">
        <v>4</v>
      </c>
    </row>
    <row r="466" spans="1:3" x14ac:dyDescent="0.2">
      <c r="A466">
        <v>378</v>
      </c>
      <c r="B466">
        <v>74</v>
      </c>
      <c r="C466">
        <v>4</v>
      </c>
    </row>
    <row r="467" spans="1:3" x14ac:dyDescent="0.2">
      <c r="A467">
        <v>380</v>
      </c>
      <c r="B467">
        <v>74</v>
      </c>
      <c r="C467">
        <v>3</v>
      </c>
    </row>
    <row r="468" spans="1:3" x14ac:dyDescent="0.2">
      <c r="A468">
        <v>561</v>
      </c>
      <c r="B468">
        <v>74</v>
      </c>
      <c r="C468">
        <v>3</v>
      </c>
    </row>
    <row r="469" spans="1:3" x14ac:dyDescent="0.2">
      <c r="A469">
        <v>562</v>
      </c>
      <c r="B469">
        <v>74</v>
      </c>
      <c r="C469">
        <v>2</v>
      </c>
    </row>
    <row r="470" spans="1:3" x14ac:dyDescent="0.2">
      <c r="A470">
        <v>660</v>
      </c>
      <c r="B470">
        <v>74</v>
      </c>
      <c r="C470">
        <v>2</v>
      </c>
    </row>
    <row r="471" spans="1:3" x14ac:dyDescent="0.2">
      <c r="A471">
        <v>673</v>
      </c>
      <c r="B471">
        <v>74</v>
      </c>
      <c r="C471">
        <v>5</v>
      </c>
    </row>
    <row r="472" spans="1:3" x14ac:dyDescent="0.2">
      <c r="A472">
        <v>848</v>
      </c>
      <c r="B472">
        <v>74</v>
      </c>
      <c r="C472">
        <v>1</v>
      </c>
    </row>
    <row r="473" spans="1:3" x14ac:dyDescent="0.2">
      <c r="A473">
        <v>943</v>
      </c>
      <c r="B473">
        <v>74</v>
      </c>
      <c r="C473">
        <v>3</v>
      </c>
    </row>
    <row r="474" spans="1:3" x14ac:dyDescent="0.2">
      <c r="A474">
        <v>962</v>
      </c>
      <c r="B474">
        <v>74</v>
      </c>
      <c r="C474">
        <v>1</v>
      </c>
    </row>
    <row r="475" spans="1:3" x14ac:dyDescent="0.2">
      <c r="A475">
        <v>420</v>
      </c>
      <c r="B475">
        <v>75</v>
      </c>
      <c r="C475">
        <v>1</v>
      </c>
    </row>
    <row r="476" spans="1:3" x14ac:dyDescent="0.2">
      <c r="A476">
        <v>519</v>
      </c>
      <c r="B476">
        <v>75</v>
      </c>
      <c r="C476">
        <v>1</v>
      </c>
    </row>
    <row r="477" spans="1:3" x14ac:dyDescent="0.2">
      <c r="A477">
        <v>576</v>
      </c>
      <c r="B477">
        <v>75</v>
      </c>
      <c r="C477">
        <v>2</v>
      </c>
    </row>
    <row r="478" spans="1:3" x14ac:dyDescent="0.2">
      <c r="A478">
        <v>612</v>
      </c>
      <c r="B478">
        <v>75</v>
      </c>
      <c r="C478">
        <v>4</v>
      </c>
    </row>
    <row r="479" spans="1:3" x14ac:dyDescent="0.2">
      <c r="A479">
        <v>827</v>
      </c>
      <c r="B479">
        <v>75</v>
      </c>
      <c r="C479">
        <v>2</v>
      </c>
    </row>
    <row r="480" spans="1:3" x14ac:dyDescent="0.2">
      <c r="A480">
        <v>923</v>
      </c>
      <c r="B480">
        <v>75</v>
      </c>
      <c r="C480">
        <v>3</v>
      </c>
    </row>
    <row r="481" spans="1:3" x14ac:dyDescent="0.2">
      <c r="A481">
        <v>11</v>
      </c>
      <c r="B481">
        <v>76</v>
      </c>
      <c r="C481">
        <v>1</v>
      </c>
    </row>
    <row r="482" spans="1:3" x14ac:dyDescent="0.2">
      <c r="A482">
        <v>29</v>
      </c>
      <c r="B482">
        <v>76</v>
      </c>
      <c r="C482">
        <v>2</v>
      </c>
    </row>
    <row r="483" spans="1:3" x14ac:dyDescent="0.2">
      <c r="A483">
        <v>116</v>
      </c>
      <c r="B483">
        <v>76</v>
      </c>
      <c r="C483">
        <v>5</v>
      </c>
    </row>
    <row r="484" spans="1:3" x14ac:dyDescent="0.2">
      <c r="A484">
        <v>204</v>
      </c>
      <c r="B484">
        <v>76</v>
      </c>
      <c r="C484">
        <v>1</v>
      </c>
    </row>
    <row r="485" spans="1:3" x14ac:dyDescent="0.2">
      <c r="A485">
        <v>226</v>
      </c>
      <c r="B485">
        <v>76</v>
      </c>
      <c r="C485">
        <v>4</v>
      </c>
    </row>
    <row r="486" spans="1:3" x14ac:dyDescent="0.2">
      <c r="A486">
        <v>311</v>
      </c>
      <c r="B486">
        <v>76</v>
      </c>
      <c r="C486">
        <v>1</v>
      </c>
    </row>
    <row r="487" spans="1:3" x14ac:dyDescent="0.2">
      <c r="A487">
        <v>488</v>
      </c>
      <c r="B487">
        <v>76</v>
      </c>
      <c r="C487">
        <v>2</v>
      </c>
    </row>
    <row r="488" spans="1:3" x14ac:dyDescent="0.2">
      <c r="A488">
        <v>513</v>
      </c>
      <c r="B488">
        <v>76</v>
      </c>
      <c r="C488">
        <v>2</v>
      </c>
    </row>
    <row r="489" spans="1:3" x14ac:dyDescent="0.2">
      <c r="A489">
        <v>745</v>
      </c>
      <c r="B489">
        <v>76</v>
      </c>
      <c r="C489">
        <v>4</v>
      </c>
    </row>
    <row r="490" spans="1:3" x14ac:dyDescent="0.2">
      <c r="A490">
        <v>822</v>
      </c>
      <c r="B490">
        <v>76</v>
      </c>
      <c r="C490">
        <v>2</v>
      </c>
    </row>
    <row r="491" spans="1:3" x14ac:dyDescent="0.2">
      <c r="A491">
        <v>920</v>
      </c>
      <c r="B491">
        <v>76</v>
      </c>
      <c r="C491">
        <v>3</v>
      </c>
    </row>
    <row r="492" spans="1:3" x14ac:dyDescent="0.2">
      <c r="A492">
        <v>320</v>
      </c>
      <c r="B492">
        <v>77</v>
      </c>
      <c r="C492">
        <v>1</v>
      </c>
    </row>
    <row r="493" spans="1:3" x14ac:dyDescent="0.2">
      <c r="A493">
        <v>146</v>
      </c>
      <c r="B493">
        <v>78</v>
      </c>
      <c r="C493">
        <v>2</v>
      </c>
    </row>
    <row r="494" spans="1:3" x14ac:dyDescent="0.2">
      <c r="A494">
        <v>241</v>
      </c>
      <c r="B494">
        <v>78</v>
      </c>
      <c r="C494">
        <v>2</v>
      </c>
    </row>
    <row r="495" spans="1:3" x14ac:dyDescent="0.2">
      <c r="A495">
        <v>347</v>
      </c>
      <c r="B495">
        <v>78</v>
      </c>
      <c r="C495">
        <v>1</v>
      </c>
    </row>
    <row r="496" spans="1:3" x14ac:dyDescent="0.2">
      <c r="A496">
        <v>518</v>
      </c>
      <c r="B496">
        <v>78</v>
      </c>
      <c r="C496">
        <v>1</v>
      </c>
    </row>
    <row r="497" spans="1:3" x14ac:dyDescent="0.2">
      <c r="A497">
        <v>619</v>
      </c>
      <c r="B497">
        <v>78</v>
      </c>
      <c r="C497">
        <v>2</v>
      </c>
    </row>
    <row r="498" spans="1:3" x14ac:dyDescent="0.2">
      <c r="A498">
        <v>699</v>
      </c>
      <c r="B498">
        <v>78</v>
      </c>
      <c r="C498">
        <v>5</v>
      </c>
    </row>
    <row r="499" spans="1:3" x14ac:dyDescent="0.2">
      <c r="A499">
        <v>714</v>
      </c>
      <c r="B499">
        <v>78</v>
      </c>
      <c r="C499">
        <v>3</v>
      </c>
    </row>
    <row r="500" spans="1:3" x14ac:dyDescent="0.2">
      <c r="A500">
        <v>756</v>
      </c>
      <c r="B500">
        <v>78</v>
      </c>
      <c r="C500">
        <v>4</v>
      </c>
    </row>
    <row r="501" spans="1:3" x14ac:dyDescent="0.2">
      <c r="A501">
        <v>768</v>
      </c>
      <c r="B501">
        <v>78</v>
      </c>
      <c r="C501">
        <v>5</v>
      </c>
    </row>
    <row r="502" spans="1:3" x14ac:dyDescent="0.2">
      <c r="A502">
        <v>813</v>
      </c>
      <c r="B502">
        <v>78</v>
      </c>
      <c r="C502">
        <v>4</v>
      </c>
    </row>
    <row r="503" spans="1:3" x14ac:dyDescent="0.2">
      <c r="A503">
        <v>964</v>
      </c>
      <c r="B503">
        <v>78</v>
      </c>
      <c r="C503">
        <v>1</v>
      </c>
    </row>
    <row r="504" spans="1:3" x14ac:dyDescent="0.2">
      <c r="A504">
        <v>119</v>
      </c>
      <c r="B504">
        <v>79</v>
      </c>
      <c r="C504">
        <v>4</v>
      </c>
    </row>
    <row r="505" spans="1:3" x14ac:dyDescent="0.2">
      <c r="A505">
        <v>224</v>
      </c>
      <c r="B505">
        <v>79</v>
      </c>
      <c r="C505">
        <v>5</v>
      </c>
    </row>
    <row r="506" spans="1:3" x14ac:dyDescent="0.2">
      <c r="A506">
        <v>846</v>
      </c>
      <c r="B506">
        <v>79</v>
      </c>
      <c r="C506">
        <v>3</v>
      </c>
    </row>
    <row r="507" spans="1:3" x14ac:dyDescent="0.2">
      <c r="A507">
        <v>948</v>
      </c>
      <c r="B507">
        <v>79</v>
      </c>
      <c r="C507">
        <v>5</v>
      </c>
    </row>
    <row r="508" spans="1:3" x14ac:dyDescent="0.2">
      <c r="A508">
        <v>957</v>
      </c>
      <c r="B508">
        <v>79</v>
      </c>
      <c r="C508">
        <v>4</v>
      </c>
    </row>
    <row r="509" spans="1:3" x14ac:dyDescent="0.2">
      <c r="A509">
        <v>961</v>
      </c>
      <c r="B509">
        <v>79</v>
      </c>
      <c r="C509">
        <v>2</v>
      </c>
    </row>
    <row r="510" spans="1:3" x14ac:dyDescent="0.2">
      <c r="A510">
        <v>40</v>
      </c>
      <c r="B510">
        <v>80</v>
      </c>
      <c r="C510">
        <v>1</v>
      </c>
    </row>
    <row r="511" spans="1:3" x14ac:dyDescent="0.2">
      <c r="A511">
        <v>129</v>
      </c>
      <c r="B511">
        <v>80</v>
      </c>
      <c r="C511">
        <v>4</v>
      </c>
    </row>
    <row r="512" spans="1:3" x14ac:dyDescent="0.2">
      <c r="A512">
        <v>364</v>
      </c>
      <c r="B512">
        <v>80</v>
      </c>
      <c r="C512">
        <v>1</v>
      </c>
    </row>
    <row r="513" spans="1:3" x14ac:dyDescent="0.2">
      <c r="A513">
        <v>368</v>
      </c>
      <c r="B513">
        <v>80</v>
      </c>
      <c r="C513">
        <v>4</v>
      </c>
    </row>
    <row r="514" spans="1:3" x14ac:dyDescent="0.2">
      <c r="A514">
        <v>621</v>
      </c>
      <c r="B514">
        <v>80</v>
      </c>
      <c r="C514">
        <v>2</v>
      </c>
    </row>
    <row r="515" spans="1:3" x14ac:dyDescent="0.2">
      <c r="A515">
        <v>656</v>
      </c>
      <c r="B515">
        <v>80</v>
      </c>
      <c r="C515">
        <v>5</v>
      </c>
    </row>
    <row r="516" spans="1:3" x14ac:dyDescent="0.2">
      <c r="A516">
        <v>991</v>
      </c>
      <c r="B516">
        <v>80</v>
      </c>
      <c r="C516">
        <v>1</v>
      </c>
    </row>
    <row r="517" spans="1:3" x14ac:dyDescent="0.2">
      <c r="A517">
        <v>51</v>
      </c>
      <c r="B517">
        <v>81</v>
      </c>
      <c r="C517">
        <v>2</v>
      </c>
    </row>
    <row r="518" spans="1:3" x14ac:dyDescent="0.2">
      <c r="A518">
        <v>110</v>
      </c>
      <c r="B518">
        <v>81</v>
      </c>
      <c r="C518">
        <v>3</v>
      </c>
    </row>
    <row r="519" spans="1:3" x14ac:dyDescent="0.2">
      <c r="A519">
        <v>573</v>
      </c>
      <c r="B519">
        <v>81</v>
      </c>
      <c r="C519">
        <v>3</v>
      </c>
    </row>
    <row r="520" spans="1:3" x14ac:dyDescent="0.2">
      <c r="A520">
        <v>896</v>
      </c>
      <c r="B520">
        <v>81</v>
      </c>
      <c r="C520">
        <v>1</v>
      </c>
    </row>
    <row r="521" spans="1:3" x14ac:dyDescent="0.2">
      <c r="A521">
        <v>375</v>
      </c>
      <c r="B521">
        <v>82</v>
      </c>
      <c r="C521">
        <v>1</v>
      </c>
    </row>
    <row r="522" spans="1:3" x14ac:dyDescent="0.2">
      <c r="A522">
        <v>598</v>
      </c>
      <c r="B522">
        <v>82</v>
      </c>
      <c r="C522">
        <v>3</v>
      </c>
    </row>
    <row r="523" spans="1:3" x14ac:dyDescent="0.2">
      <c r="A523">
        <v>738</v>
      </c>
      <c r="B523">
        <v>82</v>
      </c>
      <c r="C523">
        <v>3</v>
      </c>
    </row>
    <row r="524" spans="1:3" x14ac:dyDescent="0.2">
      <c r="A524">
        <v>810</v>
      </c>
      <c r="B524">
        <v>82</v>
      </c>
      <c r="C524">
        <v>4</v>
      </c>
    </row>
    <row r="525" spans="1:3" x14ac:dyDescent="0.2">
      <c r="A525">
        <v>841</v>
      </c>
      <c r="B525">
        <v>82</v>
      </c>
      <c r="C525">
        <v>2</v>
      </c>
    </row>
    <row r="526" spans="1:3" x14ac:dyDescent="0.2">
      <c r="A526">
        <v>618</v>
      </c>
      <c r="B526">
        <v>83</v>
      </c>
      <c r="C526">
        <v>1</v>
      </c>
    </row>
    <row r="527" spans="1:3" x14ac:dyDescent="0.2">
      <c r="A527">
        <v>802</v>
      </c>
      <c r="B527">
        <v>83</v>
      </c>
      <c r="C527">
        <v>5</v>
      </c>
    </row>
    <row r="528" spans="1:3" x14ac:dyDescent="0.2">
      <c r="A528">
        <v>952</v>
      </c>
      <c r="B528">
        <v>83</v>
      </c>
      <c r="C528">
        <v>2</v>
      </c>
    </row>
    <row r="529" spans="1:3" x14ac:dyDescent="0.2">
      <c r="A529">
        <v>46</v>
      </c>
      <c r="B529">
        <v>84</v>
      </c>
      <c r="C529">
        <v>4</v>
      </c>
    </row>
    <row r="530" spans="1:3" x14ac:dyDescent="0.2">
      <c r="A530">
        <v>225</v>
      </c>
      <c r="B530">
        <v>84</v>
      </c>
      <c r="C530">
        <v>3</v>
      </c>
    </row>
    <row r="531" spans="1:3" x14ac:dyDescent="0.2">
      <c r="A531">
        <v>247</v>
      </c>
      <c r="B531">
        <v>84</v>
      </c>
      <c r="C531">
        <v>3</v>
      </c>
    </row>
    <row r="532" spans="1:3" x14ac:dyDescent="0.2">
      <c r="A532">
        <v>492</v>
      </c>
      <c r="B532">
        <v>84</v>
      </c>
      <c r="C532">
        <v>4</v>
      </c>
    </row>
    <row r="533" spans="1:3" x14ac:dyDescent="0.2">
      <c r="A533">
        <v>553</v>
      </c>
      <c r="B533">
        <v>84</v>
      </c>
      <c r="C533">
        <v>5</v>
      </c>
    </row>
    <row r="534" spans="1:3" x14ac:dyDescent="0.2">
      <c r="A534">
        <v>928</v>
      </c>
      <c r="B534">
        <v>84</v>
      </c>
      <c r="C534">
        <v>5</v>
      </c>
    </row>
    <row r="535" spans="1:3" x14ac:dyDescent="0.2">
      <c r="A535">
        <v>13</v>
      </c>
      <c r="B535">
        <v>85</v>
      </c>
      <c r="C535">
        <v>5</v>
      </c>
    </row>
    <row r="536" spans="1:3" x14ac:dyDescent="0.2">
      <c r="A536">
        <v>223</v>
      </c>
      <c r="B536">
        <v>85</v>
      </c>
      <c r="C536">
        <v>5</v>
      </c>
    </row>
    <row r="537" spans="1:3" x14ac:dyDescent="0.2">
      <c r="A537">
        <v>527</v>
      </c>
      <c r="B537">
        <v>85</v>
      </c>
      <c r="C537">
        <v>2</v>
      </c>
    </row>
    <row r="538" spans="1:3" x14ac:dyDescent="0.2">
      <c r="A538">
        <v>571</v>
      </c>
      <c r="B538">
        <v>85</v>
      </c>
      <c r="C538">
        <v>1</v>
      </c>
    </row>
    <row r="539" spans="1:3" x14ac:dyDescent="0.2">
      <c r="A539">
        <v>817</v>
      </c>
      <c r="B539">
        <v>85</v>
      </c>
      <c r="C539">
        <v>3</v>
      </c>
    </row>
    <row r="540" spans="1:3" x14ac:dyDescent="0.2">
      <c r="A540">
        <v>828</v>
      </c>
      <c r="B540">
        <v>85</v>
      </c>
      <c r="C540">
        <v>3</v>
      </c>
    </row>
    <row r="541" spans="1:3" x14ac:dyDescent="0.2">
      <c r="A541">
        <v>844</v>
      </c>
      <c r="B541">
        <v>85</v>
      </c>
      <c r="C541">
        <v>1</v>
      </c>
    </row>
    <row r="542" spans="1:3" x14ac:dyDescent="0.2">
      <c r="A542">
        <v>854</v>
      </c>
      <c r="B542">
        <v>85</v>
      </c>
      <c r="C542">
        <v>4</v>
      </c>
    </row>
    <row r="543" spans="1:3" x14ac:dyDescent="0.2">
      <c r="A543">
        <v>16</v>
      </c>
      <c r="B543">
        <v>86</v>
      </c>
      <c r="C543">
        <v>4</v>
      </c>
    </row>
    <row r="544" spans="1:3" x14ac:dyDescent="0.2">
      <c r="A544">
        <v>17</v>
      </c>
      <c r="B544">
        <v>86</v>
      </c>
      <c r="C544">
        <v>2</v>
      </c>
    </row>
    <row r="545" spans="1:3" x14ac:dyDescent="0.2">
      <c r="A545">
        <v>23</v>
      </c>
      <c r="B545">
        <v>86</v>
      </c>
      <c r="C545">
        <v>5</v>
      </c>
    </row>
    <row r="546" spans="1:3" x14ac:dyDescent="0.2">
      <c r="A546">
        <v>104</v>
      </c>
      <c r="B546">
        <v>86</v>
      </c>
      <c r="C546">
        <v>1</v>
      </c>
    </row>
    <row r="547" spans="1:3" x14ac:dyDescent="0.2">
      <c r="A547">
        <v>185</v>
      </c>
      <c r="B547">
        <v>86</v>
      </c>
      <c r="C547">
        <v>4</v>
      </c>
    </row>
    <row r="548" spans="1:3" x14ac:dyDescent="0.2">
      <c r="A548">
        <v>219</v>
      </c>
      <c r="B548">
        <v>86</v>
      </c>
      <c r="C548">
        <v>5</v>
      </c>
    </row>
    <row r="549" spans="1:3" x14ac:dyDescent="0.2">
      <c r="A549">
        <v>525</v>
      </c>
      <c r="B549">
        <v>86</v>
      </c>
      <c r="C549">
        <v>1</v>
      </c>
    </row>
    <row r="550" spans="1:3" x14ac:dyDescent="0.2">
      <c r="A550">
        <v>668</v>
      </c>
      <c r="B550">
        <v>86</v>
      </c>
      <c r="C550">
        <v>1</v>
      </c>
    </row>
    <row r="551" spans="1:3" x14ac:dyDescent="0.2">
      <c r="A551">
        <v>798</v>
      </c>
      <c r="B551">
        <v>86</v>
      </c>
      <c r="C551">
        <v>5</v>
      </c>
    </row>
    <row r="552" spans="1:3" x14ac:dyDescent="0.2">
      <c r="A552">
        <v>909</v>
      </c>
      <c r="B552">
        <v>86</v>
      </c>
      <c r="C552">
        <v>5</v>
      </c>
    </row>
    <row r="553" spans="1:3" x14ac:dyDescent="0.2">
      <c r="A553">
        <v>222</v>
      </c>
      <c r="B553">
        <v>87</v>
      </c>
      <c r="C553">
        <v>4</v>
      </c>
    </row>
    <row r="554" spans="1:3" x14ac:dyDescent="0.2">
      <c r="A554">
        <v>323</v>
      </c>
      <c r="B554">
        <v>87</v>
      </c>
      <c r="C554">
        <v>2</v>
      </c>
    </row>
    <row r="555" spans="1:3" x14ac:dyDescent="0.2">
      <c r="A555">
        <v>680</v>
      </c>
      <c r="B555">
        <v>87</v>
      </c>
      <c r="C555">
        <v>1</v>
      </c>
    </row>
    <row r="556" spans="1:3" x14ac:dyDescent="0.2">
      <c r="A556">
        <v>831</v>
      </c>
      <c r="B556">
        <v>87</v>
      </c>
      <c r="C556">
        <v>1</v>
      </c>
    </row>
    <row r="557" spans="1:3" x14ac:dyDescent="0.2">
      <c r="A557">
        <v>840</v>
      </c>
      <c r="B557">
        <v>87</v>
      </c>
      <c r="C557">
        <v>1</v>
      </c>
    </row>
    <row r="558" spans="1:3" x14ac:dyDescent="0.2">
      <c r="A558">
        <v>914</v>
      </c>
      <c r="B558">
        <v>87</v>
      </c>
      <c r="C558">
        <v>3</v>
      </c>
    </row>
    <row r="559" spans="1:3" x14ac:dyDescent="0.2">
      <c r="A559">
        <v>49</v>
      </c>
      <c r="B559">
        <v>88</v>
      </c>
      <c r="C559">
        <v>4</v>
      </c>
    </row>
    <row r="560" spans="1:3" x14ac:dyDescent="0.2">
      <c r="A560">
        <v>89</v>
      </c>
      <c r="B560">
        <v>88</v>
      </c>
      <c r="C560">
        <v>4</v>
      </c>
    </row>
    <row r="561" spans="1:3" x14ac:dyDescent="0.2">
      <c r="A561">
        <v>170</v>
      </c>
      <c r="B561">
        <v>88</v>
      </c>
      <c r="C561">
        <v>4</v>
      </c>
    </row>
    <row r="562" spans="1:3" x14ac:dyDescent="0.2">
      <c r="A562">
        <v>212</v>
      </c>
      <c r="B562">
        <v>88</v>
      </c>
      <c r="C562">
        <v>3</v>
      </c>
    </row>
    <row r="563" spans="1:3" x14ac:dyDescent="0.2">
      <c r="A563">
        <v>328</v>
      </c>
      <c r="B563">
        <v>88</v>
      </c>
      <c r="C563">
        <v>4</v>
      </c>
    </row>
    <row r="564" spans="1:3" x14ac:dyDescent="0.2">
      <c r="A564">
        <v>333</v>
      </c>
      <c r="B564">
        <v>88</v>
      </c>
      <c r="C564">
        <v>4</v>
      </c>
    </row>
    <row r="565" spans="1:3" x14ac:dyDescent="0.2">
      <c r="A565">
        <v>370</v>
      </c>
      <c r="B565">
        <v>88</v>
      </c>
      <c r="C565">
        <v>4</v>
      </c>
    </row>
    <row r="566" spans="1:3" x14ac:dyDescent="0.2">
      <c r="A566">
        <v>540</v>
      </c>
      <c r="B566">
        <v>88</v>
      </c>
      <c r="C566">
        <v>2</v>
      </c>
    </row>
    <row r="567" spans="1:3" x14ac:dyDescent="0.2">
      <c r="A567">
        <v>659</v>
      </c>
      <c r="B567">
        <v>88</v>
      </c>
      <c r="C567">
        <v>4</v>
      </c>
    </row>
    <row r="568" spans="1:3" x14ac:dyDescent="0.2">
      <c r="A568">
        <v>750</v>
      </c>
      <c r="B568">
        <v>88</v>
      </c>
      <c r="C568">
        <v>4</v>
      </c>
    </row>
    <row r="569" spans="1:3" x14ac:dyDescent="0.2">
      <c r="A569">
        <v>880</v>
      </c>
      <c r="B569">
        <v>88</v>
      </c>
      <c r="C569">
        <v>4</v>
      </c>
    </row>
    <row r="570" spans="1:3" x14ac:dyDescent="0.2">
      <c r="A570">
        <v>150</v>
      </c>
      <c r="B570">
        <v>89</v>
      </c>
      <c r="C570">
        <v>3</v>
      </c>
    </row>
    <row r="571" spans="1:3" x14ac:dyDescent="0.2">
      <c r="A571">
        <v>152</v>
      </c>
      <c r="B571">
        <v>89</v>
      </c>
      <c r="C571">
        <v>3</v>
      </c>
    </row>
    <row r="572" spans="1:3" x14ac:dyDescent="0.2">
      <c r="A572">
        <v>386</v>
      </c>
      <c r="B572">
        <v>89</v>
      </c>
      <c r="C572">
        <v>2</v>
      </c>
    </row>
    <row r="573" spans="1:3" x14ac:dyDescent="0.2">
      <c r="A573">
        <v>443</v>
      </c>
      <c r="B573">
        <v>89</v>
      </c>
      <c r="C573">
        <v>5</v>
      </c>
    </row>
    <row r="574" spans="1:3" x14ac:dyDescent="0.2">
      <c r="A574">
        <v>450</v>
      </c>
      <c r="B574">
        <v>89</v>
      </c>
      <c r="C574">
        <v>5</v>
      </c>
    </row>
    <row r="575" spans="1:3" x14ac:dyDescent="0.2">
      <c r="A575">
        <v>489</v>
      </c>
      <c r="B575">
        <v>89</v>
      </c>
      <c r="C575">
        <v>2</v>
      </c>
    </row>
    <row r="576" spans="1:3" x14ac:dyDescent="0.2">
      <c r="A576">
        <v>589</v>
      </c>
      <c r="B576">
        <v>89</v>
      </c>
      <c r="C576">
        <v>3</v>
      </c>
    </row>
    <row r="577" spans="1:3" x14ac:dyDescent="0.2">
      <c r="A577">
        <v>623</v>
      </c>
      <c r="B577">
        <v>89</v>
      </c>
      <c r="C577">
        <v>4</v>
      </c>
    </row>
    <row r="578" spans="1:3" x14ac:dyDescent="0.2">
      <c r="A578">
        <v>698</v>
      </c>
      <c r="B578">
        <v>89</v>
      </c>
      <c r="C578">
        <v>4</v>
      </c>
    </row>
    <row r="579" spans="1:3" x14ac:dyDescent="0.2">
      <c r="A579">
        <v>950</v>
      </c>
      <c r="B579">
        <v>89</v>
      </c>
      <c r="C579">
        <v>3</v>
      </c>
    </row>
    <row r="580" spans="1:3" x14ac:dyDescent="0.2">
      <c r="A580">
        <v>973</v>
      </c>
      <c r="B580">
        <v>89</v>
      </c>
      <c r="C580">
        <v>4</v>
      </c>
    </row>
    <row r="581" spans="1:3" x14ac:dyDescent="0.2">
      <c r="A581">
        <v>174</v>
      </c>
      <c r="B581">
        <v>90</v>
      </c>
      <c r="C581">
        <v>3</v>
      </c>
    </row>
    <row r="582" spans="1:3" x14ac:dyDescent="0.2">
      <c r="A582">
        <v>326</v>
      </c>
      <c r="B582">
        <v>90</v>
      </c>
      <c r="C582">
        <v>5</v>
      </c>
    </row>
    <row r="583" spans="1:3" x14ac:dyDescent="0.2">
      <c r="A583">
        <v>346</v>
      </c>
      <c r="B583">
        <v>90</v>
      </c>
      <c r="C583">
        <v>5</v>
      </c>
    </row>
    <row r="584" spans="1:3" x14ac:dyDescent="0.2">
      <c r="A584">
        <v>377</v>
      </c>
      <c r="B584">
        <v>90</v>
      </c>
      <c r="C584">
        <v>4</v>
      </c>
    </row>
    <row r="585" spans="1:3" x14ac:dyDescent="0.2">
      <c r="A585">
        <v>474</v>
      </c>
      <c r="B585">
        <v>90</v>
      </c>
      <c r="C585">
        <v>2</v>
      </c>
    </row>
    <row r="586" spans="1:3" x14ac:dyDescent="0.2">
      <c r="A586">
        <v>634</v>
      </c>
      <c r="B586">
        <v>90</v>
      </c>
      <c r="C586">
        <v>2</v>
      </c>
    </row>
    <row r="587" spans="1:3" x14ac:dyDescent="0.2">
      <c r="A587">
        <v>708</v>
      </c>
      <c r="B587">
        <v>90</v>
      </c>
      <c r="C587">
        <v>2</v>
      </c>
    </row>
    <row r="588" spans="1:3" x14ac:dyDescent="0.2">
      <c r="A588">
        <v>808</v>
      </c>
      <c r="B588">
        <v>90</v>
      </c>
      <c r="C588">
        <v>1</v>
      </c>
    </row>
    <row r="589" spans="1:3" x14ac:dyDescent="0.2">
      <c r="A589">
        <v>156</v>
      </c>
      <c r="B589">
        <v>91</v>
      </c>
      <c r="C589">
        <v>2</v>
      </c>
    </row>
    <row r="590" spans="1:3" x14ac:dyDescent="0.2">
      <c r="A590">
        <v>268</v>
      </c>
      <c r="B590">
        <v>91</v>
      </c>
      <c r="C590">
        <v>2</v>
      </c>
    </row>
    <row r="591" spans="1:3" x14ac:dyDescent="0.2">
      <c r="A591">
        <v>436</v>
      </c>
      <c r="B591">
        <v>91</v>
      </c>
      <c r="C591">
        <v>5</v>
      </c>
    </row>
    <row r="592" spans="1:3" x14ac:dyDescent="0.2">
      <c r="A592">
        <v>710</v>
      </c>
      <c r="B592">
        <v>91</v>
      </c>
      <c r="C592">
        <v>5</v>
      </c>
    </row>
    <row r="593" spans="1:3" x14ac:dyDescent="0.2">
      <c r="A593">
        <v>70</v>
      </c>
      <c r="B593">
        <v>92</v>
      </c>
      <c r="C593">
        <v>1</v>
      </c>
    </row>
    <row r="594" spans="1:3" x14ac:dyDescent="0.2">
      <c r="A594">
        <v>166</v>
      </c>
      <c r="B594">
        <v>92</v>
      </c>
      <c r="C594">
        <v>3</v>
      </c>
    </row>
    <row r="595" spans="1:3" x14ac:dyDescent="0.2">
      <c r="A595">
        <v>503</v>
      </c>
      <c r="B595">
        <v>92</v>
      </c>
      <c r="C595">
        <v>5</v>
      </c>
    </row>
    <row r="596" spans="1:3" x14ac:dyDescent="0.2">
      <c r="A596">
        <v>532</v>
      </c>
      <c r="B596">
        <v>92</v>
      </c>
      <c r="C596">
        <v>1</v>
      </c>
    </row>
    <row r="597" spans="1:3" x14ac:dyDescent="0.2">
      <c r="A597">
        <v>784</v>
      </c>
      <c r="B597">
        <v>92</v>
      </c>
      <c r="C597">
        <v>4</v>
      </c>
    </row>
    <row r="598" spans="1:3" x14ac:dyDescent="0.2">
      <c r="A598">
        <v>849</v>
      </c>
      <c r="B598">
        <v>92</v>
      </c>
      <c r="C598">
        <v>4</v>
      </c>
    </row>
    <row r="599" spans="1:3" x14ac:dyDescent="0.2">
      <c r="A599">
        <v>893</v>
      </c>
      <c r="B599">
        <v>92</v>
      </c>
      <c r="C599">
        <v>2</v>
      </c>
    </row>
    <row r="600" spans="1:3" x14ac:dyDescent="0.2">
      <c r="A600">
        <v>971</v>
      </c>
      <c r="B600">
        <v>92</v>
      </c>
      <c r="C600">
        <v>1</v>
      </c>
    </row>
    <row r="601" spans="1:3" x14ac:dyDescent="0.2">
      <c r="A601">
        <v>109</v>
      </c>
      <c r="B601">
        <v>93</v>
      </c>
      <c r="C601">
        <v>2</v>
      </c>
    </row>
    <row r="602" spans="1:3" x14ac:dyDescent="0.2">
      <c r="A602">
        <v>558</v>
      </c>
      <c r="B602">
        <v>93</v>
      </c>
      <c r="C602">
        <v>5</v>
      </c>
    </row>
    <row r="603" spans="1:3" x14ac:dyDescent="0.2">
      <c r="A603">
        <v>662</v>
      </c>
      <c r="B603">
        <v>93</v>
      </c>
      <c r="C603">
        <v>5</v>
      </c>
    </row>
    <row r="604" spans="1:3" x14ac:dyDescent="0.2">
      <c r="A604">
        <v>789</v>
      </c>
      <c r="B604">
        <v>93</v>
      </c>
      <c r="C604">
        <v>2</v>
      </c>
    </row>
    <row r="605" spans="1:3" x14ac:dyDescent="0.2">
      <c r="A605">
        <v>938</v>
      </c>
      <c r="B605">
        <v>93</v>
      </c>
      <c r="C605">
        <v>4</v>
      </c>
    </row>
    <row r="606" spans="1:3" x14ac:dyDescent="0.2">
      <c r="A606">
        <v>82</v>
      </c>
      <c r="B606">
        <v>94</v>
      </c>
      <c r="C606">
        <v>2</v>
      </c>
    </row>
    <row r="607" spans="1:3" x14ac:dyDescent="0.2">
      <c r="A607">
        <v>160</v>
      </c>
      <c r="B607">
        <v>94</v>
      </c>
      <c r="C607">
        <v>2</v>
      </c>
    </row>
    <row r="608" spans="1:3" x14ac:dyDescent="0.2">
      <c r="A608">
        <v>400</v>
      </c>
      <c r="B608">
        <v>94</v>
      </c>
      <c r="C608">
        <v>4</v>
      </c>
    </row>
    <row r="609" spans="1:3" x14ac:dyDescent="0.2">
      <c r="A609">
        <v>511</v>
      </c>
      <c r="B609">
        <v>94</v>
      </c>
      <c r="C609">
        <v>5</v>
      </c>
    </row>
    <row r="610" spans="1:3" x14ac:dyDescent="0.2">
      <c r="A610">
        <v>544</v>
      </c>
      <c r="B610">
        <v>94</v>
      </c>
      <c r="C610">
        <v>5</v>
      </c>
    </row>
    <row r="611" spans="1:3" x14ac:dyDescent="0.2">
      <c r="A611">
        <v>605</v>
      </c>
      <c r="B611">
        <v>94</v>
      </c>
      <c r="C611">
        <v>5</v>
      </c>
    </row>
    <row r="612" spans="1:3" x14ac:dyDescent="0.2">
      <c r="A612">
        <v>847</v>
      </c>
      <c r="B612">
        <v>94</v>
      </c>
      <c r="C612">
        <v>2</v>
      </c>
    </row>
    <row r="613" spans="1:3" x14ac:dyDescent="0.2">
      <c r="A613">
        <v>246</v>
      </c>
      <c r="B613">
        <v>95</v>
      </c>
      <c r="C613">
        <v>3</v>
      </c>
    </row>
    <row r="614" spans="1:3" x14ac:dyDescent="0.2">
      <c r="A614">
        <v>318</v>
      </c>
      <c r="B614">
        <v>95</v>
      </c>
      <c r="C614">
        <v>5</v>
      </c>
    </row>
    <row r="615" spans="1:3" x14ac:dyDescent="0.2">
      <c r="A615">
        <v>751</v>
      </c>
      <c r="B615">
        <v>95</v>
      </c>
      <c r="C615">
        <v>4</v>
      </c>
    </row>
    <row r="616" spans="1:3" x14ac:dyDescent="0.2">
      <c r="A616">
        <v>763</v>
      </c>
      <c r="B616">
        <v>95</v>
      </c>
      <c r="C616">
        <v>1</v>
      </c>
    </row>
    <row r="617" spans="1:3" x14ac:dyDescent="0.2">
      <c r="A617">
        <v>796</v>
      </c>
      <c r="B617">
        <v>95</v>
      </c>
      <c r="C617">
        <v>5</v>
      </c>
    </row>
    <row r="618" spans="1:3" x14ac:dyDescent="0.2">
      <c r="A618">
        <v>20</v>
      </c>
      <c r="B618">
        <v>96</v>
      </c>
      <c r="C618">
        <v>4</v>
      </c>
    </row>
    <row r="619" spans="1:3" x14ac:dyDescent="0.2">
      <c r="A619">
        <v>98</v>
      </c>
      <c r="B619">
        <v>96</v>
      </c>
      <c r="C619">
        <v>3</v>
      </c>
    </row>
    <row r="620" spans="1:3" x14ac:dyDescent="0.2">
      <c r="A620">
        <v>124</v>
      </c>
      <c r="B620">
        <v>96</v>
      </c>
      <c r="C620">
        <v>3</v>
      </c>
    </row>
    <row r="621" spans="1:3" x14ac:dyDescent="0.2">
      <c r="A621">
        <v>181</v>
      </c>
      <c r="B621">
        <v>96</v>
      </c>
      <c r="C621">
        <v>3</v>
      </c>
    </row>
    <row r="622" spans="1:3" x14ac:dyDescent="0.2">
      <c r="A622">
        <v>334</v>
      </c>
      <c r="B622">
        <v>96</v>
      </c>
      <c r="C622">
        <v>3</v>
      </c>
    </row>
    <row r="623" spans="1:3" x14ac:dyDescent="0.2">
      <c r="A623">
        <v>394</v>
      </c>
      <c r="B623">
        <v>96</v>
      </c>
      <c r="C623">
        <v>4</v>
      </c>
    </row>
    <row r="624" spans="1:3" x14ac:dyDescent="0.2">
      <c r="A624">
        <v>517</v>
      </c>
      <c r="B624">
        <v>96</v>
      </c>
      <c r="C624">
        <v>3</v>
      </c>
    </row>
    <row r="625" spans="1:3" x14ac:dyDescent="0.2">
      <c r="A625">
        <v>955</v>
      </c>
      <c r="B625">
        <v>96</v>
      </c>
      <c r="C625">
        <v>3</v>
      </c>
    </row>
    <row r="626" spans="1:3" x14ac:dyDescent="0.2">
      <c r="A626">
        <v>88</v>
      </c>
      <c r="B626">
        <v>97</v>
      </c>
      <c r="C626">
        <v>5</v>
      </c>
    </row>
    <row r="627" spans="1:3" x14ac:dyDescent="0.2">
      <c r="A627">
        <v>362</v>
      </c>
      <c r="B627">
        <v>97</v>
      </c>
      <c r="C627">
        <v>3</v>
      </c>
    </row>
    <row r="628" spans="1:3" x14ac:dyDescent="0.2">
      <c r="A628">
        <v>379</v>
      </c>
      <c r="B628">
        <v>97</v>
      </c>
      <c r="C628">
        <v>2</v>
      </c>
    </row>
    <row r="629" spans="1:3" x14ac:dyDescent="0.2">
      <c r="A629">
        <v>510</v>
      </c>
      <c r="B629">
        <v>97</v>
      </c>
      <c r="C629">
        <v>3</v>
      </c>
    </row>
    <row r="630" spans="1:3" x14ac:dyDescent="0.2">
      <c r="A630">
        <v>916</v>
      </c>
      <c r="B630">
        <v>97</v>
      </c>
      <c r="C630">
        <v>2</v>
      </c>
    </row>
    <row r="631" spans="1:3" x14ac:dyDescent="0.2">
      <c r="A631">
        <v>63</v>
      </c>
      <c r="B631">
        <v>98</v>
      </c>
      <c r="C631">
        <v>4</v>
      </c>
    </row>
    <row r="632" spans="1:3" x14ac:dyDescent="0.2">
      <c r="A632">
        <v>130</v>
      </c>
      <c r="B632">
        <v>98</v>
      </c>
      <c r="C632">
        <v>5</v>
      </c>
    </row>
    <row r="633" spans="1:3" x14ac:dyDescent="0.2">
      <c r="A633">
        <v>136</v>
      </c>
      <c r="B633">
        <v>98</v>
      </c>
      <c r="C633">
        <v>3</v>
      </c>
    </row>
    <row r="634" spans="1:3" x14ac:dyDescent="0.2">
      <c r="A634">
        <v>235</v>
      </c>
      <c r="B634">
        <v>98</v>
      </c>
      <c r="C634">
        <v>4</v>
      </c>
    </row>
    <row r="635" spans="1:3" x14ac:dyDescent="0.2">
      <c r="A635">
        <v>304</v>
      </c>
      <c r="B635">
        <v>98</v>
      </c>
      <c r="C635">
        <v>1</v>
      </c>
    </row>
    <row r="636" spans="1:3" x14ac:dyDescent="0.2">
      <c r="A636">
        <v>308</v>
      </c>
      <c r="B636">
        <v>98</v>
      </c>
      <c r="C636">
        <v>1</v>
      </c>
    </row>
    <row r="637" spans="1:3" x14ac:dyDescent="0.2">
      <c r="A637">
        <v>419</v>
      </c>
      <c r="B637">
        <v>98</v>
      </c>
      <c r="C637">
        <v>5</v>
      </c>
    </row>
    <row r="638" spans="1:3" x14ac:dyDescent="0.2">
      <c r="A638">
        <v>508</v>
      </c>
      <c r="B638">
        <v>98</v>
      </c>
      <c r="C638">
        <v>5</v>
      </c>
    </row>
    <row r="639" spans="1:3" x14ac:dyDescent="0.2">
      <c r="A639">
        <v>536</v>
      </c>
      <c r="B639">
        <v>98</v>
      </c>
      <c r="C639">
        <v>2</v>
      </c>
    </row>
    <row r="640" spans="1:3" x14ac:dyDescent="0.2">
      <c r="A640">
        <v>611</v>
      </c>
      <c r="B640">
        <v>98</v>
      </c>
      <c r="C640">
        <v>4</v>
      </c>
    </row>
    <row r="641" spans="1:3" x14ac:dyDescent="0.2">
      <c r="A641">
        <v>650</v>
      </c>
      <c r="B641">
        <v>98</v>
      </c>
      <c r="C641">
        <v>1</v>
      </c>
    </row>
    <row r="642" spans="1:3" x14ac:dyDescent="0.2">
      <c r="A642">
        <v>685</v>
      </c>
      <c r="B642">
        <v>98</v>
      </c>
      <c r="C642">
        <v>4</v>
      </c>
    </row>
    <row r="643" spans="1:3" x14ac:dyDescent="0.2">
      <c r="A643">
        <v>52</v>
      </c>
      <c r="B643">
        <v>99</v>
      </c>
      <c r="C643">
        <v>3</v>
      </c>
    </row>
    <row r="644" spans="1:3" x14ac:dyDescent="0.2">
      <c r="A644">
        <v>53</v>
      </c>
      <c r="B644">
        <v>99</v>
      </c>
      <c r="C644">
        <v>4</v>
      </c>
    </row>
    <row r="645" spans="1:3" x14ac:dyDescent="0.2">
      <c r="A645">
        <v>297</v>
      </c>
      <c r="B645">
        <v>99</v>
      </c>
      <c r="C645">
        <v>4</v>
      </c>
    </row>
    <row r="646" spans="1:3" x14ac:dyDescent="0.2">
      <c r="A646">
        <v>550</v>
      </c>
      <c r="B646">
        <v>99</v>
      </c>
      <c r="C646">
        <v>3</v>
      </c>
    </row>
    <row r="647" spans="1:3" x14ac:dyDescent="0.2">
      <c r="A647">
        <v>779</v>
      </c>
      <c r="B647">
        <v>99</v>
      </c>
      <c r="C647">
        <v>5</v>
      </c>
    </row>
    <row r="648" spans="1:3" x14ac:dyDescent="0.2">
      <c r="A648">
        <v>2</v>
      </c>
      <c r="B648">
        <v>100</v>
      </c>
      <c r="C648">
        <v>4</v>
      </c>
    </row>
    <row r="649" spans="1:3" x14ac:dyDescent="0.2">
      <c r="A649">
        <v>570</v>
      </c>
      <c r="B649">
        <v>100</v>
      </c>
      <c r="C649">
        <v>1</v>
      </c>
    </row>
    <row r="650" spans="1:3" x14ac:dyDescent="0.2">
      <c r="A650">
        <v>690</v>
      </c>
      <c r="B650">
        <v>100</v>
      </c>
      <c r="C650">
        <v>4</v>
      </c>
    </row>
    <row r="651" spans="1:3" x14ac:dyDescent="0.2">
      <c r="A651">
        <v>730</v>
      </c>
      <c r="B651">
        <v>100</v>
      </c>
      <c r="C651">
        <v>5</v>
      </c>
    </row>
    <row r="652" spans="1:3" x14ac:dyDescent="0.2">
      <c r="A652">
        <v>428</v>
      </c>
      <c r="B652">
        <v>101</v>
      </c>
      <c r="C652">
        <v>3</v>
      </c>
    </row>
    <row r="653" spans="1:3" x14ac:dyDescent="0.2">
      <c r="A653">
        <v>476</v>
      </c>
      <c r="B653">
        <v>101</v>
      </c>
      <c r="C653">
        <v>5</v>
      </c>
    </row>
    <row r="654" spans="1:3" x14ac:dyDescent="0.2">
      <c r="A654">
        <v>478</v>
      </c>
      <c r="B654">
        <v>101</v>
      </c>
      <c r="C654">
        <v>2</v>
      </c>
    </row>
    <row r="655" spans="1:3" x14ac:dyDescent="0.2">
      <c r="A655">
        <v>548</v>
      </c>
      <c r="B655">
        <v>101</v>
      </c>
      <c r="C655">
        <v>5</v>
      </c>
    </row>
    <row r="656" spans="1:3" x14ac:dyDescent="0.2">
      <c r="A656">
        <v>617</v>
      </c>
      <c r="B656">
        <v>101</v>
      </c>
      <c r="C656">
        <v>5</v>
      </c>
    </row>
    <row r="657" spans="1:3" x14ac:dyDescent="0.2">
      <c r="A657">
        <v>658</v>
      </c>
      <c r="B657">
        <v>101</v>
      </c>
      <c r="C657">
        <v>5</v>
      </c>
    </row>
    <row r="658" spans="1:3" x14ac:dyDescent="0.2">
      <c r="A658">
        <v>713</v>
      </c>
      <c r="B658">
        <v>101</v>
      </c>
      <c r="C658">
        <v>1</v>
      </c>
    </row>
    <row r="659" spans="1:3" x14ac:dyDescent="0.2">
      <c r="A659">
        <v>771</v>
      </c>
      <c r="B659">
        <v>101</v>
      </c>
      <c r="C659">
        <v>5</v>
      </c>
    </row>
    <row r="660" spans="1:3" x14ac:dyDescent="0.2">
      <c r="A660">
        <v>939</v>
      </c>
      <c r="B660">
        <v>101</v>
      </c>
      <c r="C660">
        <v>3</v>
      </c>
    </row>
    <row r="661" spans="1:3" x14ac:dyDescent="0.2">
      <c r="A661">
        <v>79</v>
      </c>
      <c r="B661">
        <v>102</v>
      </c>
      <c r="C661">
        <v>1</v>
      </c>
    </row>
    <row r="662" spans="1:3" x14ac:dyDescent="0.2">
      <c r="A662">
        <v>821</v>
      </c>
      <c r="B662">
        <v>102</v>
      </c>
      <c r="C662">
        <v>2</v>
      </c>
    </row>
    <row r="663" spans="1:3" x14ac:dyDescent="0.2">
      <c r="A663">
        <v>870</v>
      </c>
      <c r="B663">
        <v>102</v>
      </c>
      <c r="C663">
        <v>2</v>
      </c>
    </row>
    <row r="664" spans="1:3" x14ac:dyDescent="0.2">
      <c r="A664">
        <v>981</v>
      </c>
      <c r="B664">
        <v>102</v>
      </c>
      <c r="C664">
        <v>3</v>
      </c>
    </row>
    <row r="665" spans="1:3" x14ac:dyDescent="0.2">
      <c r="A665">
        <v>35</v>
      </c>
      <c r="B665">
        <v>103</v>
      </c>
      <c r="C665">
        <v>3</v>
      </c>
    </row>
    <row r="666" spans="1:3" x14ac:dyDescent="0.2">
      <c r="A666">
        <v>486</v>
      </c>
      <c r="B666">
        <v>103</v>
      </c>
      <c r="C666">
        <v>3</v>
      </c>
    </row>
    <row r="667" spans="1:3" x14ac:dyDescent="0.2">
      <c r="A667">
        <v>627</v>
      </c>
      <c r="B667">
        <v>103</v>
      </c>
      <c r="C667">
        <v>4</v>
      </c>
    </row>
    <row r="668" spans="1:3" x14ac:dyDescent="0.2">
      <c r="A668">
        <v>691</v>
      </c>
      <c r="B668">
        <v>103</v>
      </c>
      <c r="C668">
        <v>1</v>
      </c>
    </row>
    <row r="669" spans="1:3" x14ac:dyDescent="0.2">
      <c r="A669">
        <v>797</v>
      </c>
      <c r="B669">
        <v>103</v>
      </c>
      <c r="C669">
        <v>2</v>
      </c>
    </row>
    <row r="670" spans="1:3" x14ac:dyDescent="0.2">
      <c r="A670">
        <v>162</v>
      </c>
      <c r="B670">
        <v>104</v>
      </c>
      <c r="C670">
        <v>5</v>
      </c>
    </row>
    <row r="671" spans="1:3" x14ac:dyDescent="0.2">
      <c r="A671">
        <v>211</v>
      </c>
      <c r="B671">
        <v>104</v>
      </c>
      <c r="C671">
        <v>5</v>
      </c>
    </row>
    <row r="672" spans="1:3" x14ac:dyDescent="0.2">
      <c r="A672">
        <v>283</v>
      </c>
      <c r="B672">
        <v>104</v>
      </c>
      <c r="C672">
        <v>2</v>
      </c>
    </row>
    <row r="673" spans="1:3" x14ac:dyDescent="0.2">
      <c r="A673">
        <v>452</v>
      </c>
      <c r="B673">
        <v>104</v>
      </c>
      <c r="C673">
        <v>4</v>
      </c>
    </row>
    <row r="674" spans="1:3" x14ac:dyDescent="0.2">
      <c r="A674">
        <v>526</v>
      </c>
      <c r="B674">
        <v>104</v>
      </c>
      <c r="C674">
        <v>1</v>
      </c>
    </row>
    <row r="675" spans="1:3" x14ac:dyDescent="0.2">
      <c r="A675">
        <v>783</v>
      </c>
      <c r="B675">
        <v>104</v>
      </c>
      <c r="C675">
        <v>3</v>
      </c>
    </row>
    <row r="676" spans="1:3" x14ac:dyDescent="0.2">
      <c r="A676">
        <v>979</v>
      </c>
      <c r="B676">
        <v>104</v>
      </c>
      <c r="C676">
        <v>4</v>
      </c>
    </row>
    <row r="677" spans="1:3" x14ac:dyDescent="0.2">
      <c r="A677">
        <v>198</v>
      </c>
      <c r="B677">
        <v>105</v>
      </c>
      <c r="C677">
        <v>1</v>
      </c>
    </row>
    <row r="678" spans="1:3" x14ac:dyDescent="0.2">
      <c r="A678">
        <v>353</v>
      </c>
      <c r="B678">
        <v>105</v>
      </c>
      <c r="C678">
        <v>4</v>
      </c>
    </row>
    <row r="679" spans="1:3" x14ac:dyDescent="0.2">
      <c r="A679">
        <v>608</v>
      </c>
      <c r="B679">
        <v>105</v>
      </c>
      <c r="C679">
        <v>3</v>
      </c>
    </row>
    <row r="680" spans="1:3" x14ac:dyDescent="0.2">
      <c r="A680">
        <v>651</v>
      </c>
      <c r="B680">
        <v>105</v>
      </c>
      <c r="C680">
        <v>2</v>
      </c>
    </row>
    <row r="681" spans="1:3" x14ac:dyDescent="0.2">
      <c r="A681">
        <v>681</v>
      </c>
      <c r="B681">
        <v>105</v>
      </c>
      <c r="C681">
        <v>1</v>
      </c>
    </row>
    <row r="682" spans="1:3" x14ac:dyDescent="0.2">
      <c r="A682">
        <v>754</v>
      </c>
      <c r="B682">
        <v>105</v>
      </c>
      <c r="C682">
        <v>3</v>
      </c>
    </row>
    <row r="683" spans="1:3" x14ac:dyDescent="0.2">
      <c r="A683">
        <v>54</v>
      </c>
      <c r="B683">
        <v>106</v>
      </c>
      <c r="C683">
        <v>3</v>
      </c>
    </row>
    <row r="684" spans="1:3" x14ac:dyDescent="0.2">
      <c r="A684">
        <v>414</v>
      </c>
      <c r="B684">
        <v>106</v>
      </c>
      <c r="C684">
        <v>3</v>
      </c>
    </row>
    <row r="685" spans="1:3" x14ac:dyDescent="0.2">
      <c r="A685">
        <v>535</v>
      </c>
      <c r="B685">
        <v>106</v>
      </c>
      <c r="C685">
        <v>5</v>
      </c>
    </row>
    <row r="686" spans="1:3" x14ac:dyDescent="0.2">
      <c r="A686">
        <v>614</v>
      </c>
      <c r="B686">
        <v>106</v>
      </c>
      <c r="C686">
        <v>5</v>
      </c>
    </row>
    <row r="687" spans="1:3" x14ac:dyDescent="0.2">
      <c r="A687">
        <v>637</v>
      </c>
      <c r="B687">
        <v>106</v>
      </c>
      <c r="C687">
        <v>4</v>
      </c>
    </row>
    <row r="688" spans="1:3" x14ac:dyDescent="0.2">
      <c r="A688">
        <v>888</v>
      </c>
      <c r="B688">
        <v>106</v>
      </c>
      <c r="C688">
        <v>4</v>
      </c>
    </row>
    <row r="689" spans="1:3" x14ac:dyDescent="0.2">
      <c r="A689">
        <v>902</v>
      </c>
      <c r="B689">
        <v>106</v>
      </c>
      <c r="C689">
        <v>5</v>
      </c>
    </row>
    <row r="690" spans="1:3" x14ac:dyDescent="0.2">
      <c r="A690">
        <v>178</v>
      </c>
      <c r="B690">
        <v>107</v>
      </c>
      <c r="C690">
        <v>5</v>
      </c>
    </row>
    <row r="691" spans="1:3" x14ac:dyDescent="0.2">
      <c r="A691">
        <v>351</v>
      </c>
      <c r="B691">
        <v>107</v>
      </c>
      <c r="C691">
        <v>1</v>
      </c>
    </row>
    <row r="692" spans="1:3" x14ac:dyDescent="0.2">
      <c r="A692">
        <v>826</v>
      </c>
      <c r="B692">
        <v>107</v>
      </c>
      <c r="C692">
        <v>3</v>
      </c>
    </row>
    <row r="693" spans="1:3" x14ac:dyDescent="0.2">
      <c r="A693">
        <v>868</v>
      </c>
      <c r="B693">
        <v>107</v>
      </c>
      <c r="C693">
        <v>5</v>
      </c>
    </row>
    <row r="694" spans="1:3" x14ac:dyDescent="0.2">
      <c r="A694">
        <v>1</v>
      </c>
      <c r="B694">
        <v>108</v>
      </c>
      <c r="C694">
        <v>1</v>
      </c>
    </row>
    <row r="695" spans="1:3" x14ac:dyDescent="0.2">
      <c r="A695">
        <v>179</v>
      </c>
      <c r="B695">
        <v>108</v>
      </c>
      <c r="C695">
        <v>1</v>
      </c>
    </row>
    <row r="696" spans="1:3" x14ac:dyDescent="0.2">
      <c r="A696">
        <v>199</v>
      </c>
      <c r="B696">
        <v>108</v>
      </c>
      <c r="C696">
        <v>3</v>
      </c>
    </row>
    <row r="697" spans="1:3" x14ac:dyDescent="0.2">
      <c r="A697">
        <v>231</v>
      </c>
      <c r="B697">
        <v>108</v>
      </c>
      <c r="C697">
        <v>2</v>
      </c>
    </row>
    <row r="698" spans="1:3" x14ac:dyDescent="0.2">
      <c r="A698">
        <v>312</v>
      </c>
      <c r="B698">
        <v>108</v>
      </c>
      <c r="C698">
        <v>4</v>
      </c>
    </row>
    <row r="699" spans="1:3" x14ac:dyDescent="0.2">
      <c r="A699">
        <v>409</v>
      </c>
      <c r="B699">
        <v>108</v>
      </c>
      <c r="C699">
        <v>2</v>
      </c>
    </row>
    <row r="700" spans="1:3" x14ac:dyDescent="0.2">
      <c r="A700">
        <v>433</v>
      </c>
      <c r="B700">
        <v>108</v>
      </c>
      <c r="C700">
        <v>2</v>
      </c>
    </row>
    <row r="701" spans="1:3" x14ac:dyDescent="0.2">
      <c r="A701">
        <v>471</v>
      </c>
      <c r="B701">
        <v>108</v>
      </c>
      <c r="C701">
        <v>5</v>
      </c>
    </row>
    <row r="702" spans="1:3" x14ac:dyDescent="0.2">
      <c r="A702">
        <v>703</v>
      </c>
      <c r="B702">
        <v>108</v>
      </c>
      <c r="C702">
        <v>4</v>
      </c>
    </row>
    <row r="703" spans="1:3" x14ac:dyDescent="0.2">
      <c r="A703">
        <v>758</v>
      </c>
      <c r="B703">
        <v>108</v>
      </c>
      <c r="C703">
        <v>5</v>
      </c>
    </row>
    <row r="704" spans="1:3" x14ac:dyDescent="0.2">
      <c r="A704">
        <v>81</v>
      </c>
      <c r="B704">
        <v>109</v>
      </c>
      <c r="C704">
        <v>2</v>
      </c>
    </row>
    <row r="705" spans="1:3" x14ac:dyDescent="0.2">
      <c r="A705">
        <v>425</v>
      </c>
      <c r="B705">
        <v>109</v>
      </c>
      <c r="C705">
        <v>5</v>
      </c>
    </row>
    <row r="706" spans="1:3" x14ac:dyDescent="0.2">
      <c r="A706">
        <v>694</v>
      </c>
      <c r="B706">
        <v>109</v>
      </c>
      <c r="C706">
        <v>4</v>
      </c>
    </row>
    <row r="707" spans="1:3" x14ac:dyDescent="0.2">
      <c r="A707">
        <v>785</v>
      </c>
      <c r="B707">
        <v>109</v>
      </c>
      <c r="C707">
        <v>2</v>
      </c>
    </row>
    <row r="708" spans="1:3" x14ac:dyDescent="0.2">
      <c r="A708">
        <v>265</v>
      </c>
      <c r="B708">
        <v>110</v>
      </c>
      <c r="C708">
        <v>5</v>
      </c>
    </row>
    <row r="709" spans="1:3" x14ac:dyDescent="0.2">
      <c r="A709">
        <v>473</v>
      </c>
      <c r="B709">
        <v>110</v>
      </c>
      <c r="C709">
        <v>5</v>
      </c>
    </row>
    <row r="710" spans="1:3" x14ac:dyDescent="0.2">
      <c r="A710">
        <v>803</v>
      </c>
      <c r="B710">
        <v>110</v>
      </c>
      <c r="C710">
        <v>2</v>
      </c>
    </row>
    <row r="711" spans="1:3" x14ac:dyDescent="0.2">
      <c r="A711">
        <v>878</v>
      </c>
      <c r="B711">
        <v>110</v>
      </c>
      <c r="C711">
        <v>1</v>
      </c>
    </row>
    <row r="712" spans="1:3" x14ac:dyDescent="0.2">
      <c r="A712">
        <v>9</v>
      </c>
      <c r="B712">
        <v>111</v>
      </c>
      <c r="C712">
        <v>5</v>
      </c>
    </row>
    <row r="713" spans="1:3" x14ac:dyDescent="0.2">
      <c r="A713">
        <v>61</v>
      </c>
      <c r="B713">
        <v>111</v>
      </c>
      <c r="C713">
        <v>5</v>
      </c>
    </row>
    <row r="714" spans="1:3" x14ac:dyDescent="0.2">
      <c r="A714">
        <v>234</v>
      </c>
      <c r="B714">
        <v>111</v>
      </c>
      <c r="C714">
        <v>1</v>
      </c>
    </row>
    <row r="715" spans="1:3" x14ac:dyDescent="0.2">
      <c r="A715">
        <v>258</v>
      </c>
      <c r="B715">
        <v>111</v>
      </c>
      <c r="C715">
        <v>5</v>
      </c>
    </row>
    <row r="716" spans="1:3" x14ac:dyDescent="0.2">
      <c r="A716">
        <v>354</v>
      </c>
      <c r="B716">
        <v>111</v>
      </c>
      <c r="C716">
        <v>3</v>
      </c>
    </row>
    <row r="717" spans="1:3" x14ac:dyDescent="0.2">
      <c r="A717">
        <v>374</v>
      </c>
      <c r="B717">
        <v>111</v>
      </c>
      <c r="C717">
        <v>4</v>
      </c>
    </row>
    <row r="718" spans="1:3" x14ac:dyDescent="0.2">
      <c r="A718">
        <v>376</v>
      </c>
      <c r="B718">
        <v>111</v>
      </c>
      <c r="C718">
        <v>3</v>
      </c>
    </row>
    <row r="719" spans="1:3" x14ac:dyDescent="0.2">
      <c r="A719">
        <v>457</v>
      </c>
      <c r="B719">
        <v>111</v>
      </c>
      <c r="C719">
        <v>3</v>
      </c>
    </row>
    <row r="720" spans="1:3" x14ac:dyDescent="0.2">
      <c r="A720">
        <v>520</v>
      </c>
      <c r="B720">
        <v>111</v>
      </c>
      <c r="C720">
        <v>3</v>
      </c>
    </row>
    <row r="721" spans="1:3" x14ac:dyDescent="0.2">
      <c r="A721">
        <v>974</v>
      </c>
      <c r="B721">
        <v>111</v>
      </c>
      <c r="C721">
        <v>5</v>
      </c>
    </row>
    <row r="722" spans="1:3" x14ac:dyDescent="0.2">
      <c r="A722">
        <v>36</v>
      </c>
      <c r="B722">
        <v>112</v>
      </c>
      <c r="C722">
        <v>3</v>
      </c>
    </row>
    <row r="723" spans="1:3" x14ac:dyDescent="0.2">
      <c r="A723">
        <v>336</v>
      </c>
      <c r="B723">
        <v>112</v>
      </c>
      <c r="C723">
        <v>1</v>
      </c>
    </row>
    <row r="724" spans="1:3" x14ac:dyDescent="0.2">
      <c r="A724">
        <v>356</v>
      </c>
      <c r="B724">
        <v>112</v>
      </c>
      <c r="C724">
        <v>3</v>
      </c>
    </row>
    <row r="725" spans="1:3" x14ac:dyDescent="0.2">
      <c r="A725">
        <v>534</v>
      </c>
      <c r="B725">
        <v>112</v>
      </c>
      <c r="C725">
        <v>2</v>
      </c>
    </row>
    <row r="726" spans="1:3" x14ac:dyDescent="0.2">
      <c r="A726">
        <v>632</v>
      </c>
      <c r="B726">
        <v>112</v>
      </c>
      <c r="C726">
        <v>1</v>
      </c>
    </row>
    <row r="727" spans="1:3" x14ac:dyDescent="0.2">
      <c r="A727">
        <v>638</v>
      </c>
      <c r="B727">
        <v>112</v>
      </c>
      <c r="C727">
        <v>5</v>
      </c>
    </row>
    <row r="728" spans="1:3" x14ac:dyDescent="0.2">
      <c r="A728">
        <v>776</v>
      </c>
      <c r="B728">
        <v>112</v>
      </c>
      <c r="C728">
        <v>4</v>
      </c>
    </row>
    <row r="729" spans="1:3" x14ac:dyDescent="0.2">
      <c r="A729">
        <v>818</v>
      </c>
      <c r="B729">
        <v>112</v>
      </c>
      <c r="C729">
        <v>3</v>
      </c>
    </row>
    <row r="730" spans="1:3" x14ac:dyDescent="0.2">
      <c r="A730">
        <v>905</v>
      </c>
      <c r="B730">
        <v>112</v>
      </c>
      <c r="C730">
        <v>1</v>
      </c>
    </row>
    <row r="731" spans="1:3" x14ac:dyDescent="0.2">
      <c r="A731">
        <v>67</v>
      </c>
      <c r="B731">
        <v>113</v>
      </c>
      <c r="C731">
        <v>4</v>
      </c>
    </row>
    <row r="732" spans="1:3" x14ac:dyDescent="0.2">
      <c r="A732">
        <v>549</v>
      </c>
      <c r="B732">
        <v>113</v>
      </c>
      <c r="C732">
        <v>2</v>
      </c>
    </row>
    <row r="733" spans="1:3" x14ac:dyDescent="0.2">
      <c r="A733">
        <v>635</v>
      </c>
      <c r="B733">
        <v>113</v>
      </c>
      <c r="C733">
        <v>3</v>
      </c>
    </row>
    <row r="734" spans="1:3" x14ac:dyDescent="0.2">
      <c r="A734">
        <v>655</v>
      </c>
      <c r="B734">
        <v>113</v>
      </c>
      <c r="C734">
        <v>3</v>
      </c>
    </row>
    <row r="735" spans="1:3" x14ac:dyDescent="0.2">
      <c r="A735">
        <v>829</v>
      </c>
      <c r="B735">
        <v>113</v>
      </c>
      <c r="C735">
        <v>5</v>
      </c>
    </row>
    <row r="736" spans="1:3" x14ac:dyDescent="0.2">
      <c r="A736">
        <v>944</v>
      </c>
      <c r="B736">
        <v>113</v>
      </c>
      <c r="C736">
        <v>5</v>
      </c>
    </row>
    <row r="737" spans="1:3" x14ac:dyDescent="0.2">
      <c r="A737">
        <v>299</v>
      </c>
      <c r="B737">
        <v>114</v>
      </c>
      <c r="C737">
        <v>1</v>
      </c>
    </row>
    <row r="738" spans="1:3" x14ac:dyDescent="0.2">
      <c r="A738">
        <v>613</v>
      </c>
      <c r="B738">
        <v>114</v>
      </c>
      <c r="C738">
        <v>4</v>
      </c>
    </row>
    <row r="739" spans="1:3" x14ac:dyDescent="0.2">
      <c r="A739">
        <v>624</v>
      </c>
      <c r="B739">
        <v>114</v>
      </c>
      <c r="C739">
        <v>1</v>
      </c>
    </row>
    <row r="740" spans="1:3" x14ac:dyDescent="0.2">
      <c r="A740">
        <v>666</v>
      </c>
      <c r="B740">
        <v>114</v>
      </c>
      <c r="C740">
        <v>4</v>
      </c>
    </row>
    <row r="741" spans="1:3" x14ac:dyDescent="0.2">
      <c r="A741">
        <v>945</v>
      </c>
      <c r="B741">
        <v>114</v>
      </c>
      <c r="C741">
        <v>3</v>
      </c>
    </row>
    <row r="742" spans="1:3" x14ac:dyDescent="0.2">
      <c r="A742">
        <v>990</v>
      </c>
      <c r="B742">
        <v>114</v>
      </c>
      <c r="C742">
        <v>1</v>
      </c>
    </row>
    <row r="743" spans="1:3" x14ac:dyDescent="0.2">
      <c r="A743">
        <v>113</v>
      </c>
      <c r="B743">
        <v>115</v>
      </c>
      <c r="C743">
        <v>1</v>
      </c>
    </row>
    <row r="744" spans="1:3" x14ac:dyDescent="0.2">
      <c r="A744">
        <v>342</v>
      </c>
      <c r="B744">
        <v>115</v>
      </c>
      <c r="C744">
        <v>1</v>
      </c>
    </row>
    <row r="745" spans="1:3" x14ac:dyDescent="0.2">
      <c r="A745">
        <v>388</v>
      </c>
      <c r="B745">
        <v>115</v>
      </c>
      <c r="C745">
        <v>1</v>
      </c>
    </row>
    <row r="746" spans="1:3" x14ac:dyDescent="0.2">
      <c r="A746">
        <v>705</v>
      </c>
      <c r="B746">
        <v>115</v>
      </c>
      <c r="C746">
        <v>1</v>
      </c>
    </row>
    <row r="747" spans="1:3" x14ac:dyDescent="0.2">
      <c r="A747">
        <v>778</v>
      </c>
      <c r="B747">
        <v>115</v>
      </c>
      <c r="C747">
        <v>3</v>
      </c>
    </row>
    <row r="748" spans="1:3" x14ac:dyDescent="0.2">
      <c r="A748">
        <v>25</v>
      </c>
      <c r="B748">
        <v>116</v>
      </c>
      <c r="C748">
        <v>1</v>
      </c>
    </row>
    <row r="749" spans="1:3" x14ac:dyDescent="0.2">
      <c r="A749">
        <v>155</v>
      </c>
      <c r="B749">
        <v>116</v>
      </c>
      <c r="C749">
        <v>1</v>
      </c>
    </row>
    <row r="750" spans="1:3" x14ac:dyDescent="0.2">
      <c r="A750">
        <v>349</v>
      </c>
      <c r="B750">
        <v>116</v>
      </c>
      <c r="C750">
        <v>3</v>
      </c>
    </row>
    <row r="751" spans="1:3" x14ac:dyDescent="0.2">
      <c r="A751">
        <v>522</v>
      </c>
      <c r="B751">
        <v>116</v>
      </c>
      <c r="C751">
        <v>2</v>
      </c>
    </row>
    <row r="752" spans="1:3" x14ac:dyDescent="0.2">
      <c r="A752">
        <v>547</v>
      </c>
      <c r="B752">
        <v>116</v>
      </c>
      <c r="C752">
        <v>5</v>
      </c>
    </row>
    <row r="753" spans="1:3" x14ac:dyDescent="0.2">
      <c r="A753">
        <v>603</v>
      </c>
      <c r="B753">
        <v>116</v>
      </c>
      <c r="C753">
        <v>5</v>
      </c>
    </row>
    <row r="754" spans="1:3" x14ac:dyDescent="0.2">
      <c r="A754">
        <v>639</v>
      </c>
      <c r="B754">
        <v>116</v>
      </c>
      <c r="C754">
        <v>5</v>
      </c>
    </row>
    <row r="755" spans="1:3" x14ac:dyDescent="0.2">
      <c r="A755">
        <v>994</v>
      </c>
      <c r="B755">
        <v>116</v>
      </c>
      <c r="C755">
        <v>5</v>
      </c>
    </row>
    <row r="756" spans="1:3" x14ac:dyDescent="0.2">
      <c r="A756">
        <v>441</v>
      </c>
      <c r="B756">
        <v>117</v>
      </c>
      <c r="C756">
        <v>3</v>
      </c>
    </row>
    <row r="757" spans="1:3" x14ac:dyDescent="0.2">
      <c r="A757">
        <v>615</v>
      </c>
      <c r="B757">
        <v>117</v>
      </c>
      <c r="C757">
        <v>2</v>
      </c>
    </row>
    <row r="758" spans="1:3" x14ac:dyDescent="0.2">
      <c r="A758">
        <v>842</v>
      </c>
      <c r="B758">
        <v>117</v>
      </c>
      <c r="C758">
        <v>3</v>
      </c>
    </row>
    <row r="759" spans="1:3" x14ac:dyDescent="0.2">
      <c r="A759">
        <v>855</v>
      </c>
      <c r="B759">
        <v>117</v>
      </c>
      <c r="C759">
        <v>4</v>
      </c>
    </row>
    <row r="760" spans="1:3" x14ac:dyDescent="0.2">
      <c r="A760">
        <v>58</v>
      </c>
      <c r="B760">
        <v>118</v>
      </c>
      <c r="C760">
        <v>2</v>
      </c>
    </row>
    <row r="761" spans="1:3" x14ac:dyDescent="0.2">
      <c r="A761">
        <v>68</v>
      </c>
      <c r="B761">
        <v>118</v>
      </c>
      <c r="C761">
        <v>2</v>
      </c>
    </row>
    <row r="762" spans="1:3" x14ac:dyDescent="0.2">
      <c r="A762">
        <v>111</v>
      </c>
      <c r="B762">
        <v>118</v>
      </c>
      <c r="C762">
        <v>3</v>
      </c>
    </row>
    <row r="763" spans="1:3" x14ac:dyDescent="0.2">
      <c r="A763">
        <v>470</v>
      </c>
      <c r="B763">
        <v>118</v>
      </c>
      <c r="C763">
        <v>4</v>
      </c>
    </row>
    <row r="764" spans="1:3" x14ac:dyDescent="0.2">
      <c r="A764">
        <v>493</v>
      </c>
      <c r="B764">
        <v>118</v>
      </c>
      <c r="C764">
        <v>1</v>
      </c>
    </row>
    <row r="765" spans="1:3" x14ac:dyDescent="0.2">
      <c r="A765">
        <v>579</v>
      </c>
      <c r="B765">
        <v>118</v>
      </c>
      <c r="C765">
        <v>3</v>
      </c>
    </row>
    <row r="766" spans="1:3" x14ac:dyDescent="0.2">
      <c r="A766">
        <v>720</v>
      </c>
      <c r="B766">
        <v>118</v>
      </c>
      <c r="C766">
        <v>4</v>
      </c>
    </row>
    <row r="767" spans="1:3" x14ac:dyDescent="0.2">
      <c r="A767">
        <v>820</v>
      </c>
      <c r="B767">
        <v>118</v>
      </c>
      <c r="C767">
        <v>5</v>
      </c>
    </row>
    <row r="768" spans="1:3" x14ac:dyDescent="0.2">
      <c r="A768">
        <v>929</v>
      </c>
      <c r="B768">
        <v>118</v>
      </c>
      <c r="C768">
        <v>2</v>
      </c>
    </row>
    <row r="769" spans="1:3" x14ac:dyDescent="0.2">
      <c r="A769">
        <v>361</v>
      </c>
      <c r="B769">
        <v>119</v>
      </c>
      <c r="C769">
        <v>3</v>
      </c>
    </row>
    <row r="770" spans="1:3" x14ac:dyDescent="0.2">
      <c r="A770">
        <v>593</v>
      </c>
      <c r="B770">
        <v>119</v>
      </c>
      <c r="C770">
        <v>3</v>
      </c>
    </row>
    <row r="771" spans="1:3" x14ac:dyDescent="0.2">
      <c r="A771">
        <v>609</v>
      </c>
      <c r="B771">
        <v>119</v>
      </c>
      <c r="C771">
        <v>1</v>
      </c>
    </row>
    <row r="772" spans="1:3" x14ac:dyDescent="0.2">
      <c r="A772">
        <v>687</v>
      </c>
      <c r="B772">
        <v>119</v>
      </c>
      <c r="C772">
        <v>2</v>
      </c>
    </row>
    <row r="773" spans="1:3" x14ac:dyDescent="0.2">
      <c r="A773">
        <v>819</v>
      </c>
      <c r="B773">
        <v>119</v>
      </c>
      <c r="C773">
        <v>5</v>
      </c>
    </row>
    <row r="774" spans="1:3" x14ac:dyDescent="0.2">
      <c r="A774">
        <v>865</v>
      </c>
      <c r="B774">
        <v>119</v>
      </c>
      <c r="C774">
        <v>3</v>
      </c>
    </row>
    <row r="775" spans="1:3" x14ac:dyDescent="0.2">
      <c r="A775">
        <v>48</v>
      </c>
      <c r="B775">
        <v>120</v>
      </c>
      <c r="C775">
        <v>4</v>
      </c>
    </row>
    <row r="776" spans="1:3" x14ac:dyDescent="0.2">
      <c r="A776">
        <v>84</v>
      </c>
      <c r="B776">
        <v>120</v>
      </c>
      <c r="C776">
        <v>1</v>
      </c>
    </row>
    <row r="777" spans="1:3" x14ac:dyDescent="0.2">
      <c r="A777">
        <v>123</v>
      </c>
      <c r="B777">
        <v>120</v>
      </c>
      <c r="C777">
        <v>2</v>
      </c>
    </row>
    <row r="778" spans="1:3" x14ac:dyDescent="0.2">
      <c r="A778">
        <v>252</v>
      </c>
      <c r="B778">
        <v>120</v>
      </c>
      <c r="C778">
        <v>5</v>
      </c>
    </row>
    <row r="779" spans="1:3" x14ac:dyDescent="0.2">
      <c r="A779">
        <v>357</v>
      </c>
      <c r="B779">
        <v>120</v>
      </c>
      <c r="C779">
        <v>2</v>
      </c>
    </row>
    <row r="780" spans="1:3" x14ac:dyDescent="0.2">
      <c r="A780">
        <v>406</v>
      </c>
      <c r="B780">
        <v>120</v>
      </c>
      <c r="C780">
        <v>4</v>
      </c>
    </row>
    <row r="781" spans="1:3" x14ac:dyDescent="0.2">
      <c r="A781">
        <v>408</v>
      </c>
      <c r="B781">
        <v>120</v>
      </c>
      <c r="C781">
        <v>4</v>
      </c>
    </row>
    <row r="782" spans="1:3" x14ac:dyDescent="0.2">
      <c r="A782">
        <v>498</v>
      </c>
      <c r="B782">
        <v>120</v>
      </c>
      <c r="C782">
        <v>5</v>
      </c>
    </row>
    <row r="783" spans="1:3" x14ac:dyDescent="0.2">
      <c r="A783">
        <v>807</v>
      </c>
      <c r="B783">
        <v>120</v>
      </c>
      <c r="C783">
        <v>3</v>
      </c>
    </row>
    <row r="784" spans="1:3" x14ac:dyDescent="0.2">
      <c r="A784">
        <v>866</v>
      </c>
      <c r="B784">
        <v>120</v>
      </c>
      <c r="C784">
        <v>3</v>
      </c>
    </row>
    <row r="785" spans="1:3" x14ac:dyDescent="0.2">
      <c r="A785">
        <v>982</v>
      </c>
      <c r="B785">
        <v>120</v>
      </c>
      <c r="C785">
        <v>5</v>
      </c>
    </row>
    <row r="786" spans="1:3" x14ac:dyDescent="0.2">
      <c r="A786">
        <v>422</v>
      </c>
      <c r="B786">
        <v>121</v>
      </c>
      <c r="C786">
        <v>2</v>
      </c>
    </row>
    <row r="787" spans="1:3" x14ac:dyDescent="0.2">
      <c r="A787">
        <v>475</v>
      </c>
      <c r="B787">
        <v>121</v>
      </c>
      <c r="C787">
        <v>5</v>
      </c>
    </row>
    <row r="788" spans="1:3" x14ac:dyDescent="0.2">
      <c r="A788">
        <v>715</v>
      </c>
      <c r="B788">
        <v>121</v>
      </c>
      <c r="C788">
        <v>4</v>
      </c>
    </row>
    <row r="789" spans="1:3" x14ac:dyDescent="0.2">
      <c r="A789">
        <v>239</v>
      </c>
      <c r="B789">
        <v>122</v>
      </c>
      <c r="C789">
        <v>4</v>
      </c>
    </row>
    <row r="790" spans="1:3" x14ac:dyDescent="0.2">
      <c r="A790">
        <v>293</v>
      </c>
      <c r="B790">
        <v>122</v>
      </c>
      <c r="C790">
        <v>5</v>
      </c>
    </row>
    <row r="791" spans="1:3" x14ac:dyDescent="0.2">
      <c r="A791">
        <v>405</v>
      </c>
      <c r="B791">
        <v>122</v>
      </c>
      <c r="C791">
        <v>1</v>
      </c>
    </row>
    <row r="792" spans="1:3" x14ac:dyDescent="0.2">
      <c r="A792">
        <v>472</v>
      </c>
      <c r="B792">
        <v>122</v>
      </c>
      <c r="C792">
        <v>1</v>
      </c>
    </row>
    <row r="793" spans="1:3" x14ac:dyDescent="0.2">
      <c r="A793">
        <v>583</v>
      </c>
      <c r="B793">
        <v>122</v>
      </c>
      <c r="C793">
        <v>4</v>
      </c>
    </row>
    <row r="794" spans="1:3" x14ac:dyDescent="0.2">
      <c r="A794">
        <v>883</v>
      </c>
      <c r="B794">
        <v>122</v>
      </c>
      <c r="C794">
        <v>3</v>
      </c>
    </row>
    <row r="795" spans="1:3" x14ac:dyDescent="0.2">
      <c r="A795">
        <v>906</v>
      </c>
      <c r="B795">
        <v>122</v>
      </c>
      <c r="C795">
        <v>3</v>
      </c>
    </row>
    <row r="796" spans="1:3" x14ac:dyDescent="0.2">
      <c r="A796">
        <v>988</v>
      </c>
      <c r="B796">
        <v>122</v>
      </c>
      <c r="C796">
        <v>3</v>
      </c>
    </row>
    <row r="797" spans="1:3" x14ac:dyDescent="0.2">
      <c r="A797">
        <v>5</v>
      </c>
      <c r="B797">
        <v>123</v>
      </c>
      <c r="C797">
        <v>5</v>
      </c>
    </row>
    <row r="798" spans="1:3" x14ac:dyDescent="0.2">
      <c r="A798">
        <v>196</v>
      </c>
      <c r="B798">
        <v>123</v>
      </c>
      <c r="C798">
        <v>1</v>
      </c>
    </row>
    <row r="799" spans="1:3" x14ac:dyDescent="0.2">
      <c r="A799">
        <v>251</v>
      </c>
      <c r="B799">
        <v>123</v>
      </c>
      <c r="C799">
        <v>4</v>
      </c>
    </row>
    <row r="800" spans="1:3" x14ac:dyDescent="0.2">
      <c r="A800">
        <v>415</v>
      </c>
      <c r="B800">
        <v>123</v>
      </c>
      <c r="C800">
        <v>1</v>
      </c>
    </row>
    <row r="801" spans="1:3" x14ac:dyDescent="0.2">
      <c r="A801">
        <v>560</v>
      </c>
      <c r="B801">
        <v>123</v>
      </c>
      <c r="C801">
        <v>2</v>
      </c>
    </row>
    <row r="802" spans="1:3" x14ac:dyDescent="0.2">
      <c r="A802">
        <v>254</v>
      </c>
      <c r="B802">
        <v>124</v>
      </c>
      <c r="C802">
        <v>4</v>
      </c>
    </row>
    <row r="803" spans="1:3" x14ac:dyDescent="0.2">
      <c r="A803">
        <v>373</v>
      </c>
      <c r="B803">
        <v>124</v>
      </c>
      <c r="C803">
        <v>3</v>
      </c>
    </row>
    <row r="804" spans="1:3" x14ac:dyDescent="0.2">
      <c r="A804">
        <v>396</v>
      </c>
      <c r="B804">
        <v>124</v>
      </c>
      <c r="C804">
        <v>4</v>
      </c>
    </row>
    <row r="805" spans="1:3" x14ac:dyDescent="0.2">
      <c r="A805">
        <v>466</v>
      </c>
      <c r="B805">
        <v>124</v>
      </c>
      <c r="C805">
        <v>5</v>
      </c>
    </row>
    <row r="806" spans="1:3" x14ac:dyDescent="0.2">
      <c r="A806">
        <v>556</v>
      </c>
      <c r="B806">
        <v>124</v>
      </c>
      <c r="C806">
        <v>4</v>
      </c>
    </row>
    <row r="807" spans="1:3" x14ac:dyDescent="0.2">
      <c r="A807">
        <v>616</v>
      </c>
      <c r="B807">
        <v>124</v>
      </c>
      <c r="C807">
        <v>2</v>
      </c>
    </row>
    <row r="808" spans="1:3" x14ac:dyDescent="0.2">
      <c r="A808">
        <v>728</v>
      </c>
      <c r="B808">
        <v>124</v>
      </c>
      <c r="C808">
        <v>5</v>
      </c>
    </row>
    <row r="809" spans="1:3" x14ac:dyDescent="0.2">
      <c r="A809">
        <v>859</v>
      </c>
      <c r="B809">
        <v>124</v>
      </c>
      <c r="C809">
        <v>1</v>
      </c>
    </row>
    <row r="810" spans="1:3" x14ac:dyDescent="0.2">
      <c r="A810">
        <v>154</v>
      </c>
      <c r="B810">
        <v>125</v>
      </c>
      <c r="C810">
        <v>4</v>
      </c>
    </row>
    <row r="811" spans="1:3" x14ac:dyDescent="0.2">
      <c r="A811">
        <v>285</v>
      </c>
      <c r="B811">
        <v>125</v>
      </c>
      <c r="C811">
        <v>4</v>
      </c>
    </row>
    <row r="812" spans="1:3" x14ac:dyDescent="0.2">
      <c r="A812">
        <v>437</v>
      </c>
      <c r="B812">
        <v>125</v>
      </c>
      <c r="C812">
        <v>2</v>
      </c>
    </row>
    <row r="813" spans="1:3" x14ac:dyDescent="0.2">
      <c r="A813">
        <v>537</v>
      </c>
      <c r="B813">
        <v>125</v>
      </c>
      <c r="C813">
        <v>4</v>
      </c>
    </row>
    <row r="814" spans="1:3" x14ac:dyDescent="0.2">
      <c r="A814">
        <v>569</v>
      </c>
      <c r="B814">
        <v>125</v>
      </c>
      <c r="C814">
        <v>4</v>
      </c>
    </row>
    <row r="815" spans="1:3" x14ac:dyDescent="0.2">
      <c r="A815">
        <v>585</v>
      </c>
      <c r="B815">
        <v>125</v>
      </c>
      <c r="C815">
        <v>5</v>
      </c>
    </row>
    <row r="816" spans="1:3" x14ac:dyDescent="0.2">
      <c r="A816">
        <v>599</v>
      </c>
      <c r="B816">
        <v>125</v>
      </c>
      <c r="C816">
        <v>3</v>
      </c>
    </row>
    <row r="817" spans="1:3" x14ac:dyDescent="0.2">
      <c r="A817">
        <v>654</v>
      </c>
      <c r="B817">
        <v>125</v>
      </c>
      <c r="C817">
        <v>4</v>
      </c>
    </row>
    <row r="818" spans="1:3" x14ac:dyDescent="0.2">
      <c r="A818">
        <v>741</v>
      </c>
      <c r="B818">
        <v>125</v>
      </c>
      <c r="C818">
        <v>2</v>
      </c>
    </row>
    <row r="819" spans="1:3" x14ac:dyDescent="0.2">
      <c r="A819">
        <v>889</v>
      </c>
      <c r="B819">
        <v>125</v>
      </c>
      <c r="C819">
        <v>2</v>
      </c>
    </row>
    <row r="820" spans="1:3" x14ac:dyDescent="0.2">
      <c r="A820">
        <v>996</v>
      </c>
      <c r="B820">
        <v>125</v>
      </c>
      <c r="C820">
        <v>2</v>
      </c>
    </row>
    <row r="821" spans="1:3" x14ac:dyDescent="0.2">
      <c r="A821">
        <v>169</v>
      </c>
      <c r="B821">
        <v>126</v>
      </c>
      <c r="C821">
        <v>3</v>
      </c>
    </row>
    <row r="822" spans="1:3" x14ac:dyDescent="0.2">
      <c r="A822">
        <v>574</v>
      </c>
      <c r="B822">
        <v>126</v>
      </c>
      <c r="C822">
        <v>2</v>
      </c>
    </row>
    <row r="823" spans="1:3" x14ac:dyDescent="0.2">
      <c r="A823">
        <v>580</v>
      </c>
      <c r="B823">
        <v>126</v>
      </c>
      <c r="C823">
        <v>3</v>
      </c>
    </row>
    <row r="824" spans="1:3" x14ac:dyDescent="0.2">
      <c r="A824">
        <v>584</v>
      </c>
      <c r="B824">
        <v>126</v>
      </c>
      <c r="C824">
        <v>4</v>
      </c>
    </row>
    <row r="825" spans="1:3" x14ac:dyDescent="0.2">
      <c r="A825">
        <v>774</v>
      </c>
      <c r="B825">
        <v>126</v>
      </c>
      <c r="C825">
        <v>3</v>
      </c>
    </row>
    <row r="826" spans="1:3" x14ac:dyDescent="0.2">
      <c r="A826">
        <v>71</v>
      </c>
      <c r="B826">
        <v>127</v>
      </c>
      <c r="C826">
        <v>3</v>
      </c>
    </row>
    <row r="827" spans="1:3" x14ac:dyDescent="0.2">
      <c r="A827">
        <v>209</v>
      </c>
      <c r="B827">
        <v>127</v>
      </c>
      <c r="C827">
        <v>1</v>
      </c>
    </row>
    <row r="828" spans="1:3" x14ac:dyDescent="0.2">
      <c r="A828">
        <v>300</v>
      </c>
      <c r="B828">
        <v>127</v>
      </c>
      <c r="C828">
        <v>1</v>
      </c>
    </row>
    <row r="829" spans="1:3" x14ac:dyDescent="0.2">
      <c r="A829">
        <v>329</v>
      </c>
      <c r="B829">
        <v>127</v>
      </c>
      <c r="C829">
        <v>1</v>
      </c>
    </row>
    <row r="830" spans="1:3" x14ac:dyDescent="0.2">
      <c r="A830">
        <v>365</v>
      </c>
      <c r="B830">
        <v>127</v>
      </c>
      <c r="C830">
        <v>1</v>
      </c>
    </row>
    <row r="831" spans="1:3" x14ac:dyDescent="0.2">
      <c r="A831">
        <v>461</v>
      </c>
      <c r="B831">
        <v>127</v>
      </c>
      <c r="C831">
        <v>1</v>
      </c>
    </row>
    <row r="832" spans="1:3" x14ac:dyDescent="0.2">
      <c r="A832">
        <v>693</v>
      </c>
      <c r="B832">
        <v>127</v>
      </c>
      <c r="C832">
        <v>5</v>
      </c>
    </row>
    <row r="833" spans="1:3" x14ac:dyDescent="0.2">
      <c r="A833">
        <v>811</v>
      </c>
      <c r="B833">
        <v>127</v>
      </c>
      <c r="C833">
        <v>4</v>
      </c>
    </row>
    <row r="834" spans="1:3" x14ac:dyDescent="0.2">
      <c r="A834">
        <v>830</v>
      </c>
      <c r="B834">
        <v>127</v>
      </c>
      <c r="C834">
        <v>3</v>
      </c>
    </row>
    <row r="835" spans="1:3" x14ac:dyDescent="0.2">
      <c r="A835">
        <v>835</v>
      </c>
      <c r="B835">
        <v>127</v>
      </c>
      <c r="C835">
        <v>2</v>
      </c>
    </row>
    <row r="836" spans="1:3" x14ac:dyDescent="0.2">
      <c r="A836">
        <v>6</v>
      </c>
      <c r="B836">
        <v>128</v>
      </c>
      <c r="C836">
        <v>5</v>
      </c>
    </row>
    <row r="837" spans="1:3" x14ac:dyDescent="0.2">
      <c r="A837">
        <v>197</v>
      </c>
      <c r="B837">
        <v>128</v>
      </c>
      <c r="C837">
        <v>4</v>
      </c>
    </row>
    <row r="838" spans="1:3" x14ac:dyDescent="0.2">
      <c r="A838">
        <v>438</v>
      </c>
      <c r="B838">
        <v>128</v>
      </c>
      <c r="C838">
        <v>3</v>
      </c>
    </row>
    <row r="839" spans="1:3" x14ac:dyDescent="0.2">
      <c r="A839">
        <v>677</v>
      </c>
      <c r="B839">
        <v>128</v>
      </c>
      <c r="C839">
        <v>3</v>
      </c>
    </row>
    <row r="840" spans="1:3" x14ac:dyDescent="0.2">
      <c r="A840">
        <v>140</v>
      </c>
      <c r="B840">
        <v>129</v>
      </c>
      <c r="C840">
        <v>3</v>
      </c>
    </row>
    <row r="841" spans="1:3" x14ac:dyDescent="0.2">
      <c r="A841">
        <v>221</v>
      </c>
      <c r="B841">
        <v>129</v>
      </c>
      <c r="C841">
        <v>3</v>
      </c>
    </row>
    <row r="842" spans="1:3" x14ac:dyDescent="0.2">
      <c r="A842">
        <v>267</v>
      </c>
      <c r="B842">
        <v>129</v>
      </c>
      <c r="C842">
        <v>3</v>
      </c>
    </row>
    <row r="843" spans="1:3" x14ac:dyDescent="0.2">
      <c r="A843">
        <v>306</v>
      </c>
      <c r="B843">
        <v>129</v>
      </c>
      <c r="C843">
        <v>1</v>
      </c>
    </row>
    <row r="844" spans="1:3" x14ac:dyDescent="0.2">
      <c r="A844">
        <v>480</v>
      </c>
      <c r="B844">
        <v>129</v>
      </c>
      <c r="C844">
        <v>3</v>
      </c>
    </row>
    <row r="845" spans="1:3" x14ac:dyDescent="0.2">
      <c r="A845">
        <v>788</v>
      </c>
      <c r="B845">
        <v>129</v>
      </c>
      <c r="C845">
        <v>3</v>
      </c>
    </row>
    <row r="846" spans="1:3" x14ac:dyDescent="0.2">
      <c r="A846">
        <v>28</v>
      </c>
      <c r="B846">
        <v>130</v>
      </c>
      <c r="C846">
        <v>5</v>
      </c>
    </row>
    <row r="847" spans="1:3" x14ac:dyDescent="0.2">
      <c r="A847">
        <v>120</v>
      </c>
      <c r="B847">
        <v>130</v>
      </c>
      <c r="C847">
        <v>2</v>
      </c>
    </row>
    <row r="848" spans="1:3" x14ac:dyDescent="0.2">
      <c r="A848">
        <v>600</v>
      </c>
      <c r="B848">
        <v>130</v>
      </c>
      <c r="C848">
        <v>2</v>
      </c>
    </row>
    <row r="849" spans="1:3" x14ac:dyDescent="0.2">
      <c r="A849">
        <v>862</v>
      </c>
      <c r="B849">
        <v>130</v>
      </c>
      <c r="C849">
        <v>1</v>
      </c>
    </row>
    <row r="850" spans="1:3" x14ac:dyDescent="0.2">
      <c r="A850">
        <v>941</v>
      </c>
      <c r="B850">
        <v>130</v>
      </c>
      <c r="C850">
        <v>1</v>
      </c>
    </row>
    <row r="851" spans="1:3" x14ac:dyDescent="0.2">
      <c r="A851">
        <v>102</v>
      </c>
      <c r="B851">
        <v>131</v>
      </c>
      <c r="C851">
        <v>4</v>
      </c>
    </row>
    <row r="852" spans="1:3" x14ac:dyDescent="0.2">
      <c r="A852">
        <v>128</v>
      </c>
      <c r="B852">
        <v>131</v>
      </c>
      <c r="C852">
        <v>4</v>
      </c>
    </row>
    <row r="853" spans="1:3" x14ac:dyDescent="0.2">
      <c r="A853">
        <v>148</v>
      </c>
      <c r="B853">
        <v>131</v>
      </c>
      <c r="C853">
        <v>1</v>
      </c>
    </row>
    <row r="854" spans="1:3" x14ac:dyDescent="0.2">
      <c r="A854">
        <v>208</v>
      </c>
      <c r="B854">
        <v>131</v>
      </c>
      <c r="C854">
        <v>2</v>
      </c>
    </row>
    <row r="855" spans="1:3" x14ac:dyDescent="0.2">
      <c r="A855">
        <v>217</v>
      </c>
      <c r="B855">
        <v>131</v>
      </c>
      <c r="C855">
        <v>2</v>
      </c>
    </row>
    <row r="856" spans="1:3" x14ac:dyDescent="0.2">
      <c r="A856">
        <v>305</v>
      </c>
      <c r="B856">
        <v>131</v>
      </c>
      <c r="C856">
        <v>5</v>
      </c>
    </row>
    <row r="857" spans="1:3" x14ac:dyDescent="0.2">
      <c r="A857">
        <v>369</v>
      </c>
      <c r="B857">
        <v>131</v>
      </c>
      <c r="C857">
        <v>5</v>
      </c>
    </row>
    <row r="858" spans="1:3" x14ac:dyDescent="0.2">
      <c r="A858">
        <v>372</v>
      </c>
      <c r="B858">
        <v>131</v>
      </c>
      <c r="C858">
        <v>5</v>
      </c>
    </row>
    <row r="859" spans="1:3" x14ac:dyDescent="0.2">
      <c r="A859">
        <v>444</v>
      </c>
      <c r="B859">
        <v>131</v>
      </c>
      <c r="C859">
        <v>2</v>
      </c>
    </row>
    <row r="860" spans="1:3" x14ac:dyDescent="0.2">
      <c r="A860">
        <v>564</v>
      </c>
      <c r="B860">
        <v>131</v>
      </c>
      <c r="C860">
        <v>5</v>
      </c>
    </row>
    <row r="861" spans="1:3" x14ac:dyDescent="0.2">
      <c r="A861">
        <v>759</v>
      </c>
      <c r="B861">
        <v>131</v>
      </c>
      <c r="C861">
        <v>1</v>
      </c>
    </row>
    <row r="862" spans="1:3" x14ac:dyDescent="0.2">
      <c r="A862">
        <v>937</v>
      </c>
      <c r="B862">
        <v>131</v>
      </c>
      <c r="C862">
        <v>2</v>
      </c>
    </row>
    <row r="863" spans="1:3" x14ac:dyDescent="0.2">
      <c r="A863">
        <v>947</v>
      </c>
      <c r="B863">
        <v>131</v>
      </c>
      <c r="C863">
        <v>1</v>
      </c>
    </row>
    <row r="864" spans="1:3" x14ac:dyDescent="0.2">
      <c r="A864">
        <v>144</v>
      </c>
      <c r="B864">
        <v>132</v>
      </c>
      <c r="C864">
        <v>2</v>
      </c>
    </row>
    <row r="865" spans="1:3" x14ac:dyDescent="0.2">
      <c r="A865">
        <v>147</v>
      </c>
      <c r="B865">
        <v>132</v>
      </c>
      <c r="C865">
        <v>1</v>
      </c>
    </row>
    <row r="866" spans="1:3" x14ac:dyDescent="0.2">
      <c r="A866">
        <v>200</v>
      </c>
      <c r="B866">
        <v>132</v>
      </c>
      <c r="C866">
        <v>1</v>
      </c>
    </row>
    <row r="867" spans="1:3" x14ac:dyDescent="0.2">
      <c r="A867">
        <v>255</v>
      </c>
      <c r="B867">
        <v>132</v>
      </c>
      <c r="C867">
        <v>1</v>
      </c>
    </row>
    <row r="868" spans="1:3" x14ac:dyDescent="0.2">
      <c r="A868">
        <v>330</v>
      </c>
      <c r="B868">
        <v>132</v>
      </c>
      <c r="C868">
        <v>1</v>
      </c>
    </row>
    <row r="869" spans="1:3" x14ac:dyDescent="0.2">
      <c r="A869">
        <v>499</v>
      </c>
      <c r="B869">
        <v>132</v>
      </c>
      <c r="C869">
        <v>5</v>
      </c>
    </row>
    <row r="870" spans="1:3" x14ac:dyDescent="0.2">
      <c r="A870">
        <v>555</v>
      </c>
      <c r="B870">
        <v>132</v>
      </c>
      <c r="C870">
        <v>5</v>
      </c>
    </row>
    <row r="871" spans="1:3" x14ac:dyDescent="0.2">
      <c r="A871">
        <v>737</v>
      </c>
      <c r="B871">
        <v>132</v>
      </c>
      <c r="C871">
        <v>4</v>
      </c>
    </row>
    <row r="872" spans="1:3" x14ac:dyDescent="0.2">
      <c r="A872">
        <v>999</v>
      </c>
      <c r="B872">
        <v>132</v>
      </c>
      <c r="C872">
        <v>1</v>
      </c>
    </row>
    <row r="873" spans="1:3" x14ac:dyDescent="0.2">
      <c r="A873">
        <v>47</v>
      </c>
      <c r="B873">
        <v>133</v>
      </c>
      <c r="C873">
        <v>5</v>
      </c>
    </row>
    <row r="874" spans="1:3" x14ac:dyDescent="0.2">
      <c r="A874">
        <v>215</v>
      </c>
      <c r="B874">
        <v>133</v>
      </c>
      <c r="C874">
        <v>5</v>
      </c>
    </row>
    <row r="875" spans="1:3" x14ac:dyDescent="0.2">
      <c r="A875">
        <v>399</v>
      </c>
      <c r="B875">
        <v>133</v>
      </c>
      <c r="C875">
        <v>3</v>
      </c>
    </row>
    <row r="876" spans="1:3" x14ac:dyDescent="0.2">
      <c r="A876">
        <v>678</v>
      </c>
      <c r="B876">
        <v>133</v>
      </c>
      <c r="C876">
        <v>4</v>
      </c>
    </row>
    <row r="877" spans="1:3" x14ac:dyDescent="0.2">
      <c r="A877">
        <v>683</v>
      </c>
      <c r="B877">
        <v>133</v>
      </c>
      <c r="C877">
        <v>2</v>
      </c>
    </row>
    <row r="878" spans="1:3" x14ac:dyDescent="0.2">
      <c r="A878">
        <v>777</v>
      </c>
      <c r="B878">
        <v>133</v>
      </c>
      <c r="C878">
        <v>3</v>
      </c>
    </row>
    <row r="879" spans="1:3" x14ac:dyDescent="0.2">
      <c r="A879">
        <v>843</v>
      </c>
      <c r="B879">
        <v>133</v>
      </c>
      <c r="C879">
        <v>1</v>
      </c>
    </row>
    <row r="880" spans="1:3" x14ac:dyDescent="0.2">
      <c r="A880">
        <v>264</v>
      </c>
      <c r="B880">
        <v>134</v>
      </c>
      <c r="C880">
        <v>3</v>
      </c>
    </row>
    <row r="881" spans="1:3" x14ac:dyDescent="0.2">
      <c r="A881">
        <v>266</v>
      </c>
      <c r="B881">
        <v>134</v>
      </c>
      <c r="C881">
        <v>5</v>
      </c>
    </row>
    <row r="882" spans="1:3" x14ac:dyDescent="0.2">
      <c r="A882">
        <v>622</v>
      </c>
      <c r="B882">
        <v>134</v>
      </c>
      <c r="C882">
        <v>2</v>
      </c>
    </row>
    <row r="883" spans="1:3" x14ac:dyDescent="0.2">
      <c r="A883">
        <v>629</v>
      </c>
      <c r="B883">
        <v>134</v>
      </c>
      <c r="C883">
        <v>5</v>
      </c>
    </row>
    <row r="884" spans="1:3" x14ac:dyDescent="0.2">
      <c r="A884">
        <v>882</v>
      </c>
      <c r="B884">
        <v>134</v>
      </c>
      <c r="C884">
        <v>2</v>
      </c>
    </row>
    <row r="885" spans="1:3" x14ac:dyDescent="0.2">
      <c r="A885">
        <v>115</v>
      </c>
      <c r="B885">
        <v>135</v>
      </c>
      <c r="C885">
        <v>2</v>
      </c>
    </row>
    <row r="886" spans="1:3" x14ac:dyDescent="0.2">
      <c r="A886">
        <v>177</v>
      </c>
      <c r="B886">
        <v>135</v>
      </c>
      <c r="C886">
        <v>4</v>
      </c>
    </row>
    <row r="887" spans="1:3" x14ac:dyDescent="0.2">
      <c r="A887">
        <v>292</v>
      </c>
      <c r="B887">
        <v>135</v>
      </c>
      <c r="C887">
        <v>2</v>
      </c>
    </row>
    <row r="888" spans="1:3" x14ac:dyDescent="0.2">
      <c r="A888">
        <v>385</v>
      </c>
      <c r="B888">
        <v>135</v>
      </c>
      <c r="C888">
        <v>5</v>
      </c>
    </row>
    <row r="889" spans="1:3" x14ac:dyDescent="0.2">
      <c r="A889">
        <v>559</v>
      </c>
      <c r="B889">
        <v>135</v>
      </c>
      <c r="C889">
        <v>4</v>
      </c>
    </row>
    <row r="890" spans="1:3" x14ac:dyDescent="0.2">
      <c r="A890">
        <v>648</v>
      </c>
      <c r="B890">
        <v>135</v>
      </c>
      <c r="C890">
        <v>3</v>
      </c>
    </row>
    <row r="891" spans="1:3" x14ac:dyDescent="0.2">
      <c r="A891">
        <v>675</v>
      </c>
      <c r="B891">
        <v>135</v>
      </c>
      <c r="C891">
        <v>4</v>
      </c>
    </row>
    <row r="892" spans="1:3" x14ac:dyDescent="0.2">
      <c r="A892">
        <v>684</v>
      </c>
      <c r="B892">
        <v>135</v>
      </c>
      <c r="C892">
        <v>3</v>
      </c>
    </row>
    <row r="893" spans="1:3" x14ac:dyDescent="0.2">
      <c r="A893">
        <v>793</v>
      </c>
      <c r="B893">
        <v>135</v>
      </c>
      <c r="C893">
        <v>3</v>
      </c>
    </row>
    <row r="894" spans="1:3" x14ac:dyDescent="0.2">
      <c r="A894">
        <v>126</v>
      </c>
      <c r="B894">
        <v>136</v>
      </c>
      <c r="C894">
        <v>5</v>
      </c>
    </row>
    <row r="895" spans="1:3" x14ac:dyDescent="0.2">
      <c r="A895">
        <v>382</v>
      </c>
      <c r="B895">
        <v>136</v>
      </c>
      <c r="C895">
        <v>5</v>
      </c>
    </row>
    <row r="896" spans="1:3" x14ac:dyDescent="0.2">
      <c r="A896">
        <v>446</v>
      </c>
      <c r="B896">
        <v>136</v>
      </c>
      <c r="C896">
        <v>5</v>
      </c>
    </row>
    <row r="897" spans="1:3" x14ac:dyDescent="0.2">
      <c r="A897">
        <v>455</v>
      </c>
      <c r="B897">
        <v>136</v>
      </c>
      <c r="C897">
        <v>4</v>
      </c>
    </row>
    <row r="898" spans="1:3" x14ac:dyDescent="0.2">
      <c r="A898">
        <v>484</v>
      </c>
      <c r="B898">
        <v>136</v>
      </c>
      <c r="C898">
        <v>1</v>
      </c>
    </row>
    <row r="899" spans="1:3" x14ac:dyDescent="0.2">
      <c r="A899">
        <v>761</v>
      </c>
      <c r="B899">
        <v>136</v>
      </c>
      <c r="C899">
        <v>2</v>
      </c>
    </row>
    <row r="900" spans="1:3" x14ac:dyDescent="0.2">
      <c r="A900">
        <v>1000</v>
      </c>
      <c r="B900">
        <v>136</v>
      </c>
      <c r="C900">
        <v>3</v>
      </c>
    </row>
    <row r="901" spans="1:3" x14ac:dyDescent="0.2">
      <c r="A901">
        <v>191</v>
      </c>
      <c r="B901">
        <v>137</v>
      </c>
      <c r="C901">
        <v>3</v>
      </c>
    </row>
    <row r="902" spans="1:3" x14ac:dyDescent="0.2">
      <c r="A902">
        <v>533</v>
      </c>
      <c r="B902">
        <v>137</v>
      </c>
      <c r="C902">
        <v>2</v>
      </c>
    </row>
    <row r="903" spans="1:3" x14ac:dyDescent="0.2">
      <c r="A903">
        <v>770</v>
      </c>
      <c r="B903">
        <v>137</v>
      </c>
      <c r="C903">
        <v>1</v>
      </c>
    </row>
    <row r="904" spans="1:3" x14ac:dyDescent="0.2">
      <c r="A904">
        <v>993</v>
      </c>
      <c r="B904">
        <v>137</v>
      </c>
      <c r="C904">
        <v>5</v>
      </c>
    </row>
    <row r="905" spans="1:3" x14ac:dyDescent="0.2">
      <c r="A905">
        <v>64</v>
      </c>
      <c r="B905">
        <v>138</v>
      </c>
      <c r="C905">
        <v>2</v>
      </c>
    </row>
    <row r="906" spans="1:3" x14ac:dyDescent="0.2">
      <c r="A906">
        <v>210</v>
      </c>
      <c r="B906">
        <v>138</v>
      </c>
      <c r="C906">
        <v>5</v>
      </c>
    </row>
    <row r="907" spans="1:3" x14ac:dyDescent="0.2">
      <c r="A907">
        <v>213</v>
      </c>
      <c r="B907">
        <v>138</v>
      </c>
      <c r="C907">
        <v>3</v>
      </c>
    </row>
    <row r="908" spans="1:3" x14ac:dyDescent="0.2">
      <c r="A908">
        <v>416</v>
      </c>
      <c r="B908">
        <v>138</v>
      </c>
      <c r="C908">
        <v>2</v>
      </c>
    </row>
    <row r="909" spans="1:3" x14ac:dyDescent="0.2">
      <c r="A909">
        <v>927</v>
      </c>
      <c r="B909">
        <v>138</v>
      </c>
      <c r="C909">
        <v>1</v>
      </c>
    </row>
    <row r="910" spans="1:3" x14ac:dyDescent="0.2">
      <c r="A910">
        <v>270</v>
      </c>
      <c r="B910">
        <v>139</v>
      </c>
      <c r="C910">
        <v>3</v>
      </c>
    </row>
    <row r="911" spans="1:3" x14ac:dyDescent="0.2">
      <c r="A911">
        <v>507</v>
      </c>
      <c r="B911">
        <v>139</v>
      </c>
      <c r="C911">
        <v>4</v>
      </c>
    </row>
    <row r="912" spans="1:3" x14ac:dyDescent="0.2">
      <c r="A912">
        <v>780</v>
      </c>
      <c r="B912">
        <v>139</v>
      </c>
      <c r="C912">
        <v>4</v>
      </c>
    </row>
    <row r="913" spans="1:3" x14ac:dyDescent="0.2">
      <c r="A913">
        <v>794</v>
      </c>
      <c r="B913">
        <v>139</v>
      </c>
      <c r="C913">
        <v>4</v>
      </c>
    </row>
    <row r="914" spans="1:3" x14ac:dyDescent="0.2">
      <c r="A914">
        <v>816</v>
      </c>
      <c r="B914">
        <v>139</v>
      </c>
      <c r="C914">
        <v>2</v>
      </c>
    </row>
    <row r="915" spans="1:3" x14ac:dyDescent="0.2">
      <c r="A915">
        <v>901</v>
      </c>
      <c r="B915">
        <v>139</v>
      </c>
      <c r="C915">
        <v>3</v>
      </c>
    </row>
    <row r="916" spans="1:3" x14ac:dyDescent="0.2">
      <c r="A916">
        <v>117</v>
      </c>
      <c r="B916">
        <v>140</v>
      </c>
      <c r="C916">
        <v>1</v>
      </c>
    </row>
    <row r="917" spans="1:3" x14ac:dyDescent="0.2">
      <c r="A917">
        <v>271</v>
      </c>
      <c r="B917">
        <v>140</v>
      </c>
      <c r="C917">
        <v>1</v>
      </c>
    </row>
    <row r="918" spans="1:3" x14ac:dyDescent="0.2">
      <c r="A918">
        <v>310</v>
      </c>
      <c r="B918">
        <v>140</v>
      </c>
      <c r="C918">
        <v>3</v>
      </c>
    </row>
    <row r="919" spans="1:3" x14ac:dyDescent="0.2">
      <c r="A919">
        <v>383</v>
      </c>
      <c r="B919">
        <v>140</v>
      </c>
      <c r="C919">
        <v>3</v>
      </c>
    </row>
    <row r="920" spans="1:3" x14ac:dyDescent="0.2">
      <c r="A920">
        <v>575</v>
      </c>
      <c r="B920">
        <v>140</v>
      </c>
      <c r="C920">
        <v>3</v>
      </c>
    </row>
    <row r="921" spans="1:3" x14ac:dyDescent="0.2">
      <c r="A921">
        <v>867</v>
      </c>
      <c r="B921">
        <v>140</v>
      </c>
      <c r="C921">
        <v>1</v>
      </c>
    </row>
    <row r="922" spans="1:3" x14ac:dyDescent="0.2">
      <c r="A922">
        <v>14</v>
      </c>
      <c r="B922">
        <v>141</v>
      </c>
      <c r="C922">
        <v>5</v>
      </c>
    </row>
    <row r="923" spans="1:3" x14ac:dyDescent="0.2">
      <c r="A923">
        <v>142</v>
      </c>
      <c r="B923">
        <v>141</v>
      </c>
      <c r="C923">
        <v>4</v>
      </c>
    </row>
    <row r="924" spans="1:3" x14ac:dyDescent="0.2">
      <c r="A924">
        <v>195</v>
      </c>
      <c r="B924">
        <v>141</v>
      </c>
      <c r="C924">
        <v>2</v>
      </c>
    </row>
    <row r="925" spans="1:3" x14ac:dyDescent="0.2">
      <c r="A925">
        <v>401</v>
      </c>
      <c r="B925">
        <v>141</v>
      </c>
      <c r="C925">
        <v>5</v>
      </c>
    </row>
    <row r="926" spans="1:3" x14ac:dyDescent="0.2">
      <c r="A926">
        <v>602</v>
      </c>
      <c r="B926">
        <v>141</v>
      </c>
      <c r="C926">
        <v>3</v>
      </c>
    </row>
    <row r="927" spans="1:3" x14ac:dyDescent="0.2">
      <c r="A927">
        <v>647</v>
      </c>
      <c r="B927">
        <v>141</v>
      </c>
      <c r="C927">
        <v>2</v>
      </c>
    </row>
    <row r="928" spans="1:3" x14ac:dyDescent="0.2">
      <c r="A928">
        <v>953</v>
      </c>
      <c r="B928">
        <v>141</v>
      </c>
      <c r="C928">
        <v>1</v>
      </c>
    </row>
    <row r="929" spans="1:3" x14ac:dyDescent="0.2">
      <c r="A929">
        <v>958</v>
      </c>
      <c r="B929">
        <v>141</v>
      </c>
      <c r="C929">
        <v>4</v>
      </c>
    </row>
    <row r="930" spans="1:3" x14ac:dyDescent="0.2">
      <c r="A930">
        <v>24</v>
      </c>
      <c r="B930">
        <v>142</v>
      </c>
      <c r="C930">
        <v>4</v>
      </c>
    </row>
    <row r="931" spans="1:3" x14ac:dyDescent="0.2">
      <c r="A931">
        <v>107</v>
      </c>
      <c r="B931">
        <v>142</v>
      </c>
      <c r="C931">
        <v>2</v>
      </c>
    </row>
    <row r="932" spans="1:3" x14ac:dyDescent="0.2">
      <c r="A932">
        <v>303</v>
      </c>
      <c r="B932">
        <v>142</v>
      </c>
      <c r="C932">
        <v>4</v>
      </c>
    </row>
    <row r="933" spans="1:3" x14ac:dyDescent="0.2">
      <c r="A933">
        <v>355</v>
      </c>
      <c r="B933">
        <v>142</v>
      </c>
      <c r="C933">
        <v>1</v>
      </c>
    </row>
    <row r="934" spans="1:3" x14ac:dyDescent="0.2">
      <c r="A934">
        <v>588</v>
      </c>
      <c r="B934">
        <v>142</v>
      </c>
      <c r="C934">
        <v>1</v>
      </c>
    </row>
    <row r="935" spans="1:3" x14ac:dyDescent="0.2">
      <c r="A935">
        <v>644</v>
      </c>
      <c r="B935">
        <v>142</v>
      </c>
      <c r="C935">
        <v>5</v>
      </c>
    </row>
    <row r="936" spans="1:3" x14ac:dyDescent="0.2">
      <c r="A936">
        <v>760</v>
      </c>
      <c r="B936">
        <v>142</v>
      </c>
      <c r="C936">
        <v>5</v>
      </c>
    </row>
    <row r="937" spans="1:3" x14ac:dyDescent="0.2">
      <c r="A937">
        <v>984</v>
      </c>
      <c r="B937">
        <v>142</v>
      </c>
      <c r="C937">
        <v>1</v>
      </c>
    </row>
    <row r="938" spans="1:3" x14ac:dyDescent="0.2">
      <c r="A938">
        <v>30</v>
      </c>
      <c r="B938">
        <v>143</v>
      </c>
      <c r="C938">
        <v>1</v>
      </c>
    </row>
    <row r="939" spans="1:3" x14ac:dyDescent="0.2">
      <c r="A939">
        <v>277</v>
      </c>
      <c r="B939">
        <v>143</v>
      </c>
      <c r="C939">
        <v>4</v>
      </c>
    </row>
    <row r="940" spans="1:3" x14ac:dyDescent="0.2">
      <c r="A940">
        <v>468</v>
      </c>
      <c r="B940">
        <v>143</v>
      </c>
      <c r="C940">
        <v>1</v>
      </c>
    </row>
    <row r="941" spans="1:3" x14ac:dyDescent="0.2">
      <c r="A941">
        <v>620</v>
      </c>
      <c r="B941">
        <v>143</v>
      </c>
      <c r="C941">
        <v>1</v>
      </c>
    </row>
    <row r="942" spans="1:3" x14ac:dyDescent="0.2">
      <c r="A942">
        <v>641</v>
      </c>
      <c r="B942">
        <v>143</v>
      </c>
      <c r="C942">
        <v>3</v>
      </c>
    </row>
    <row r="943" spans="1:3" x14ac:dyDescent="0.2">
      <c r="A943">
        <v>695</v>
      </c>
      <c r="B943">
        <v>143</v>
      </c>
      <c r="C943">
        <v>5</v>
      </c>
    </row>
    <row r="944" spans="1:3" x14ac:dyDescent="0.2">
      <c r="A944">
        <v>712</v>
      </c>
      <c r="B944">
        <v>143</v>
      </c>
      <c r="C944">
        <v>3</v>
      </c>
    </row>
    <row r="945" spans="1:3" x14ac:dyDescent="0.2">
      <c r="A945">
        <v>719</v>
      </c>
      <c r="B945">
        <v>143</v>
      </c>
      <c r="C945">
        <v>4</v>
      </c>
    </row>
    <row r="946" spans="1:3" x14ac:dyDescent="0.2">
      <c r="A946">
        <v>946</v>
      </c>
      <c r="B946">
        <v>143</v>
      </c>
      <c r="C946">
        <v>1</v>
      </c>
    </row>
    <row r="947" spans="1:3" x14ac:dyDescent="0.2">
      <c r="A947">
        <v>249</v>
      </c>
      <c r="B947">
        <v>144</v>
      </c>
      <c r="C947">
        <v>1</v>
      </c>
    </row>
    <row r="948" spans="1:3" x14ac:dyDescent="0.2">
      <c r="A948">
        <v>384</v>
      </c>
      <c r="B948">
        <v>144</v>
      </c>
      <c r="C948">
        <v>3</v>
      </c>
    </row>
    <row r="949" spans="1:3" x14ac:dyDescent="0.2">
      <c r="A949">
        <v>490</v>
      </c>
      <c r="B949">
        <v>144</v>
      </c>
      <c r="C949">
        <v>1</v>
      </c>
    </row>
    <row r="950" spans="1:3" x14ac:dyDescent="0.2">
      <c r="A950">
        <v>596</v>
      </c>
      <c r="B950">
        <v>144</v>
      </c>
      <c r="C950">
        <v>1</v>
      </c>
    </row>
    <row r="951" spans="1:3" x14ac:dyDescent="0.2">
      <c r="A951">
        <v>740</v>
      </c>
      <c r="B951">
        <v>144</v>
      </c>
      <c r="C951">
        <v>1</v>
      </c>
    </row>
    <row r="952" spans="1:3" x14ac:dyDescent="0.2">
      <c r="A952">
        <v>766</v>
      </c>
      <c r="B952">
        <v>144</v>
      </c>
      <c r="C952">
        <v>3</v>
      </c>
    </row>
    <row r="953" spans="1:3" x14ac:dyDescent="0.2">
      <c r="A953">
        <v>787</v>
      </c>
      <c r="B953">
        <v>144</v>
      </c>
      <c r="C953">
        <v>2</v>
      </c>
    </row>
    <row r="954" spans="1:3" x14ac:dyDescent="0.2">
      <c r="A954">
        <v>872</v>
      </c>
      <c r="B954">
        <v>144</v>
      </c>
      <c r="C954">
        <v>1</v>
      </c>
    </row>
    <row r="955" spans="1:3" x14ac:dyDescent="0.2">
      <c r="A955">
        <v>133</v>
      </c>
      <c r="B955">
        <v>145</v>
      </c>
      <c r="C955">
        <v>4</v>
      </c>
    </row>
    <row r="956" spans="1:3" x14ac:dyDescent="0.2">
      <c r="A956">
        <v>145</v>
      </c>
      <c r="B956">
        <v>145</v>
      </c>
      <c r="C956">
        <v>5</v>
      </c>
    </row>
    <row r="957" spans="1:3" x14ac:dyDescent="0.2">
      <c r="A957">
        <v>180</v>
      </c>
      <c r="B957">
        <v>145</v>
      </c>
      <c r="C957">
        <v>2</v>
      </c>
    </row>
    <row r="958" spans="1:3" x14ac:dyDescent="0.2">
      <c r="A958">
        <v>407</v>
      </c>
      <c r="B958">
        <v>145</v>
      </c>
      <c r="C958">
        <v>1</v>
      </c>
    </row>
    <row r="959" spans="1:3" x14ac:dyDescent="0.2">
      <c r="A959">
        <v>670</v>
      </c>
      <c r="B959">
        <v>145</v>
      </c>
      <c r="C959">
        <v>3</v>
      </c>
    </row>
    <row r="960" spans="1:3" x14ac:dyDescent="0.2">
      <c r="A960">
        <v>907</v>
      </c>
      <c r="B960">
        <v>145</v>
      </c>
      <c r="C960">
        <v>2</v>
      </c>
    </row>
    <row r="961" spans="1:3" x14ac:dyDescent="0.2">
      <c r="A961">
        <v>90</v>
      </c>
      <c r="B961">
        <v>146</v>
      </c>
      <c r="C961">
        <v>4</v>
      </c>
    </row>
    <row r="962" spans="1:3" x14ac:dyDescent="0.2">
      <c r="A962">
        <v>134</v>
      </c>
      <c r="B962">
        <v>146</v>
      </c>
      <c r="C962">
        <v>1</v>
      </c>
    </row>
    <row r="963" spans="1:3" x14ac:dyDescent="0.2">
      <c r="A963">
        <v>314</v>
      </c>
      <c r="B963">
        <v>146</v>
      </c>
      <c r="C963">
        <v>3</v>
      </c>
    </row>
    <row r="964" spans="1:3" x14ac:dyDescent="0.2">
      <c r="A964">
        <v>395</v>
      </c>
      <c r="B964">
        <v>146</v>
      </c>
      <c r="C964">
        <v>3</v>
      </c>
    </row>
    <row r="965" spans="1:3" x14ac:dyDescent="0.2">
      <c r="A965">
        <v>495</v>
      </c>
      <c r="B965">
        <v>146</v>
      </c>
      <c r="C965">
        <v>3</v>
      </c>
    </row>
    <row r="966" spans="1:3" x14ac:dyDescent="0.2">
      <c r="A966">
        <v>514</v>
      </c>
      <c r="B966">
        <v>146</v>
      </c>
      <c r="C966">
        <v>2</v>
      </c>
    </row>
    <row r="967" spans="1:3" x14ac:dyDescent="0.2">
      <c r="A967">
        <v>610</v>
      </c>
      <c r="B967">
        <v>146</v>
      </c>
      <c r="C967">
        <v>4</v>
      </c>
    </row>
    <row r="968" spans="1:3" x14ac:dyDescent="0.2">
      <c r="A968">
        <v>679</v>
      </c>
      <c r="B968">
        <v>146</v>
      </c>
      <c r="C968">
        <v>2</v>
      </c>
    </row>
    <row r="969" spans="1:3" x14ac:dyDescent="0.2">
      <c r="A969">
        <v>978</v>
      </c>
      <c r="B969">
        <v>146</v>
      </c>
      <c r="C969">
        <v>4</v>
      </c>
    </row>
    <row r="970" spans="1:3" x14ac:dyDescent="0.2">
      <c r="A970">
        <v>995</v>
      </c>
      <c r="B970">
        <v>146</v>
      </c>
      <c r="C970">
        <v>4</v>
      </c>
    </row>
    <row r="971" spans="1:3" x14ac:dyDescent="0.2">
      <c r="A971">
        <v>10</v>
      </c>
      <c r="B971">
        <v>147</v>
      </c>
      <c r="C971">
        <v>4</v>
      </c>
    </row>
    <row r="972" spans="1:3" x14ac:dyDescent="0.2">
      <c r="A972">
        <v>230</v>
      </c>
      <c r="B972">
        <v>147</v>
      </c>
      <c r="C972">
        <v>4</v>
      </c>
    </row>
    <row r="973" spans="1:3" x14ac:dyDescent="0.2">
      <c r="A973">
        <v>358</v>
      </c>
      <c r="B973">
        <v>147</v>
      </c>
      <c r="C973">
        <v>3</v>
      </c>
    </row>
    <row r="974" spans="1:3" x14ac:dyDescent="0.2">
      <c r="A974">
        <v>404</v>
      </c>
      <c r="B974">
        <v>147</v>
      </c>
      <c r="C974">
        <v>3</v>
      </c>
    </row>
    <row r="975" spans="1:3" x14ac:dyDescent="0.2">
      <c r="A975">
        <v>506</v>
      </c>
      <c r="B975">
        <v>147</v>
      </c>
      <c r="C975">
        <v>2</v>
      </c>
    </row>
    <row r="976" spans="1:3" x14ac:dyDescent="0.2">
      <c r="A976">
        <v>530</v>
      </c>
      <c r="B976">
        <v>147</v>
      </c>
      <c r="C976">
        <v>5</v>
      </c>
    </row>
    <row r="977" spans="1:3" x14ac:dyDescent="0.2">
      <c r="A977">
        <v>625</v>
      </c>
      <c r="B977">
        <v>147</v>
      </c>
      <c r="C977">
        <v>4</v>
      </c>
    </row>
    <row r="978" spans="1:3" x14ac:dyDescent="0.2">
      <c r="A978">
        <v>850</v>
      </c>
      <c r="B978">
        <v>147</v>
      </c>
      <c r="C978">
        <v>2</v>
      </c>
    </row>
    <row r="979" spans="1:3" x14ac:dyDescent="0.2">
      <c r="A979">
        <v>858</v>
      </c>
      <c r="B979">
        <v>147</v>
      </c>
      <c r="C979">
        <v>1</v>
      </c>
    </row>
    <row r="980" spans="1:3" x14ac:dyDescent="0.2">
      <c r="A980">
        <v>951</v>
      </c>
      <c r="B980">
        <v>147</v>
      </c>
      <c r="C980">
        <v>4</v>
      </c>
    </row>
    <row r="981" spans="1:3" x14ac:dyDescent="0.2">
      <c r="A981">
        <v>76</v>
      </c>
      <c r="B981">
        <v>148</v>
      </c>
      <c r="C981">
        <v>1</v>
      </c>
    </row>
    <row r="982" spans="1:3" x14ac:dyDescent="0.2">
      <c r="A982">
        <v>80</v>
      </c>
      <c r="B982">
        <v>148</v>
      </c>
      <c r="C982">
        <v>5</v>
      </c>
    </row>
    <row r="983" spans="1:3" x14ac:dyDescent="0.2">
      <c r="A983">
        <v>220</v>
      </c>
      <c r="B983">
        <v>148</v>
      </c>
      <c r="C983">
        <v>1</v>
      </c>
    </row>
    <row r="984" spans="1:3" x14ac:dyDescent="0.2">
      <c r="A984">
        <v>227</v>
      </c>
      <c r="B984">
        <v>148</v>
      </c>
      <c r="C984">
        <v>5</v>
      </c>
    </row>
    <row r="985" spans="1:3" x14ac:dyDescent="0.2">
      <c r="A985">
        <v>313</v>
      </c>
      <c r="B985">
        <v>148</v>
      </c>
      <c r="C985">
        <v>2</v>
      </c>
    </row>
    <row r="986" spans="1:3" x14ac:dyDescent="0.2">
      <c r="A986">
        <v>454</v>
      </c>
      <c r="B986">
        <v>148</v>
      </c>
      <c r="C986">
        <v>1</v>
      </c>
    </row>
    <row r="987" spans="1:3" x14ac:dyDescent="0.2">
      <c r="A987">
        <v>707</v>
      </c>
      <c r="B987">
        <v>148</v>
      </c>
      <c r="C987">
        <v>1</v>
      </c>
    </row>
    <row r="988" spans="1:3" x14ac:dyDescent="0.2">
      <c r="A988">
        <v>814</v>
      </c>
      <c r="B988">
        <v>148</v>
      </c>
      <c r="C988">
        <v>5</v>
      </c>
    </row>
    <row r="989" spans="1:3" x14ac:dyDescent="0.2">
      <c r="A989">
        <v>857</v>
      </c>
      <c r="B989">
        <v>148</v>
      </c>
      <c r="C989">
        <v>1</v>
      </c>
    </row>
    <row r="990" spans="1:3" x14ac:dyDescent="0.2">
      <c r="A990">
        <v>41</v>
      </c>
      <c r="B990">
        <v>149</v>
      </c>
      <c r="C990">
        <v>1</v>
      </c>
    </row>
    <row r="991" spans="1:3" x14ac:dyDescent="0.2">
      <c r="A991">
        <v>171</v>
      </c>
      <c r="B991">
        <v>149</v>
      </c>
      <c r="C991">
        <v>1</v>
      </c>
    </row>
    <row r="992" spans="1:3" x14ac:dyDescent="0.2">
      <c r="A992">
        <v>391</v>
      </c>
      <c r="B992">
        <v>149</v>
      </c>
      <c r="C992">
        <v>3</v>
      </c>
    </row>
    <row r="993" spans="1:3" x14ac:dyDescent="0.2">
      <c r="A993">
        <v>543</v>
      </c>
      <c r="B993">
        <v>149</v>
      </c>
      <c r="C993">
        <v>5</v>
      </c>
    </row>
    <row r="994" spans="1:3" x14ac:dyDescent="0.2">
      <c r="A994">
        <v>926</v>
      </c>
      <c r="B994">
        <v>149</v>
      </c>
      <c r="C994">
        <v>5</v>
      </c>
    </row>
    <row r="995" spans="1:3" x14ac:dyDescent="0.2">
      <c r="A995">
        <v>983</v>
      </c>
      <c r="B995">
        <v>149</v>
      </c>
      <c r="C995">
        <v>4</v>
      </c>
    </row>
    <row r="996" spans="1:3" x14ac:dyDescent="0.2">
      <c r="A996">
        <v>19</v>
      </c>
      <c r="B996">
        <v>150</v>
      </c>
      <c r="C996">
        <v>2</v>
      </c>
    </row>
    <row r="997" spans="1:3" x14ac:dyDescent="0.2">
      <c r="A997">
        <v>77</v>
      </c>
      <c r="B997">
        <v>150</v>
      </c>
      <c r="C997">
        <v>1</v>
      </c>
    </row>
    <row r="998" spans="1:3" x14ac:dyDescent="0.2">
      <c r="A998">
        <v>284</v>
      </c>
      <c r="B998">
        <v>150</v>
      </c>
      <c r="C998">
        <v>4</v>
      </c>
    </row>
    <row r="999" spans="1:3" x14ac:dyDescent="0.2">
      <c r="A999">
        <v>460</v>
      </c>
      <c r="B999">
        <v>150</v>
      </c>
      <c r="C999">
        <v>1</v>
      </c>
    </row>
    <row r="1000" spans="1:3" x14ac:dyDescent="0.2">
      <c r="A1000">
        <v>496</v>
      </c>
      <c r="B1000">
        <v>150</v>
      </c>
      <c r="C1000">
        <v>2</v>
      </c>
    </row>
    <row r="1001" spans="1:3" x14ac:dyDescent="0.2">
      <c r="A1001">
        <v>566</v>
      </c>
      <c r="B1001">
        <v>150</v>
      </c>
      <c r="C1001">
        <v>3</v>
      </c>
    </row>
  </sheetData>
  <sheetProtection algorithmName="SHA-512" hashValue="Isu8jtERrgFSsjYAPvtFm5QQXV8qo0ol25SQsNcjTxk5+XW6KAe9KPQ2lVg3ONukLosfZXPOUkweckkdjtBD3g==" saltValue="AmX9p4TyVuXSpuC7vmnM0g=="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Sheet1</vt:lpstr>
      <vt:lpstr>Sheet2</vt:lpstr>
      <vt:lpstr>Sheet3</vt:lpstr>
      <vt:lpstr>Sheet4</vt:lpstr>
      <vt:lpstr>Sheet5</vt:lpstr>
      <vt:lpstr>Sheet6</vt:lpstr>
      <vt:lpstr>Sheet7</vt:lpstr>
      <vt:lpstr>Dashboard</vt:lpstr>
      <vt:lpstr>Pivot_tbl</vt:lpstr>
      <vt:lpstr>Master_tbl</vt:lpstr>
      <vt:lpstr>Products</vt:lpstr>
      <vt:lpstr>Sales</vt:lpstr>
      <vt:lpstr>Comp_prices</vt:lpstr>
      <vt:lpstr>Reviews</vt:lpstr>
      <vt:lpstr>comp_prices_tbl</vt:lpstr>
      <vt:lpstr>Comp_tbl</vt:lpstr>
      <vt:lpstr>Master_tbl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mpsharma</dc:creator>
  <cp:lastModifiedBy>jyoti</cp:lastModifiedBy>
  <dcterms:created xsi:type="dcterms:W3CDTF">2026-03-28T16:16:37Z</dcterms:created>
  <dcterms:modified xsi:type="dcterms:W3CDTF">2026-05-18T17:58:07Z</dcterms:modified>
</cp:coreProperties>
</file>